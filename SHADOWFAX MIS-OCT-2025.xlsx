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ownloads\"/>
    </mc:Choice>
  </mc:AlternateContent>
  <xr:revisionPtr revIDLastSave="0" documentId="13_ncr:1_{5079796D-3CB6-4AC0-954A-D2A414CF4302}" xr6:coauthVersionLast="47" xr6:coauthVersionMax="47" xr10:uidLastSave="{00000000-0000-0000-0000-000000000000}"/>
  <bookViews>
    <workbookView xWindow="-110" yWindow="-110" windowWidth="19420" windowHeight="10560" firstSheet="1" activeTab="1" xr2:uid="{00EE0A4A-9EE9-46B6-831F-D4C14011A008}"/>
  </bookViews>
  <sheets>
    <sheet name="Summary" sheetId="2" r:id="rId1"/>
    <sheet name="DASHBOARD" sheetId="4" r:id="rId2"/>
    <sheet name="PIVOT" sheetId="3" r:id="rId3"/>
    <sheet name="SHADOWFAX" sheetId="1" r:id="rId4"/>
    <sheet name="COPY" sheetId="7" r:id="rId5"/>
    <sheet name="CALCULATIONS" sheetId="9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" i="7" l="1" a="1"/>
  <c r="AQ1" i="7" s="1"/>
  <c r="A13" i="4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5" i="3"/>
  <c r="A1" i="7" a="1"/>
  <c r="A1" i="7" s="1"/>
  <c r="F6" i="3"/>
  <c r="F14" i="3"/>
  <c r="F30" i="3"/>
  <c r="F38" i="3"/>
  <c r="F54" i="3"/>
  <c r="F62" i="3"/>
  <c r="F78" i="3"/>
  <c r="F36" i="3"/>
  <c r="F84" i="3"/>
  <c r="F7" i="3"/>
  <c r="F15" i="3"/>
  <c r="F23" i="3"/>
  <c r="F31" i="3"/>
  <c r="F39" i="3"/>
  <c r="F47" i="3"/>
  <c r="F55" i="3"/>
  <c r="F63" i="3"/>
  <c r="F71" i="3"/>
  <c r="F79" i="3"/>
  <c r="F87" i="3"/>
  <c r="F24" i="3"/>
  <c r="F64" i="3"/>
  <c r="F88" i="3"/>
  <c r="F44" i="3"/>
  <c r="F8" i="3"/>
  <c r="F16" i="3"/>
  <c r="F32" i="3"/>
  <c r="F40" i="3"/>
  <c r="F48" i="3"/>
  <c r="F56" i="3"/>
  <c r="F72" i="3"/>
  <c r="F80" i="3"/>
  <c r="F20" i="3"/>
  <c r="F76" i="3"/>
  <c r="F9" i="3"/>
  <c r="F17" i="3"/>
  <c r="F25" i="3"/>
  <c r="F33" i="3"/>
  <c r="F41" i="3"/>
  <c r="F49" i="3"/>
  <c r="F57" i="3"/>
  <c r="F65" i="3"/>
  <c r="F73" i="3"/>
  <c r="F81" i="3"/>
  <c r="F89" i="3"/>
  <c r="F19" i="3"/>
  <c r="F43" i="3"/>
  <c r="F59" i="3"/>
  <c r="F75" i="3"/>
  <c r="F52" i="3"/>
  <c r="F10" i="3"/>
  <c r="F18" i="3"/>
  <c r="F26" i="3"/>
  <c r="F34" i="3"/>
  <c r="F42" i="3"/>
  <c r="F50" i="3"/>
  <c r="F58" i="3"/>
  <c r="F66" i="3"/>
  <c r="F74" i="3"/>
  <c r="F82" i="3"/>
  <c r="F90" i="3"/>
  <c r="F11" i="3"/>
  <c r="F27" i="3"/>
  <c r="F35" i="3"/>
  <c r="F51" i="3"/>
  <c r="F67" i="3"/>
  <c r="F83" i="3"/>
  <c r="F12" i="3"/>
  <c r="F60" i="3"/>
  <c r="F13" i="3"/>
  <c r="F21" i="3"/>
  <c r="F29" i="3"/>
  <c r="F37" i="3"/>
  <c r="F45" i="3"/>
  <c r="F53" i="3"/>
  <c r="F61" i="3"/>
  <c r="F69" i="3"/>
  <c r="F77" i="3"/>
  <c r="F85" i="3"/>
  <c r="F22" i="3"/>
  <c r="F46" i="3"/>
  <c r="F70" i="3"/>
  <c r="F86" i="3"/>
  <c r="F28" i="3"/>
  <c r="F68" i="3"/>
  <c r="F5" i="3"/>
  <c r="E6" i="3"/>
  <c r="E14" i="3"/>
  <c r="E22" i="3"/>
  <c r="E30" i="3"/>
  <c r="E38" i="3"/>
  <c r="E46" i="3"/>
  <c r="E54" i="3"/>
  <c r="E62" i="3"/>
  <c r="E70" i="3"/>
  <c r="E78" i="3"/>
  <c r="E86" i="3"/>
  <c r="E7" i="3"/>
  <c r="E15" i="3"/>
  <c r="E23" i="3"/>
  <c r="E31" i="3"/>
  <c r="E39" i="3"/>
  <c r="E47" i="3"/>
  <c r="E55" i="3"/>
  <c r="E63" i="3"/>
  <c r="E71" i="3"/>
  <c r="E79" i="3"/>
  <c r="E87" i="3"/>
  <c r="E26" i="3"/>
  <c r="E42" i="3"/>
  <c r="E58" i="3"/>
  <c r="E74" i="3"/>
  <c r="E76" i="3"/>
  <c r="E21" i="3"/>
  <c r="E53" i="3"/>
  <c r="E8" i="3"/>
  <c r="E16" i="3"/>
  <c r="E24" i="3"/>
  <c r="E32" i="3"/>
  <c r="E40" i="3"/>
  <c r="E48" i="3"/>
  <c r="E56" i="3"/>
  <c r="E64" i="3"/>
  <c r="E72" i="3"/>
  <c r="E80" i="3"/>
  <c r="E88" i="3"/>
  <c r="E34" i="3"/>
  <c r="E66" i="3"/>
  <c r="E37" i="3"/>
  <c r="E85" i="3"/>
  <c r="E9" i="3"/>
  <c r="E17" i="3"/>
  <c r="E25" i="3"/>
  <c r="E33" i="3"/>
  <c r="E41" i="3"/>
  <c r="E49" i="3"/>
  <c r="E57" i="3"/>
  <c r="E65" i="3"/>
  <c r="E73" i="3"/>
  <c r="E81" i="3"/>
  <c r="E89" i="3"/>
  <c r="E18" i="3"/>
  <c r="E50" i="3"/>
  <c r="E82" i="3"/>
  <c r="E29" i="3"/>
  <c r="E69" i="3"/>
  <c r="E10" i="3"/>
  <c r="E90" i="3"/>
  <c r="E45" i="3"/>
  <c r="E77" i="3"/>
  <c r="E11" i="3"/>
  <c r="E19" i="3"/>
  <c r="E27" i="3"/>
  <c r="E35" i="3"/>
  <c r="E43" i="3"/>
  <c r="E51" i="3"/>
  <c r="E59" i="3"/>
  <c r="E67" i="3"/>
  <c r="E75" i="3"/>
  <c r="E83" i="3"/>
  <c r="E12" i="3"/>
  <c r="E20" i="3"/>
  <c r="E28" i="3"/>
  <c r="E36" i="3"/>
  <c r="E44" i="3"/>
  <c r="E52" i="3"/>
  <c r="E60" i="3"/>
  <c r="E68" i="3"/>
  <c r="E84" i="3"/>
  <c r="E13" i="3"/>
  <c r="E61" i="3"/>
  <c r="E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<sst xmlns="http://schemas.openxmlformats.org/spreadsheetml/2006/main" count="5314" uniqueCount="259">
  <si>
    <t>Sr.No</t>
  </si>
  <si>
    <t>DATE</t>
  </si>
  <si>
    <t>HUB NAME</t>
  </si>
  <si>
    <t>HUB CODE
(FCPL)</t>
  </si>
  <si>
    <t>VENDOR NAME</t>
  </si>
  <si>
    <t>VEHICLE NUMBER</t>
  </si>
  <si>
    <t>VEHICLE TYPE</t>
  </si>
  <si>
    <t>FUEL TYPE</t>
  </si>
  <si>
    <t>SHIFT TYPE</t>
  </si>
  <si>
    <t>EXTRA KM UNIT COST</t>
  </si>
  <si>
    <t>BASE RATE
(Monthly)</t>
  </si>
  <si>
    <t>Base KM</t>
  </si>
  <si>
    <t>Max vehicle capicity(in crates)</t>
  </si>
  <si>
    <t>TOTAL DAYS IN MONTH</t>
  </si>
  <si>
    <t>CLUSTER NAME</t>
  </si>
  <si>
    <t>Cluster distance from Hub</t>
  </si>
  <si>
    <t>BEFORE DELIVERY IN TIME</t>
  </si>
  <si>
    <t>BEFORE DELIVERY OUT TIME</t>
  </si>
  <si>
    <t>BEFORE DELIVERY READING</t>
  </si>
  <si>
    <t>AFTER DELIVERY IN TIME</t>
  </si>
  <si>
    <t>AFTER DELIVERY OUT TIME</t>
  </si>
  <si>
    <t>AFTER DELIVERY OUT READING</t>
  </si>
  <si>
    <t>CRATE COUNT
(OUT)</t>
  </si>
  <si>
    <t>CRATE COUNT
(IN)</t>
  </si>
  <si>
    <t>DIFFERENCE IN CRATE COUNT</t>
  </si>
  <si>
    <t>TOTAL READING</t>
  </si>
  <si>
    <t>TOTAL KM</t>
  </si>
  <si>
    <t>EXTRA KM</t>
  </si>
  <si>
    <t>EXTRA KM COST</t>
  </si>
  <si>
    <t>OT HRS</t>
  </si>
  <si>
    <t>OT COST</t>
  </si>
  <si>
    <t>LATE REPORTING IN WH</t>
  </si>
  <si>
    <t>LATE REPORTING PENALTY</t>
  </si>
  <si>
    <t>INCENTIVE</t>
  </si>
  <si>
    <t>MCD TOLL</t>
  </si>
  <si>
    <t>TOTAL ADDITION</t>
  </si>
  <si>
    <t>TOTAL DEDEUCTION</t>
  </si>
  <si>
    <t>TOTAL PAYABLE AMOUNT</t>
  </si>
  <si>
    <t>REMARK</t>
  </si>
  <si>
    <t>CLUSTER</t>
  </si>
  <si>
    <t>HINJEWADI</t>
  </si>
  <si>
    <t>SLK1</t>
  </si>
  <si>
    <t>SHADOWFAX TECHNOLOGIES PRIVATE LIMITED</t>
  </si>
  <si>
    <t>MH03AH8989</t>
  </si>
  <si>
    <t>ACE</t>
  </si>
  <si>
    <t>CNG</t>
  </si>
  <si>
    <t>PUN01 NC Cluster 1</t>
  </si>
  <si>
    <t>MH12RN4983</t>
  </si>
  <si>
    <t>PUN01 NC Cluster 3</t>
  </si>
  <si>
    <t>MH12UM3063</t>
  </si>
  <si>
    <t>PUN01 NC Cluster 229</t>
  </si>
  <si>
    <t>MH12VF3782</t>
  </si>
  <si>
    <t>PUN01 NC Cluster 62</t>
  </si>
  <si>
    <t>MH12XM2801</t>
  </si>
  <si>
    <t>PUN01 NC Cluster 67</t>
  </si>
  <si>
    <t>MH14CP4610</t>
  </si>
  <si>
    <t>PUN01 NC Cluster 87</t>
  </si>
  <si>
    <t>MH14KA0766</t>
  </si>
  <si>
    <t>PUN01 NC Cluster 10</t>
  </si>
  <si>
    <t>MH14KA1228</t>
  </si>
  <si>
    <t>MH14KA1873</t>
  </si>
  <si>
    <t>PUN01 NC Cluster 40</t>
  </si>
  <si>
    <t>MH14KA6513</t>
  </si>
  <si>
    <t>PUN01 NC Cluster 299</t>
  </si>
  <si>
    <t>MH14KQ4401</t>
  </si>
  <si>
    <t>PUN01 NC Cluster 125</t>
  </si>
  <si>
    <t>MH14LB6732</t>
  </si>
  <si>
    <t>PUN01 NC Cluster 199</t>
  </si>
  <si>
    <t>MH14LB6751</t>
  </si>
  <si>
    <t>PUN01 NC Cluster 38</t>
  </si>
  <si>
    <t>MH14LL5974</t>
  </si>
  <si>
    <t>PUN01 NC Cluster 107</t>
  </si>
  <si>
    <t>MH14LL6836</t>
  </si>
  <si>
    <t>PUN01 NC Cluster 303</t>
  </si>
  <si>
    <t>MH14LX6360</t>
  </si>
  <si>
    <t>PUN01 NC Cluster 37</t>
  </si>
  <si>
    <t>MH14MH4582</t>
  </si>
  <si>
    <t>PUN01 NC Cluster 206</t>
  </si>
  <si>
    <t>MH14MH6374</t>
  </si>
  <si>
    <t>PUN01 NC Cluster 201</t>
  </si>
  <si>
    <t>MH14MH8276</t>
  </si>
  <si>
    <t>PUN01 NC Cluster 36</t>
  </si>
  <si>
    <t>MH14LL4513</t>
  </si>
  <si>
    <t>BOLERO</t>
  </si>
  <si>
    <t>DIESEL</t>
  </si>
  <si>
    <t>MH14LX4839</t>
  </si>
  <si>
    <t>PUN01 NC Cluster 100</t>
  </si>
  <si>
    <t>MH14MH7322</t>
  </si>
  <si>
    <t>PUN01 NC Cluster 128</t>
  </si>
  <si>
    <t>MH16CD7321</t>
  </si>
  <si>
    <t>PUN01 NC Cluster 135</t>
  </si>
  <si>
    <t>PUN01 NC Cluster 230</t>
  </si>
  <si>
    <t>PUN01 Cluster 155</t>
  </si>
  <si>
    <t>PUN01 NC Cluster 17</t>
  </si>
  <si>
    <t>PUN01 NC Cluster 127</t>
  </si>
  <si>
    <t>PUN01 NC Cluster 24</t>
  </si>
  <si>
    <t>PUN01 NC Cluster 42</t>
  </si>
  <si>
    <t>MH14KA2871</t>
  </si>
  <si>
    <t>PUN01 NC Cluster 26</t>
  </si>
  <si>
    <t>MH14KA6730</t>
  </si>
  <si>
    <t>PUN01 NC Cluster 200</t>
  </si>
  <si>
    <t>MH14KQ0279</t>
  </si>
  <si>
    <t>PUN01 NC Cluster 19</t>
  </si>
  <si>
    <t>PUN01 NC Cluster 43</t>
  </si>
  <si>
    <t>PUN01 NC Cluster 39</t>
  </si>
  <si>
    <t>MH20GC8804</t>
  </si>
  <si>
    <t>PUN01 NC Cluster 20</t>
  </si>
  <si>
    <t>PUN01 NC Cluster 73</t>
  </si>
  <si>
    <t>PUN01 NC Cluster 97</t>
  </si>
  <si>
    <t>PUN01 NC Cluster 130</t>
  </si>
  <si>
    <t>PUN01 NC Cluster 8</t>
  </si>
  <si>
    <t>PUN01 NC Cluster 15</t>
  </si>
  <si>
    <t>PUN01 NC Cluster 113</t>
  </si>
  <si>
    <t>PUN01 NC Cluster 6</t>
  </si>
  <si>
    <t>PUN01 NC Cluster 211</t>
  </si>
  <si>
    <t>PUN01 NC Cluster 60</t>
  </si>
  <si>
    <t>PUN01 NC Cluster 296</t>
  </si>
  <si>
    <t>MH14MH1873</t>
  </si>
  <si>
    <t>PUN01 NC Cluster 124</t>
  </si>
  <si>
    <t>PUN01 NC Cluster 209</t>
  </si>
  <si>
    <t>MH12YB3190</t>
  </si>
  <si>
    <t>PUN01 NC Cluster 11</t>
  </si>
  <si>
    <t>PUN01 Cluster 175</t>
  </si>
  <si>
    <t>PUN01 NC Cluster 18</t>
  </si>
  <si>
    <t>PUN01 NC Cluster 142</t>
  </si>
  <si>
    <t>PUN01 NC Cluster 112</t>
  </si>
  <si>
    <t>PUN01 NC Cluster 110</t>
  </si>
  <si>
    <t>PUN01 NC Cluster 2</t>
  </si>
  <si>
    <t>PUN01 NC Cluster 99</t>
  </si>
  <si>
    <t>PUN01 NC Cluster 91</t>
  </si>
  <si>
    <t>PUN01 NC Cluster 121</t>
  </si>
  <si>
    <t>PUN01 NC Cluster 86</t>
  </si>
  <si>
    <t>MH12SF9859</t>
  </si>
  <si>
    <t>PUN01 NC Cluster 5</t>
  </si>
  <si>
    <t>PUN01 NC Cluster 16</t>
  </si>
  <si>
    <t>PUN01 NC Cluster 92</t>
  </si>
  <si>
    <t>PUN01 NC Cluster 41</t>
  </si>
  <si>
    <t>PUN01 NC Cluster 190</t>
  </si>
  <si>
    <t>PUN01 NC Cluster 61</t>
  </si>
  <si>
    <t>PUN01 NC Cluster 136</t>
  </si>
  <si>
    <t>PUN01 NC Cluster 101</t>
  </si>
  <si>
    <t>PUN01 NC Cluster 7</t>
  </si>
  <si>
    <t>PUN01 NC Cluster 103</t>
  </si>
  <si>
    <t>PUN01 NC Cluster 10A</t>
  </si>
  <si>
    <t>PUN01 NC Cluster 148</t>
  </si>
  <si>
    <t>MH12WX6236</t>
  </si>
  <si>
    <t>PUN01 NC Cluster 125A</t>
  </si>
  <si>
    <t>PUN01 NC Cluster 68</t>
  </si>
  <si>
    <t>PUN01 NC Cluster 59</t>
  </si>
  <si>
    <t>PUN01 NC Cluster 14</t>
  </si>
  <si>
    <t>MH14LX4840</t>
  </si>
  <si>
    <t>PUN01 NC Cluster 175</t>
  </si>
  <si>
    <t>PUN01 NC Cluster 12</t>
  </si>
  <si>
    <t>PUN01 NC Cluster 132</t>
  </si>
  <si>
    <t>PUN01 NC Cluster 73A</t>
  </si>
  <si>
    <t>PUN01 NC Cluster 13</t>
  </si>
  <si>
    <t>PUN01 NC Cluster 23</t>
  </si>
  <si>
    <t>PUN01 NC Cluster 137</t>
  </si>
  <si>
    <t>PUN01 NC Cluster 72</t>
  </si>
  <si>
    <t>PUN01 Cluster 168</t>
  </si>
  <si>
    <t>PUN01 NC Cluster 102</t>
  </si>
  <si>
    <t>PUN01 NC Cluster 228</t>
  </si>
  <si>
    <t>PUN01 NC Cluster 71</t>
  </si>
  <si>
    <t>MH14LX1921</t>
  </si>
  <si>
    <t>PUN01 NC Cluster 17A</t>
  </si>
  <si>
    <t>PUN01 NC Cluster 238</t>
  </si>
  <si>
    <t>PUN01 NC Cluster 182</t>
  </si>
  <si>
    <t>PUN01 NC Cluster 300</t>
  </si>
  <si>
    <t>PUN01 NC Cluster 134</t>
  </si>
  <si>
    <t>PUN01 NC Cluster 4</t>
  </si>
  <si>
    <t>PUN01 NC Cluster 35</t>
  </si>
  <si>
    <t>PUN01 NC Cluster 168</t>
  </si>
  <si>
    <t>PUN01 NC Cluster 126</t>
  </si>
  <si>
    <t>PUN01 NC Cluster 75</t>
  </si>
  <si>
    <t>PUN01 NC Cluster 140</t>
  </si>
  <si>
    <t>PUN01 NC Cluster 149</t>
  </si>
  <si>
    <t>MH14EM3160</t>
  </si>
  <si>
    <t>MH14KA5782</t>
  </si>
  <si>
    <t>MH14LB5906</t>
  </si>
  <si>
    <t>PUN01 NC Cluster 25</t>
  </si>
  <si>
    <t>PUN01 Cluster 133</t>
  </si>
  <si>
    <t>PUN01 NC Cluster 139</t>
  </si>
  <si>
    <t>MH14JL3308</t>
  </si>
  <si>
    <t>PUN01 NC Cluster 106</t>
  </si>
  <si>
    <t>PUN01 NC Cluster 191</t>
  </si>
  <si>
    <t>MH14LB4598</t>
  </si>
  <si>
    <t>PUN01 NC Cluster 93</t>
  </si>
  <si>
    <t>PUN01 NC Cluster 8A</t>
  </si>
  <si>
    <t>PUN01 NC Cluster 133</t>
  </si>
  <si>
    <t>PUN01 NC Cluster 18A</t>
  </si>
  <si>
    <t>PUN01 NC Cluster 131</t>
  </si>
  <si>
    <t>PUN01 NC Cluster 2A</t>
  </si>
  <si>
    <t>PUN01 NC Cluster19</t>
  </si>
  <si>
    <t>PUN01 NC Cluster1</t>
  </si>
  <si>
    <t>PUN01 NC Cluster62</t>
  </si>
  <si>
    <t>PUN01 NC Cluster40</t>
  </si>
  <si>
    <t>PUN01 NC Cluster43-41</t>
  </si>
  <si>
    <t>PUN01 NC Cluster19-12</t>
  </si>
  <si>
    <t>PUN01 NC Cluster36</t>
  </si>
  <si>
    <t>PUN01 NC Cluster37</t>
  </si>
  <si>
    <t>PUN01 NC Cluster201</t>
  </si>
  <si>
    <t>PUN01 NC Cluster2</t>
  </si>
  <si>
    <t>PUN01 NC Cluster5</t>
  </si>
  <si>
    <t>PUN01 NC Cluster3</t>
  </si>
  <si>
    <t>PUN01 NC Cluster303</t>
  </si>
  <si>
    <t>PUN01 NC Cluster13</t>
  </si>
  <si>
    <t>PUN01 NC ClusterBACKUP</t>
  </si>
  <si>
    <t>PUN01 NC Cluster199</t>
  </si>
  <si>
    <t>PUN01 NC Cluster237</t>
  </si>
  <si>
    <t>PUN01 NC Cluster59-60</t>
  </si>
  <si>
    <t>PUN01 NC Cluster87</t>
  </si>
  <si>
    <t>PUN01 NC Cluster132-136</t>
  </si>
  <si>
    <t>PUN01 NC Cluster38-39-35</t>
  </si>
  <si>
    <t>PUN01 NC Cluster127</t>
  </si>
  <si>
    <t>PUN01 NC Cluster175-155</t>
  </si>
  <si>
    <t>PUN01 NC Cluster139-140</t>
  </si>
  <si>
    <t>PUN01 NC Cluster25</t>
  </si>
  <si>
    <t>PUN01 NC ClusterHOLD</t>
  </si>
  <si>
    <t>PUN-21 NC Cluster 299</t>
  </si>
  <si>
    <t>MH12UM0925</t>
  </si>
  <si>
    <t>PUN01 NC Cluster</t>
  </si>
  <si>
    <t>PUN01 NC Cluster 208</t>
  </si>
  <si>
    <t>PUN01 NC Cluster 114</t>
  </si>
  <si>
    <t>PUN01 NC Cluster 155</t>
  </si>
  <si>
    <t>PUN01 NC Cluster 237</t>
  </si>
  <si>
    <t>MH14MH2559</t>
  </si>
  <si>
    <t>Hinjewadi To Wagholi</t>
  </si>
  <si>
    <t>Middle Mile Delivery (Hinjewadi To Wagholi Stock transfer)</t>
  </si>
  <si>
    <t>MH14LB2427</t>
  </si>
  <si>
    <t>PUN01 NC Cluster 143</t>
  </si>
  <si>
    <t>Back Up</t>
  </si>
  <si>
    <t>PUN01 NC Cluster 292</t>
  </si>
  <si>
    <t>MH12YQ2365</t>
  </si>
  <si>
    <t>PUN01 NC Cluster 12A</t>
  </si>
  <si>
    <t>PUN01 NC Cluster 74</t>
  </si>
  <si>
    <t>MH14KA5875</t>
  </si>
  <si>
    <t>PUN01 NC Cluster 111</t>
  </si>
  <si>
    <t>PUN01 NC Cluster 85</t>
  </si>
  <si>
    <t>PUN01 NC Cluster 141</t>
  </si>
  <si>
    <t>Row Labels</t>
  </si>
  <si>
    <t>Grand Total</t>
  </si>
  <si>
    <t>Sum of EXTRA KM COST</t>
  </si>
  <si>
    <t>Sum of OT COST</t>
  </si>
  <si>
    <t>Sum of LATE REPORTING PENALTY</t>
  </si>
  <si>
    <t>Sum of INCENTIVE</t>
  </si>
  <si>
    <t>Sum of MCD TOLL</t>
  </si>
  <si>
    <t>Sum of TOTAL ADDITION</t>
  </si>
  <si>
    <t>Sum of TOTAL DEDEUCTION</t>
  </si>
  <si>
    <t>Sum of TOTAL PAYABLE AMOUNT</t>
  </si>
  <si>
    <t>Count of DATE</t>
  </si>
  <si>
    <t>Base</t>
  </si>
  <si>
    <t>TOTAL</t>
  </si>
  <si>
    <t>1% TDS</t>
  </si>
  <si>
    <t>Rate per day</t>
  </si>
  <si>
    <t/>
  </si>
  <si>
    <t>Rate</t>
  </si>
  <si>
    <t>Base+OT</t>
  </si>
  <si>
    <t>Vehicle Number</t>
  </si>
  <si>
    <t>Base Rate(Monthly)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</si>
</sst>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Google Sans Mono"/>
    </font>
    <font>
      <sz val="10"/>
      <color theme="1"/>
      <name val="Google Sans Mono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3" borderId="4" xfId="0" applyFont="1" applyFill="1" applyBorder="1"/>
    <xf numFmtId="19" fontId="3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9" fontId="5" fillId="0" borderId="4" xfId="0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4" fillId="0" borderId="4" xfId="0" applyFont="1" applyBorder="1"/>
    <xf numFmtId="19" fontId="3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9" fontId="5" fillId="3" borderId="4" xfId="0" applyNumberFormat="1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4" fontId="3" fillId="5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4" fillId="5" borderId="4" xfId="0" applyFont="1" applyFill="1" applyBorder="1"/>
    <xf numFmtId="19" fontId="5" fillId="5" borderId="4" xfId="0" applyNumberFormat="1" applyFont="1" applyFill="1" applyBorder="1" applyAlignment="1">
      <alignment horizontal="center"/>
    </xf>
    <xf numFmtId="14" fontId="3" fillId="6" borderId="4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4" xfId="0" applyFont="1" applyFill="1" applyBorder="1"/>
    <xf numFmtId="0" fontId="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9" fontId="2" fillId="3" borderId="4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pivotButton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7">
    <dxf>
      <alignment vertical="center"/>
    </dxf>
    <dxf>
      <alignment vertical="center"/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PER VEHICLE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CALCULATIONS!$I$2:$I$44</c:f>
              <c:numCache>
                <c:formatCode>General</c:formatCode>
                <c:ptCount val="43"/>
                <c:pt idx="0">
                  <c:v>23895.725806451614</c:v>
                </c:pt>
                <c:pt idx="1">
                  <c:v>23895.725806451614</c:v>
                </c:pt>
                <c:pt idx="2">
                  <c:v>23895.725806451614</c:v>
                </c:pt>
                <c:pt idx="3">
                  <c:v>23895.725806451614</c:v>
                </c:pt>
                <c:pt idx="4">
                  <c:v>31304.758064516129</c:v>
                </c:pt>
                <c:pt idx="5">
                  <c:v>23895.725806451614</c:v>
                </c:pt>
                <c:pt idx="6">
                  <c:v>23895.725806451614</c:v>
                </c:pt>
                <c:pt idx="7">
                  <c:v>23895.725806451614</c:v>
                </c:pt>
                <c:pt idx="8">
                  <c:v>23895.725806451614</c:v>
                </c:pt>
                <c:pt idx="9">
                  <c:v>27600.241935483871</c:v>
                </c:pt>
                <c:pt idx="10">
                  <c:v>23895.725806451614</c:v>
                </c:pt>
                <c:pt idx="11">
                  <c:v>23895.725806451614</c:v>
                </c:pt>
                <c:pt idx="12">
                  <c:v>23895.725806451614</c:v>
                </c:pt>
                <c:pt idx="13">
                  <c:v>23895.725806451614</c:v>
                </c:pt>
                <c:pt idx="14">
                  <c:v>23895.725806451614</c:v>
                </c:pt>
                <c:pt idx="15">
                  <c:v>23895.725806451614</c:v>
                </c:pt>
                <c:pt idx="16">
                  <c:v>23895.725806451614</c:v>
                </c:pt>
                <c:pt idx="17">
                  <c:v>23895.725806451614</c:v>
                </c:pt>
                <c:pt idx="18">
                  <c:v>23895.725806451614</c:v>
                </c:pt>
                <c:pt idx="19">
                  <c:v>31304.758064516129</c:v>
                </c:pt>
                <c:pt idx="20">
                  <c:v>23895.725806451614</c:v>
                </c:pt>
                <c:pt idx="21">
                  <c:v>23895.725806451614</c:v>
                </c:pt>
                <c:pt idx="22">
                  <c:v>23895.725806451614</c:v>
                </c:pt>
                <c:pt idx="23">
                  <c:v>35935.403225806447</c:v>
                </c:pt>
                <c:pt idx="24">
                  <c:v>23895.725806451614</c:v>
                </c:pt>
                <c:pt idx="25">
                  <c:v>23895.725806451614</c:v>
                </c:pt>
                <c:pt idx="26">
                  <c:v>23895.725806451614</c:v>
                </c:pt>
                <c:pt idx="27">
                  <c:v>23895.725806451614</c:v>
                </c:pt>
                <c:pt idx="28">
                  <c:v>27600.241935483871</c:v>
                </c:pt>
                <c:pt idx="29">
                  <c:v>23895.725806451614</c:v>
                </c:pt>
                <c:pt idx="30">
                  <c:v>31304.758064516129</c:v>
                </c:pt>
                <c:pt idx="31">
                  <c:v>35935.403225806447</c:v>
                </c:pt>
                <c:pt idx="32">
                  <c:v>27600.241935483871</c:v>
                </c:pt>
                <c:pt idx="33">
                  <c:v>27600.241935483871</c:v>
                </c:pt>
                <c:pt idx="34">
                  <c:v>23895.725806451614</c:v>
                </c:pt>
                <c:pt idx="35">
                  <c:v>27600.241935483871</c:v>
                </c:pt>
                <c:pt idx="36">
                  <c:v>35935.403225806447</c:v>
                </c:pt>
                <c:pt idx="37">
                  <c:v>23895.725806451614</c:v>
                </c:pt>
                <c:pt idx="38">
                  <c:v>23895.725806451614</c:v>
                </c:pt>
                <c:pt idx="39">
                  <c:v>27600.241935483871</c:v>
                </c:pt>
                <c:pt idx="40">
                  <c:v>23895.725806451614</c:v>
                </c:pt>
                <c:pt idx="41">
                  <c:v>27600.241935483871</c:v>
                </c:pt>
                <c:pt idx="42">
                  <c:v>23895.725806451614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7-42B2-96FA-CA1520C7A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428591"/>
        <c:axId val="1223402191"/>
      </c:barChart>
      <c:catAx>
        <c:axId val="122342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2191"/>
        <c:crosses val="autoZero"/>
        <c:auto val="1"/>
        <c:lblAlgn val="ctr"/>
        <c:lblOffset val="100"/>
        <c:noMultiLvlLbl val="0"/>
      </c:catAx>
      <c:valAx>
        <c:axId val="12234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2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Sum of OT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CALCULATIONS!$D$2:$D$44</c:f>
              <c:numCache>
                <c:formatCode>General</c:formatCode>
                <c:ptCount val="43"/>
                <c:pt idx="0">
                  <c:v>750</c:v>
                </c:pt>
                <c:pt idx="1">
                  <c:v>300</c:v>
                </c:pt>
                <c:pt idx="2">
                  <c:v>0</c:v>
                </c:pt>
                <c:pt idx="3">
                  <c:v>0</c:v>
                </c:pt>
                <c:pt idx="4">
                  <c:v>1200</c:v>
                </c:pt>
                <c:pt idx="5">
                  <c:v>300</c:v>
                </c:pt>
                <c:pt idx="6">
                  <c:v>1200</c:v>
                </c:pt>
                <c:pt idx="7">
                  <c:v>2850</c:v>
                </c:pt>
                <c:pt idx="8">
                  <c:v>600</c:v>
                </c:pt>
                <c:pt idx="9">
                  <c:v>600</c:v>
                </c:pt>
                <c:pt idx="10">
                  <c:v>450</c:v>
                </c:pt>
                <c:pt idx="11">
                  <c:v>1350</c:v>
                </c:pt>
                <c:pt idx="12">
                  <c:v>1350</c:v>
                </c:pt>
                <c:pt idx="13">
                  <c:v>2550</c:v>
                </c:pt>
                <c:pt idx="14">
                  <c:v>2400</c:v>
                </c:pt>
                <c:pt idx="15">
                  <c:v>1350</c:v>
                </c:pt>
                <c:pt idx="16">
                  <c:v>1050</c:v>
                </c:pt>
                <c:pt idx="17">
                  <c:v>300</c:v>
                </c:pt>
                <c:pt idx="18">
                  <c:v>0</c:v>
                </c:pt>
                <c:pt idx="19">
                  <c:v>1650</c:v>
                </c:pt>
                <c:pt idx="20">
                  <c:v>750</c:v>
                </c:pt>
                <c:pt idx="21">
                  <c:v>2100</c:v>
                </c:pt>
                <c:pt idx="22">
                  <c:v>900</c:v>
                </c:pt>
                <c:pt idx="23">
                  <c:v>0</c:v>
                </c:pt>
                <c:pt idx="24">
                  <c:v>1500</c:v>
                </c:pt>
                <c:pt idx="25">
                  <c:v>150</c:v>
                </c:pt>
                <c:pt idx="26">
                  <c:v>150</c:v>
                </c:pt>
                <c:pt idx="27">
                  <c:v>1050</c:v>
                </c:pt>
                <c:pt idx="28">
                  <c:v>2400</c:v>
                </c:pt>
                <c:pt idx="29">
                  <c:v>750</c:v>
                </c:pt>
                <c:pt idx="30">
                  <c:v>150</c:v>
                </c:pt>
                <c:pt idx="31">
                  <c:v>0</c:v>
                </c:pt>
                <c:pt idx="32">
                  <c:v>1950</c:v>
                </c:pt>
                <c:pt idx="33">
                  <c:v>300</c:v>
                </c:pt>
                <c:pt idx="34">
                  <c:v>1500</c:v>
                </c:pt>
                <c:pt idx="35">
                  <c:v>300</c:v>
                </c:pt>
                <c:pt idx="36">
                  <c:v>0</c:v>
                </c:pt>
                <c:pt idx="37">
                  <c:v>0</c:v>
                </c:pt>
                <c:pt idx="38">
                  <c:v>4200</c:v>
                </c:pt>
                <c:pt idx="39">
                  <c:v>2850</c:v>
                </c:pt>
                <c:pt idx="40">
                  <c:v>1500</c:v>
                </c:pt>
                <c:pt idx="41">
                  <c:v>900</c:v>
                </c:pt>
                <c:pt idx="4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0-4BC0-B884-68E727FA5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443567"/>
        <c:axId val="1550434447"/>
      </c:barChart>
      <c:catAx>
        <c:axId val="155044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34447"/>
        <c:crosses val="autoZero"/>
        <c:auto val="1"/>
        <c:lblAlgn val="ctr"/>
        <c:lblOffset val="100"/>
        <c:noMultiLvlLbl val="0"/>
      </c:catAx>
      <c:valAx>
        <c:axId val="15504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BASE RATE AND TOTAL OT COST BY VEHICLE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Sum of OT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CALCULATIONS!$D$2:$D$44</c:f>
              <c:numCache>
                <c:formatCode>General</c:formatCode>
                <c:ptCount val="43"/>
                <c:pt idx="0">
                  <c:v>750</c:v>
                </c:pt>
                <c:pt idx="1">
                  <c:v>300</c:v>
                </c:pt>
                <c:pt idx="2">
                  <c:v>0</c:v>
                </c:pt>
                <c:pt idx="3">
                  <c:v>0</c:v>
                </c:pt>
                <c:pt idx="4">
                  <c:v>1200</c:v>
                </c:pt>
                <c:pt idx="5">
                  <c:v>300</c:v>
                </c:pt>
                <c:pt idx="6">
                  <c:v>1200</c:v>
                </c:pt>
                <c:pt idx="7">
                  <c:v>2850</c:v>
                </c:pt>
                <c:pt idx="8">
                  <c:v>600</c:v>
                </c:pt>
                <c:pt idx="9">
                  <c:v>600</c:v>
                </c:pt>
                <c:pt idx="10">
                  <c:v>450</c:v>
                </c:pt>
                <c:pt idx="11">
                  <c:v>1350</c:v>
                </c:pt>
                <c:pt idx="12">
                  <c:v>1350</c:v>
                </c:pt>
                <c:pt idx="13">
                  <c:v>2550</c:v>
                </c:pt>
                <c:pt idx="14">
                  <c:v>2400</c:v>
                </c:pt>
                <c:pt idx="15">
                  <c:v>1350</c:v>
                </c:pt>
                <c:pt idx="16">
                  <c:v>1050</c:v>
                </c:pt>
                <c:pt idx="17">
                  <c:v>300</c:v>
                </c:pt>
                <c:pt idx="18">
                  <c:v>0</c:v>
                </c:pt>
                <c:pt idx="19">
                  <c:v>1650</c:v>
                </c:pt>
                <c:pt idx="20">
                  <c:v>750</c:v>
                </c:pt>
                <c:pt idx="21">
                  <c:v>2100</c:v>
                </c:pt>
                <c:pt idx="22">
                  <c:v>900</c:v>
                </c:pt>
                <c:pt idx="23">
                  <c:v>0</c:v>
                </c:pt>
                <c:pt idx="24">
                  <c:v>1500</c:v>
                </c:pt>
                <c:pt idx="25">
                  <c:v>150</c:v>
                </c:pt>
                <c:pt idx="26">
                  <c:v>150</c:v>
                </c:pt>
                <c:pt idx="27">
                  <c:v>1050</c:v>
                </c:pt>
                <c:pt idx="28">
                  <c:v>2400</c:v>
                </c:pt>
                <c:pt idx="29">
                  <c:v>750</c:v>
                </c:pt>
                <c:pt idx="30">
                  <c:v>150</c:v>
                </c:pt>
                <c:pt idx="31">
                  <c:v>0</c:v>
                </c:pt>
                <c:pt idx="32">
                  <c:v>1950</c:v>
                </c:pt>
                <c:pt idx="33">
                  <c:v>300</c:v>
                </c:pt>
                <c:pt idx="34">
                  <c:v>1500</c:v>
                </c:pt>
                <c:pt idx="35">
                  <c:v>300</c:v>
                </c:pt>
                <c:pt idx="36">
                  <c:v>0</c:v>
                </c:pt>
                <c:pt idx="37">
                  <c:v>0</c:v>
                </c:pt>
                <c:pt idx="38">
                  <c:v>4200</c:v>
                </c:pt>
                <c:pt idx="39">
                  <c:v>2850</c:v>
                </c:pt>
                <c:pt idx="40">
                  <c:v>1500</c:v>
                </c:pt>
                <c:pt idx="41">
                  <c:v>900</c:v>
                </c:pt>
                <c:pt idx="4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7-4599-BE36-23D339BCD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465167"/>
        <c:axId val="1550481487"/>
      </c:barChart>
      <c:lineChart>
        <c:grouping val="standard"/>
        <c:varyColors val="0"/>
        <c:ser>
          <c:idx val="1"/>
          <c:order val="1"/>
          <c:tx>
            <c:strRef>
              <c:f>CALCULATIONS!$F$1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CALCULATIONS!$F$2:$F$44</c:f>
              <c:numCache>
                <c:formatCode>General</c:formatCode>
                <c:ptCount val="43"/>
                <c:pt idx="0">
                  <c:v>23387.096774193549</c:v>
                </c:pt>
                <c:pt idx="1">
                  <c:v>23387.096774193549</c:v>
                </c:pt>
                <c:pt idx="2">
                  <c:v>23387.096774193549</c:v>
                </c:pt>
                <c:pt idx="3">
                  <c:v>23387.096774193549</c:v>
                </c:pt>
                <c:pt idx="4">
                  <c:v>30870.967741935485</c:v>
                </c:pt>
                <c:pt idx="5">
                  <c:v>23387.096774193549</c:v>
                </c:pt>
                <c:pt idx="6">
                  <c:v>23387.096774193549</c:v>
                </c:pt>
                <c:pt idx="7">
                  <c:v>23387.096774193549</c:v>
                </c:pt>
                <c:pt idx="8">
                  <c:v>23387.096774193549</c:v>
                </c:pt>
                <c:pt idx="9">
                  <c:v>27129.032258064515</c:v>
                </c:pt>
                <c:pt idx="10">
                  <c:v>23387.096774193549</c:v>
                </c:pt>
                <c:pt idx="11">
                  <c:v>23387.096774193549</c:v>
                </c:pt>
                <c:pt idx="12">
                  <c:v>23387.096774193549</c:v>
                </c:pt>
                <c:pt idx="13">
                  <c:v>23387.096774193549</c:v>
                </c:pt>
                <c:pt idx="14">
                  <c:v>23387.096774193549</c:v>
                </c:pt>
                <c:pt idx="15">
                  <c:v>23387.096774193549</c:v>
                </c:pt>
                <c:pt idx="16">
                  <c:v>23387.096774193549</c:v>
                </c:pt>
                <c:pt idx="17">
                  <c:v>23387.096774193549</c:v>
                </c:pt>
                <c:pt idx="18">
                  <c:v>23387.096774193549</c:v>
                </c:pt>
                <c:pt idx="19">
                  <c:v>30870.967741935485</c:v>
                </c:pt>
                <c:pt idx="20">
                  <c:v>23387.096774193549</c:v>
                </c:pt>
                <c:pt idx="21">
                  <c:v>23387.096774193549</c:v>
                </c:pt>
                <c:pt idx="22">
                  <c:v>23387.096774193549</c:v>
                </c:pt>
                <c:pt idx="23">
                  <c:v>35548.38709677419</c:v>
                </c:pt>
                <c:pt idx="24">
                  <c:v>23387.096774193549</c:v>
                </c:pt>
                <c:pt idx="25">
                  <c:v>23387.096774193549</c:v>
                </c:pt>
                <c:pt idx="26">
                  <c:v>23387.096774193549</c:v>
                </c:pt>
                <c:pt idx="27">
                  <c:v>23387.096774193549</c:v>
                </c:pt>
                <c:pt idx="28">
                  <c:v>27129.032258064515</c:v>
                </c:pt>
                <c:pt idx="29">
                  <c:v>23387.096774193549</c:v>
                </c:pt>
                <c:pt idx="30">
                  <c:v>30870.967741935485</c:v>
                </c:pt>
                <c:pt idx="31">
                  <c:v>35548.38709677419</c:v>
                </c:pt>
                <c:pt idx="32">
                  <c:v>27129.032258064515</c:v>
                </c:pt>
                <c:pt idx="33">
                  <c:v>27129.032258064515</c:v>
                </c:pt>
                <c:pt idx="34">
                  <c:v>23387.096774193549</c:v>
                </c:pt>
                <c:pt idx="35">
                  <c:v>27129.032258064515</c:v>
                </c:pt>
                <c:pt idx="36">
                  <c:v>35548.38709677419</c:v>
                </c:pt>
                <c:pt idx="37">
                  <c:v>23387.096774193549</c:v>
                </c:pt>
                <c:pt idx="38">
                  <c:v>23387.096774193549</c:v>
                </c:pt>
                <c:pt idx="39">
                  <c:v>27129.032258064515</c:v>
                </c:pt>
                <c:pt idx="40">
                  <c:v>23387.096774193549</c:v>
                </c:pt>
                <c:pt idx="41">
                  <c:v>27129.032258064515</c:v>
                </c:pt>
                <c:pt idx="42">
                  <c:v>23387.096774193549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7-4599-BE36-23D339BCD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481007"/>
        <c:axId val="1550468527"/>
      </c:lineChart>
      <c:catAx>
        <c:axId val="15504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81487"/>
        <c:crosses val="autoZero"/>
        <c:auto val="1"/>
        <c:lblAlgn val="ctr"/>
        <c:lblOffset val="100"/>
        <c:noMultiLvlLbl val="0"/>
      </c:catAx>
      <c:valAx>
        <c:axId val="15504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65167"/>
        <c:crosses val="autoZero"/>
        <c:crossBetween val="between"/>
      </c:valAx>
      <c:valAx>
        <c:axId val="15504685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81007"/>
        <c:crosses val="max"/>
        <c:crossBetween val="between"/>
      </c:valAx>
      <c:catAx>
        <c:axId val="1550481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0468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TOTAL</a:t>
            </a:r>
            <a:r>
              <a:rPr lang="en-IN" baseline="0"/>
              <a:t> BASE (RATE x DAYS) COMPARED TO BASE(MONTHLY)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CALCULATIONS!$B$1</c:f>
              <c:strCache>
                <c:ptCount val="1"/>
                <c:pt idx="0">
                  <c:v>Vehicle 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CALCULATIONS!$B$2:$B$44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D-405F-9A26-A0D0C793E4C3}"/>
            </c:ext>
          </c:extLst>
        </c:ser>
        <c:ser>
          <c:idx val="2"/>
          <c:order val="2"/>
          <c:tx>
            <c:strRef>
              <c:f>CALCULATIONS!$F$1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CALCULATIONS!$F$2:$F$44</c:f>
              <c:numCache>
                <c:formatCode>General</c:formatCode>
                <c:ptCount val="43"/>
                <c:pt idx="0">
                  <c:v>23387.096774193549</c:v>
                </c:pt>
                <c:pt idx="1">
                  <c:v>23387.096774193549</c:v>
                </c:pt>
                <c:pt idx="2">
                  <c:v>23387.096774193549</c:v>
                </c:pt>
                <c:pt idx="3">
                  <c:v>23387.096774193549</c:v>
                </c:pt>
                <c:pt idx="4">
                  <c:v>30870.967741935485</c:v>
                </c:pt>
                <c:pt idx="5">
                  <c:v>23387.096774193549</c:v>
                </c:pt>
                <c:pt idx="6">
                  <c:v>23387.096774193549</c:v>
                </c:pt>
                <c:pt idx="7">
                  <c:v>23387.096774193549</c:v>
                </c:pt>
                <c:pt idx="8">
                  <c:v>23387.096774193549</c:v>
                </c:pt>
                <c:pt idx="9">
                  <c:v>27129.032258064515</c:v>
                </c:pt>
                <c:pt idx="10">
                  <c:v>23387.096774193549</c:v>
                </c:pt>
                <c:pt idx="11">
                  <c:v>23387.096774193549</c:v>
                </c:pt>
                <c:pt idx="12">
                  <c:v>23387.096774193549</c:v>
                </c:pt>
                <c:pt idx="13">
                  <c:v>23387.096774193549</c:v>
                </c:pt>
                <c:pt idx="14">
                  <c:v>23387.096774193549</c:v>
                </c:pt>
                <c:pt idx="15">
                  <c:v>23387.096774193549</c:v>
                </c:pt>
                <c:pt idx="16">
                  <c:v>23387.096774193549</c:v>
                </c:pt>
                <c:pt idx="17">
                  <c:v>23387.096774193549</c:v>
                </c:pt>
                <c:pt idx="18">
                  <c:v>23387.096774193549</c:v>
                </c:pt>
                <c:pt idx="19">
                  <c:v>30870.967741935485</c:v>
                </c:pt>
                <c:pt idx="20">
                  <c:v>23387.096774193549</c:v>
                </c:pt>
                <c:pt idx="21">
                  <c:v>23387.096774193549</c:v>
                </c:pt>
                <c:pt idx="22">
                  <c:v>23387.096774193549</c:v>
                </c:pt>
                <c:pt idx="23">
                  <c:v>35548.38709677419</c:v>
                </c:pt>
                <c:pt idx="24">
                  <c:v>23387.096774193549</c:v>
                </c:pt>
                <c:pt idx="25">
                  <c:v>23387.096774193549</c:v>
                </c:pt>
                <c:pt idx="26">
                  <c:v>23387.096774193549</c:v>
                </c:pt>
                <c:pt idx="27">
                  <c:v>23387.096774193549</c:v>
                </c:pt>
                <c:pt idx="28">
                  <c:v>27129.032258064515</c:v>
                </c:pt>
                <c:pt idx="29">
                  <c:v>23387.096774193549</c:v>
                </c:pt>
                <c:pt idx="30">
                  <c:v>30870.967741935485</c:v>
                </c:pt>
                <c:pt idx="31">
                  <c:v>35548.38709677419</c:v>
                </c:pt>
                <c:pt idx="32">
                  <c:v>27129.032258064515</c:v>
                </c:pt>
                <c:pt idx="33">
                  <c:v>27129.032258064515</c:v>
                </c:pt>
                <c:pt idx="34">
                  <c:v>23387.096774193549</c:v>
                </c:pt>
                <c:pt idx="35">
                  <c:v>27129.032258064515</c:v>
                </c:pt>
                <c:pt idx="36">
                  <c:v>35548.38709677419</c:v>
                </c:pt>
                <c:pt idx="37">
                  <c:v>23387.096774193549</c:v>
                </c:pt>
                <c:pt idx="38">
                  <c:v>23387.096774193549</c:v>
                </c:pt>
                <c:pt idx="39">
                  <c:v>27129.032258064515</c:v>
                </c:pt>
                <c:pt idx="40">
                  <c:v>23387.096774193549</c:v>
                </c:pt>
                <c:pt idx="41">
                  <c:v>27129.032258064515</c:v>
                </c:pt>
                <c:pt idx="42">
                  <c:v>23387.096774193549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D-405F-9A26-A0D0C793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1666943"/>
        <c:axId val="1401660223"/>
      </c:barChart>
      <c:lineChart>
        <c:grouping val="standard"/>
        <c:varyColors val="0"/>
        <c:ser>
          <c:idx val="0"/>
          <c:order val="0"/>
          <c:tx>
            <c:strRef>
              <c:f>CALCULATIONS!$A$1</c:f>
              <c:strCache>
                <c:ptCount val="1"/>
                <c:pt idx="0">
                  <c:v>Base Rate(Monthly)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CALCULATIONS!$A$2:$A$44</c:f>
              <c:numCache>
                <c:formatCode>General</c:formatCode>
                <c:ptCount val="4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33000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29000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33000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38000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29000</c:v>
                </c:pt>
                <c:pt idx="29">
                  <c:v>25000</c:v>
                </c:pt>
                <c:pt idx="30">
                  <c:v>33000</c:v>
                </c:pt>
                <c:pt idx="31">
                  <c:v>38000</c:v>
                </c:pt>
                <c:pt idx="32">
                  <c:v>29000</c:v>
                </c:pt>
                <c:pt idx="33">
                  <c:v>29000</c:v>
                </c:pt>
                <c:pt idx="34">
                  <c:v>25000</c:v>
                </c:pt>
                <c:pt idx="35">
                  <c:v>29000</c:v>
                </c:pt>
                <c:pt idx="36">
                  <c:v>38000</c:v>
                </c:pt>
                <c:pt idx="37">
                  <c:v>25000</c:v>
                </c:pt>
                <c:pt idx="38">
                  <c:v>25000</c:v>
                </c:pt>
                <c:pt idx="39">
                  <c:v>29000</c:v>
                </c:pt>
                <c:pt idx="40">
                  <c:v>25000</c:v>
                </c:pt>
                <c:pt idx="41">
                  <c:v>29000</c:v>
                </c:pt>
                <c:pt idx="42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D-405F-9A26-A0D0C793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649183"/>
        <c:axId val="1401662143"/>
      </c:lineChart>
      <c:catAx>
        <c:axId val="140166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60223"/>
        <c:crosses val="autoZero"/>
        <c:auto val="1"/>
        <c:lblAlgn val="ctr"/>
        <c:lblOffset val="100"/>
        <c:noMultiLvlLbl val="0"/>
      </c:catAx>
      <c:valAx>
        <c:axId val="1401660223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66943"/>
        <c:crosses val="autoZero"/>
        <c:crossBetween val="between"/>
      </c:valAx>
      <c:valAx>
        <c:axId val="1401662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49183"/>
        <c:crosses val="max"/>
        <c:crossBetween val="between"/>
      </c:valAx>
      <c:catAx>
        <c:axId val="1401649183"/>
        <c:scaling>
          <c:orientation val="minMax"/>
        </c:scaling>
        <c:delete val="1"/>
        <c:axPos val="b"/>
        <c:majorTickMark val="out"/>
        <c:minorTickMark val="none"/>
        <c:tickLblPos val="nextTo"/>
        <c:crossAx val="1401662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CALCULATIONS!$I$2:$I$44</c:f>
              <c:numCache>
                <c:formatCode>General</c:formatCode>
                <c:ptCount val="43"/>
                <c:pt idx="0">
                  <c:v>23895.725806451614</c:v>
                </c:pt>
                <c:pt idx="1">
                  <c:v>23895.725806451614</c:v>
                </c:pt>
                <c:pt idx="2">
                  <c:v>23895.725806451614</c:v>
                </c:pt>
                <c:pt idx="3">
                  <c:v>23895.725806451614</c:v>
                </c:pt>
                <c:pt idx="4">
                  <c:v>31304.758064516129</c:v>
                </c:pt>
                <c:pt idx="5">
                  <c:v>23895.725806451614</c:v>
                </c:pt>
                <c:pt idx="6">
                  <c:v>23895.725806451614</c:v>
                </c:pt>
                <c:pt idx="7">
                  <c:v>23895.725806451614</c:v>
                </c:pt>
                <c:pt idx="8">
                  <c:v>23895.725806451614</c:v>
                </c:pt>
                <c:pt idx="9">
                  <c:v>27600.241935483871</c:v>
                </c:pt>
                <c:pt idx="10">
                  <c:v>23895.725806451614</c:v>
                </c:pt>
                <c:pt idx="11">
                  <c:v>23895.725806451614</c:v>
                </c:pt>
                <c:pt idx="12">
                  <c:v>23895.725806451614</c:v>
                </c:pt>
                <c:pt idx="13">
                  <c:v>23895.725806451614</c:v>
                </c:pt>
                <c:pt idx="14">
                  <c:v>23895.725806451614</c:v>
                </c:pt>
                <c:pt idx="15">
                  <c:v>23895.725806451614</c:v>
                </c:pt>
                <c:pt idx="16">
                  <c:v>23895.725806451614</c:v>
                </c:pt>
                <c:pt idx="17">
                  <c:v>23895.725806451614</c:v>
                </c:pt>
                <c:pt idx="18">
                  <c:v>23895.725806451614</c:v>
                </c:pt>
                <c:pt idx="19">
                  <c:v>31304.758064516129</c:v>
                </c:pt>
                <c:pt idx="20">
                  <c:v>23895.725806451614</c:v>
                </c:pt>
                <c:pt idx="21">
                  <c:v>23895.725806451614</c:v>
                </c:pt>
                <c:pt idx="22">
                  <c:v>23895.725806451614</c:v>
                </c:pt>
                <c:pt idx="23">
                  <c:v>35935.403225806447</c:v>
                </c:pt>
                <c:pt idx="24">
                  <c:v>23895.725806451614</c:v>
                </c:pt>
                <c:pt idx="25">
                  <c:v>23895.725806451614</c:v>
                </c:pt>
                <c:pt idx="26">
                  <c:v>23895.725806451614</c:v>
                </c:pt>
                <c:pt idx="27">
                  <c:v>23895.725806451614</c:v>
                </c:pt>
                <c:pt idx="28">
                  <c:v>27600.241935483871</c:v>
                </c:pt>
                <c:pt idx="29">
                  <c:v>23895.725806451614</c:v>
                </c:pt>
                <c:pt idx="30">
                  <c:v>31304.758064516129</c:v>
                </c:pt>
                <c:pt idx="31">
                  <c:v>35935.403225806447</c:v>
                </c:pt>
                <c:pt idx="32">
                  <c:v>27600.241935483871</c:v>
                </c:pt>
                <c:pt idx="33">
                  <c:v>27600.241935483871</c:v>
                </c:pt>
                <c:pt idx="34">
                  <c:v>23895.725806451614</c:v>
                </c:pt>
                <c:pt idx="35">
                  <c:v>27600.241935483871</c:v>
                </c:pt>
                <c:pt idx="36">
                  <c:v>35935.403225806447</c:v>
                </c:pt>
                <c:pt idx="37">
                  <c:v>23895.725806451614</c:v>
                </c:pt>
                <c:pt idx="38">
                  <c:v>23895.725806451614</c:v>
                </c:pt>
                <c:pt idx="39">
                  <c:v>27600.241935483871</c:v>
                </c:pt>
                <c:pt idx="40">
                  <c:v>23895.725806451614</c:v>
                </c:pt>
                <c:pt idx="41">
                  <c:v>27600.241935483871</c:v>
                </c:pt>
                <c:pt idx="42">
                  <c:v>23895.725806451614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6-4494-BBE9-A95B9593B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428591"/>
        <c:axId val="1223402191"/>
      </c:barChart>
      <c:catAx>
        <c:axId val="122342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2191"/>
        <c:crosses val="autoZero"/>
        <c:auto val="1"/>
        <c:lblAlgn val="ctr"/>
        <c:lblOffset val="100"/>
        <c:noMultiLvlLbl val="0"/>
      </c:catAx>
      <c:valAx>
        <c:axId val="12234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2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Sum of OT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CALCULATIONS!$D$2:$D$44</c:f>
              <c:numCache>
                <c:formatCode>General</c:formatCode>
                <c:ptCount val="43"/>
                <c:pt idx="0">
                  <c:v>750</c:v>
                </c:pt>
                <c:pt idx="1">
                  <c:v>300</c:v>
                </c:pt>
                <c:pt idx="2">
                  <c:v>0</c:v>
                </c:pt>
                <c:pt idx="3">
                  <c:v>0</c:v>
                </c:pt>
                <c:pt idx="4">
                  <c:v>1200</c:v>
                </c:pt>
                <c:pt idx="5">
                  <c:v>300</c:v>
                </c:pt>
                <c:pt idx="6">
                  <c:v>1200</c:v>
                </c:pt>
                <c:pt idx="7">
                  <c:v>2850</c:v>
                </c:pt>
                <c:pt idx="8">
                  <c:v>600</c:v>
                </c:pt>
                <c:pt idx="9">
                  <c:v>600</c:v>
                </c:pt>
                <c:pt idx="10">
                  <c:v>450</c:v>
                </c:pt>
                <c:pt idx="11">
                  <c:v>1350</c:v>
                </c:pt>
                <c:pt idx="12">
                  <c:v>1350</c:v>
                </c:pt>
                <c:pt idx="13">
                  <c:v>2550</c:v>
                </c:pt>
                <c:pt idx="14">
                  <c:v>2400</c:v>
                </c:pt>
                <c:pt idx="15">
                  <c:v>1350</c:v>
                </c:pt>
                <c:pt idx="16">
                  <c:v>1050</c:v>
                </c:pt>
                <c:pt idx="17">
                  <c:v>300</c:v>
                </c:pt>
                <c:pt idx="18">
                  <c:v>0</c:v>
                </c:pt>
                <c:pt idx="19">
                  <c:v>1650</c:v>
                </c:pt>
                <c:pt idx="20">
                  <c:v>750</c:v>
                </c:pt>
                <c:pt idx="21">
                  <c:v>2100</c:v>
                </c:pt>
                <c:pt idx="22">
                  <c:v>900</c:v>
                </c:pt>
                <c:pt idx="23">
                  <c:v>0</c:v>
                </c:pt>
                <c:pt idx="24">
                  <c:v>1500</c:v>
                </c:pt>
                <c:pt idx="25">
                  <c:v>150</c:v>
                </c:pt>
                <c:pt idx="26">
                  <c:v>150</c:v>
                </c:pt>
                <c:pt idx="27">
                  <c:v>1050</c:v>
                </c:pt>
                <c:pt idx="28">
                  <c:v>2400</c:v>
                </c:pt>
                <c:pt idx="29">
                  <c:v>750</c:v>
                </c:pt>
                <c:pt idx="30">
                  <c:v>150</c:v>
                </c:pt>
                <c:pt idx="31">
                  <c:v>0</c:v>
                </c:pt>
                <c:pt idx="32">
                  <c:v>1950</c:v>
                </c:pt>
                <c:pt idx="33">
                  <c:v>300</c:v>
                </c:pt>
                <c:pt idx="34">
                  <c:v>1500</c:v>
                </c:pt>
                <c:pt idx="35">
                  <c:v>300</c:v>
                </c:pt>
                <c:pt idx="36">
                  <c:v>0</c:v>
                </c:pt>
                <c:pt idx="37">
                  <c:v>0</c:v>
                </c:pt>
                <c:pt idx="38">
                  <c:v>4200</c:v>
                </c:pt>
                <c:pt idx="39">
                  <c:v>2850</c:v>
                </c:pt>
                <c:pt idx="40">
                  <c:v>1500</c:v>
                </c:pt>
                <c:pt idx="41">
                  <c:v>900</c:v>
                </c:pt>
                <c:pt idx="4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5-4E60-9126-B9A15B80D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443567"/>
        <c:axId val="1550434447"/>
      </c:barChart>
      <c:catAx>
        <c:axId val="155044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34447"/>
        <c:crosses val="autoZero"/>
        <c:auto val="1"/>
        <c:lblAlgn val="ctr"/>
        <c:lblOffset val="100"/>
        <c:noMultiLvlLbl val="0"/>
      </c:catAx>
      <c:valAx>
        <c:axId val="15504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Sum of OT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CALCULATIONS!$D$2:$D$44</c:f>
              <c:numCache>
                <c:formatCode>General</c:formatCode>
                <c:ptCount val="43"/>
                <c:pt idx="0">
                  <c:v>750</c:v>
                </c:pt>
                <c:pt idx="1">
                  <c:v>300</c:v>
                </c:pt>
                <c:pt idx="2">
                  <c:v>0</c:v>
                </c:pt>
                <c:pt idx="3">
                  <c:v>0</c:v>
                </c:pt>
                <c:pt idx="4">
                  <c:v>1200</c:v>
                </c:pt>
                <c:pt idx="5">
                  <c:v>300</c:v>
                </c:pt>
                <c:pt idx="6">
                  <c:v>1200</c:v>
                </c:pt>
                <c:pt idx="7">
                  <c:v>2850</c:v>
                </c:pt>
                <c:pt idx="8">
                  <c:v>600</c:v>
                </c:pt>
                <c:pt idx="9">
                  <c:v>600</c:v>
                </c:pt>
                <c:pt idx="10">
                  <c:v>450</c:v>
                </c:pt>
                <c:pt idx="11">
                  <c:v>1350</c:v>
                </c:pt>
                <c:pt idx="12">
                  <c:v>1350</c:v>
                </c:pt>
                <c:pt idx="13">
                  <c:v>2550</c:v>
                </c:pt>
                <c:pt idx="14">
                  <c:v>2400</c:v>
                </c:pt>
                <c:pt idx="15">
                  <c:v>1350</c:v>
                </c:pt>
                <c:pt idx="16">
                  <c:v>1050</c:v>
                </c:pt>
                <c:pt idx="17">
                  <c:v>300</c:v>
                </c:pt>
                <c:pt idx="18">
                  <c:v>0</c:v>
                </c:pt>
                <c:pt idx="19">
                  <c:v>1650</c:v>
                </c:pt>
                <c:pt idx="20">
                  <c:v>750</c:v>
                </c:pt>
                <c:pt idx="21">
                  <c:v>2100</c:v>
                </c:pt>
                <c:pt idx="22">
                  <c:v>900</c:v>
                </c:pt>
                <c:pt idx="23">
                  <c:v>0</c:v>
                </c:pt>
                <c:pt idx="24">
                  <c:v>1500</c:v>
                </c:pt>
                <c:pt idx="25">
                  <c:v>150</c:v>
                </c:pt>
                <c:pt idx="26">
                  <c:v>150</c:v>
                </c:pt>
                <c:pt idx="27">
                  <c:v>1050</c:v>
                </c:pt>
                <c:pt idx="28">
                  <c:v>2400</c:v>
                </c:pt>
                <c:pt idx="29">
                  <c:v>750</c:v>
                </c:pt>
                <c:pt idx="30">
                  <c:v>150</c:v>
                </c:pt>
                <c:pt idx="31">
                  <c:v>0</c:v>
                </c:pt>
                <c:pt idx="32">
                  <c:v>1950</c:v>
                </c:pt>
                <c:pt idx="33">
                  <c:v>300</c:v>
                </c:pt>
                <c:pt idx="34">
                  <c:v>1500</c:v>
                </c:pt>
                <c:pt idx="35">
                  <c:v>300</c:v>
                </c:pt>
                <c:pt idx="36">
                  <c:v>0</c:v>
                </c:pt>
                <c:pt idx="37">
                  <c:v>0</c:v>
                </c:pt>
                <c:pt idx="38">
                  <c:v>4200</c:v>
                </c:pt>
                <c:pt idx="39">
                  <c:v>2850</c:v>
                </c:pt>
                <c:pt idx="40">
                  <c:v>1500</c:v>
                </c:pt>
                <c:pt idx="41">
                  <c:v>900</c:v>
                </c:pt>
                <c:pt idx="4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5-49E0-9425-743176EF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465167"/>
        <c:axId val="1550481487"/>
      </c:barChart>
      <c:lineChart>
        <c:grouping val="standard"/>
        <c:varyColors val="0"/>
        <c:ser>
          <c:idx val="1"/>
          <c:order val="1"/>
          <c:tx>
            <c:strRef>
              <c:f>CALCULATIONS!$F$1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CALCULATIONS!$B$2:$B$44</c:f>
              <c:strCache>
                <c:ptCount val="43"/>
                <c:pt idx="0">
                  <c:v>MH03AH8989</c:v>
                </c:pt>
                <c:pt idx="1">
                  <c:v>MH12RN4983</c:v>
                </c:pt>
                <c:pt idx="2">
                  <c:v>MH12SF9859</c:v>
                </c:pt>
                <c:pt idx="3">
                  <c:v>MH12UM0925</c:v>
                </c:pt>
                <c:pt idx="4">
                  <c:v>MH12UM3063</c:v>
                </c:pt>
                <c:pt idx="5">
                  <c:v>MH12VF3782</c:v>
                </c:pt>
                <c:pt idx="6">
                  <c:v>MH12WX6236</c:v>
                </c:pt>
                <c:pt idx="7">
                  <c:v>MH12XM2801</c:v>
                </c:pt>
                <c:pt idx="8">
                  <c:v>MH12YB3190</c:v>
                </c:pt>
                <c:pt idx="9">
                  <c:v>MH12YQ2365</c:v>
                </c:pt>
                <c:pt idx="10">
                  <c:v>MH14CP4610</c:v>
                </c:pt>
                <c:pt idx="11">
                  <c:v>MH14EM3160</c:v>
                </c:pt>
                <c:pt idx="12">
                  <c:v>MH14JL3308</c:v>
                </c:pt>
                <c:pt idx="13">
                  <c:v>MH14KA0766</c:v>
                </c:pt>
                <c:pt idx="14">
                  <c:v>MH14KA1228</c:v>
                </c:pt>
                <c:pt idx="15">
                  <c:v>MH14KA1873</c:v>
                </c:pt>
                <c:pt idx="16">
                  <c:v>MH14KA2871</c:v>
                </c:pt>
                <c:pt idx="17">
                  <c:v>MH14KA5782</c:v>
                </c:pt>
                <c:pt idx="18">
                  <c:v>MH14KA5875</c:v>
                </c:pt>
                <c:pt idx="19">
                  <c:v>MH14KA6513</c:v>
                </c:pt>
                <c:pt idx="20">
                  <c:v>MH14KA6730</c:v>
                </c:pt>
                <c:pt idx="21">
                  <c:v>MH14KQ0279</c:v>
                </c:pt>
                <c:pt idx="22">
                  <c:v>MH14KQ4401</c:v>
                </c:pt>
                <c:pt idx="23">
                  <c:v>MH14LB2427</c:v>
                </c:pt>
                <c:pt idx="24">
                  <c:v>MH14LB4598</c:v>
                </c:pt>
                <c:pt idx="25">
                  <c:v>MH14LB5906</c:v>
                </c:pt>
                <c:pt idx="26">
                  <c:v>MH14LB6732</c:v>
                </c:pt>
                <c:pt idx="27">
                  <c:v>MH14LB6751</c:v>
                </c:pt>
                <c:pt idx="28">
                  <c:v>MH14LL4513</c:v>
                </c:pt>
                <c:pt idx="29">
                  <c:v>MH14LL5974</c:v>
                </c:pt>
                <c:pt idx="30">
                  <c:v>MH14LL6836</c:v>
                </c:pt>
                <c:pt idx="31">
                  <c:v>MH14LX1921</c:v>
                </c:pt>
                <c:pt idx="32">
                  <c:v>MH14LX4839</c:v>
                </c:pt>
                <c:pt idx="33">
                  <c:v>MH14LX4840</c:v>
                </c:pt>
                <c:pt idx="34">
                  <c:v>MH14LX6360</c:v>
                </c:pt>
                <c:pt idx="35">
                  <c:v>MH14MH1873</c:v>
                </c:pt>
                <c:pt idx="36">
                  <c:v>MH14MH2559</c:v>
                </c:pt>
                <c:pt idx="37">
                  <c:v>MH14MH4582</c:v>
                </c:pt>
                <c:pt idx="38">
                  <c:v>MH14MH6374</c:v>
                </c:pt>
                <c:pt idx="39">
                  <c:v>MH14MH7322</c:v>
                </c:pt>
                <c:pt idx="40">
                  <c:v>MH14MH8276</c:v>
                </c:pt>
                <c:pt idx="41">
                  <c:v>MH16CD7321</c:v>
                </c:pt>
                <c:pt idx="42">
                  <c:v>MH20GC8804</c:v>
                </c:pt>
              </c:strCache>
            </c:strRef>
          </c:cat>
          <c:val>
            <c:numRef>
              <c:f>CALCULATIONS!$F$2:$F$44</c:f>
              <c:numCache>
                <c:formatCode>General</c:formatCode>
                <c:ptCount val="43"/>
                <c:pt idx="0">
                  <c:v>23387.096774193549</c:v>
                </c:pt>
                <c:pt idx="1">
                  <c:v>23387.096774193549</c:v>
                </c:pt>
                <c:pt idx="2">
                  <c:v>23387.096774193549</c:v>
                </c:pt>
                <c:pt idx="3">
                  <c:v>23387.096774193549</c:v>
                </c:pt>
                <c:pt idx="4">
                  <c:v>30870.967741935485</c:v>
                </c:pt>
                <c:pt idx="5">
                  <c:v>23387.096774193549</c:v>
                </c:pt>
                <c:pt idx="6">
                  <c:v>23387.096774193549</c:v>
                </c:pt>
                <c:pt idx="7">
                  <c:v>23387.096774193549</c:v>
                </c:pt>
                <c:pt idx="8">
                  <c:v>23387.096774193549</c:v>
                </c:pt>
                <c:pt idx="9">
                  <c:v>27129.032258064515</c:v>
                </c:pt>
                <c:pt idx="10">
                  <c:v>23387.096774193549</c:v>
                </c:pt>
                <c:pt idx="11">
                  <c:v>23387.096774193549</c:v>
                </c:pt>
                <c:pt idx="12">
                  <c:v>23387.096774193549</c:v>
                </c:pt>
                <c:pt idx="13">
                  <c:v>23387.096774193549</c:v>
                </c:pt>
                <c:pt idx="14">
                  <c:v>23387.096774193549</c:v>
                </c:pt>
                <c:pt idx="15">
                  <c:v>23387.096774193549</c:v>
                </c:pt>
                <c:pt idx="16">
                  <c:v>23387.096774193549</c:v>
                </c:pt>
                <c:pt idx="17">
                  <c:v>23387.096774193549</c:v>
                </c:pt>
                <c:pt idx="18">
                  <c:v>23387.096774193549</c:v>
                </c:pt>
                <c:pt idx="19">
                  <c:v>30870.967741935485</c:v>
                </c:pt>
                <c:pt idx="20">
                  <c:v>23387.096774193549</c:v>
                </c:pt>
                <c:pt idx="21">
                  <c:v>23387.096774193549</c:v>
                </c:pt>
                <c:pt idx="22">
                  <c:v>23387.096774193549</c:v>
                </c:pt>
                <c:pt idx="23">
                  <c:v>35548.38709677419</c:v>
                </c:pt>
                <c:pt idx="24">
                  <c:v>23387.096774193549</c:v>
                </c:pt>
                <c:pt idx="25">
                  <c:v>23387.096774193549</c:v>
                </c:pt>
                <c:pt idx="26">
                  <c:v>23387.096774193549</c:v>
                </c:pt>
                <c:pt idx="27">
                  <c:v>23387.096774193549</c:v>
                </c:pt>
                <c:pt idx="28">
                  <c:v>27129.032258064515</c:v>
                </c:pt>
                <c:pt idx="29">
                  <c:v>23387.096774193549</c:v>
                </c:pt>
                <c:pt idx="30">
                  <c:v>30870.967741935485</c:v>
                </c:pt>
                <c:pt idx="31">
                  <c:v>35548.38709677419</c:v>
                </c:pt>
                <c:pt idx="32">
                  <c:v>27129.032258064515</c:v>
                </c:pt>
                <c:pt idx="33">
                  <c:v>27129.032258064515</c:v>
                </c:pt>
                <c:pt idx="34">
                  <c:v>23387.096774193549</c:v>
                </c:pt>
                <c:pt idx="35">
                  <c:v>27129.032258064515</c:v>
                </c:pt>
                <c:pt idx="36">
                  <c:v>35548.38709677419</c:v>
                </c:pt>
                <c:pt idx="37">
                  <c:v>23387.096774193549</c:v>
                </c:pt>
                <c:pt idx="38">
                  <c:v>23387.096774193549</c:v>
                </c:pt>
                <c:pt idx="39">
                  <c:v>27129.032258064515</c:v>
                </c:pt>
                <c:pt idx="40">
                  <c:v>23387.096774193549</c:v>
                </c:pt>
                <c:pt idx="41">
                  <c:v>27129.032258064515</c:v>
                </c:pt>
                <c:pt idx="42">
                  <c:v>23387.096774193549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5-49E0-9425-743176EF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481007"/>
        <c:axId val="1550468527"/>
      </c:lineChart>
      <c:catAx>
        <c:axId val="15504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81487"/>
        <c:crosses val="autoZero"/>
        <c:auto val="1"/>
        <c:lblAlgn val="ctr"/>
        <c:lblOffset val="100"/>
        <c:noMultiLvlLbl val="0"/>
      </c:catAx>
      <c:valAx>
        <c:axId val="15504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65167"/>
        <c:crosses val="autoZero"/>
        <c:crossBetween val="between"/>
      </c:valAx>
      <c:valAx>
        <c:axId val="15504685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81007"/>
        <c:crosses val="max"/>
        <c:crossBetween val="between"/>
      </c:valAx>
      <c:catAx>
        <c:axId val="1550481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04685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CALCULATIONS!$B$1</c:f>
              <c:strCache>
                <c:ptCount val="1"/>
                <c:pt idx="0">
                  <c:v>Vehicle 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CALCULATIONS!$B$2:$B$44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5-4544-8EC5-DE210C9DD53D}"/>
            </c:ext>
          </c:extLst>
        </c:ser>
        <c:ser>
          <c:idx val="2"/>
          <c:order val="2"/>
          <c:tx>
            <c:strRef>
              <c:f>CALCULATIONS!$F$1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CALCULATIONS!$F$2:$F$44</c:f>
              <c:numCache>
                <c:formatCode>General</c:formatCode>
                <c:ptCount val="43"/>
                <c:pt idx="0">
                  <c:v>23387.096774193549</c:v>
                </c:pt>
                <c:pt idx="1">
                  <c:v>23387.096774193549</c:v>
                </c:pt>
                <c:pt idx="2">
                  <c:v>23387.096774193549</c:v>
                </c:pt>
                <c:pt idx="3">
                  <c:v>23387.096774193549</c:v>
                </c:pt>
                <c:pt idx="4">
                  <c:v>30870.967741935485</c:v>
                </c:pt>
                <c:pt idx="5">
                  <c:v>23387.096774193549</c:v>
                </c:pt>
                <c:pt idx="6">
                  <c:v>23387.096774193549</c:v>
                </c:pt>
                <c:pt idx="7">
                  <c:v>23387.096774193549</c:v>
                </c:pt>
                <c:pt idx="8">
                  <c:v>23387.096774193549</c:v>
                </c:pt>
                <c:pt idx="9">
                  <c:v>27129.032258064515</c:v>
                </c:pt>
                <c:pt idx="10">
                  <c:v>23387.096774193549</c:v>
                </c:pt>
                <c:pt idx="11">
                  <c:v>23387.096774193549</c:v>
                </c:pt>
                <c:pt idx="12">
                  <c:v>23387.096774193549</c:v>
                </c:pt>
                <c:pt idx="13">
                  <c:v>23387.096774193549</c:v>
                </c:pt>
                <c:pt idx="14">
                  <c:v>23387.096774193549</c:v>
                </c:pt>
                <c:pt idx="15">
                  <c:v>23387.096774193549</c:v>
                </c:pt>
                <c:pt idx="16">
                  <c:v>23387.096774193549</c:v>
                </c:pt>
                <c:pt idx="17">
                  <c:v>23387.096774193549</c:v>
                </c:pt>
                <c:pt idx="18">
                  <c:v>23387.096774193549</c:v>
                </c:pt>
                <c:pt idx="19">
                  <c:v>30870.967741935485</c:v>
                </c:pt>
                <c:pt idx="20">
                  <c:v>23387.096774193549</c:v>
                </c:pt>
                <c:pt idx="21">
                  <c:v>23387.096774193549</c:v>
                </c:pt>
                <c:pt idx="22">
                  <c:v>23387.096774193549</c:v>
                </c:pt>
                <c:pt idx="23">
                  <c:v>35548.38709677419</c:v>
                </c:pt>
                <c:pt idx="24">
                  <c:v>23387.096774193549</c:v>
                </c:pt>
                <c:pt idx="25">
                  <c:v>23387.096774193549</c:v>
                </c:pt>
                <c:pt idx="26">
                  <c:v>23387.096774193549</c:v>
                </c:pt>
                <c:pt idx="27">
                  <c:v>23387.096774193549</c:v>
                </c:pt>
                <c:pt idx="28">
                  <c:v>27129.032258064515</c:v>
                </c:pt>
                <c:pt idx="29">
                  <c:v>23387.096774193549</c:v>
                </c:pt>
                <c:pt idx="30">
                  <c:v>30870.967741935485</c:v>
                </c:pt>
                <c:pt idx="31">
                  <c:v>35548.38709677419</c:v>
                </c:pt>
                <c:pt idx="32">
                  <c:v>27129.032258064515</c:v>
                </c:pt>
                <c:pt idx="33">
                  <c:v>27129.032258064515</c:v>
                </c:pt>
                <c:pt idx="34">
                  <c:v>23387.096774193549</c:v>
                </c:pt>
                <c:pt idx="35">
                  <c:v>27129.032258064515</c:v>
                </c:pt>
                <c:pt idx="36">
                  <c:v>35548.38709677419</c:v>
                </c:pt>
                <c:pt idx="37">
                  <c:v>23387.096774193549</c:v>
                </c:pt>
                <c:pt idx="38">
                  <c:v>23387.096774193549</c:v>
                </c:pt>
                <c:pt idx="39">
                  <c:v>27129.032258064515</c:v>
                </c:pt>
                <c:pt idx="40">
                  <c:v>23387.096774193549</c:v>
                </c:pt>
                <c:pt idx="41">
                  <c:v>27129.032258064515</c:v>
                </c:pt>
                <c:pt idx="42">
                  <c:v>23387.096774193549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5-4544-8EC5-DE210C9DD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1666943"/>
        <c:axId val="1401660223"/>
      </c:barChart>
      <c:lineChart>
        <c:grouping val="standard"/>
        <c:varyColors val="0"/>
        <c:ser>
          <c:idx val="0"/>
          <c:order val="0"/>
          <c:tx>
            <c:strRef>
              <c:f>CALCULATIONS!$A$1</c:f>
              <c:strCache>
                <c:ptCount val="1"/>
                <c:pt idx="0">
                  <c:v>Base Rate(Monthly)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CALCULATIONS!$A$2:$A$44</c:f>
              <c:numCache>
                <c:formatCode>General</c:formatCode>
                <c:ptCount val="4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33000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29000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33000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38000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29000</c:v>
                </c:pt>
                <c:pt idx="29">
                  <c:v>25000</c:v>
                </c:pt>
                <c:pt idx="30">
                  <c:v>33000</c:v>
                </c:pt>
                <c:pt idx="31">
                  <c:v>38000</c:v>
                </c:pt>
                <c:pt idx="32">
                  <c:v>29000</c:v>
                </c:pt>
                <c:pt idx="33">
                  <c:v>29000</c:v>
                </c:pt>
                <c:pt idx="34">
                  <c:v>25000</c:v>
                </c:pt>
                <c:pt idx="35">
                  <c:v>29000</c:v>
                </c:pt>
                <c:pt idx="36">
                  <c:v>38000</c:v>
                </c:pt>
                <c:pt idx="37">
                  <c:v>25000</c:v>
                </c:pt>
                <c:pt idx="38">
                  <c:v>25000</c:v>
                </c:pt>
                <c:pt idx="39">
                  <c:v>29000</c:v>
                </c:pt>
                <c:pt idx="40">
                  <c:v>25000</c:v>
                </c:pt>
                <c:pt idx="41">
                  <c:v>29000</c:v>
                </c:pt>
                <c:pt idx="42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5-4544-8EC5-DE210C9DD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649183"/>
        <c:axId val="1401662143"/>
      </c:lineChart>
      <c:catAx>
        <c:axId val="140166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60223"/>
        <c:crosses val="autoZero"/>
        <c:auto val="1"/>
        <c:lblAlgn val="ctr"/>
        <c:lblOffset val="100"/>
        <c:noMultiLvlLbl val="0"/>
      </c:catAx>
      <c:valAx>
        <c:axId val="140166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66943"/>
        <c:crosses val="autoZero"/>
        <c:crossBetween val="between"/>
      </c:valAx>
      <c:valAx>
        <c:axId val="1401662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49183"/>
        <c:crosses val="max"/>
        <c:crossBetween val="between"/>
      </c:valAx>
      <c:catAx>
        <c:axId val="1401649183"/>
        <c:scaling>
          <c:orientation val="minMax"/>
        </c:scaling>
        <c:delete val="1"/>
        <c:axPos val="b"/>
        <c:majorTickMark val="out"/>
        <c:minorTickMark val="none"/>
        <c:tickLblPos val="nextTo"/>
        <c:crossAx val="1401662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127000</xdr:rowOff>
    </xdr:from>
    <xdr:to>
      <xdr:col>11</xdr:col>
      <xdr:colOff>69850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21A882-DBE4-4618-845D-FC9C96E30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261056</xdr:colOff>
      <xdr:row>17</xdr:row>
      <xdr:rowOff>98777</xdr:rowOff>
    </xdr:from>
    <xdr:to>
      <xdr:col>19</xdr:col>
      <xdr:colOff>119944</xdr:colOff>
      <xdr:row>33</xdr:row>
      <xdr:rowOff>55033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4753E4-DD04-4A64-BA64-31FEC6B3F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183444</xdr:colOff>
      <xdr:row>0</xdr:row>
      <xdr:rowOff>0</xdr:rowOff>
    </xdr:from>
    <xdr:to>
      <xdr:col>19</xdr:col>
      <xdr:colOff>402166</xdr:colOff>
      <xdr:row>16</xdr:row>
      <xdr:rowOff>112889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AE15FB-131F-417C-81EE-B04CC90AE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11</xdr:col>
      <xdr:colOff>56444</xdr:colOff>
      <xdr:row>34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AF2E81-41DF-4275-8F98-0C5A4C492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406399</xdr:colOff>
      <xdr:row>0</xdr:row>
      <xdr:rowOff>0</xdr:rowOff>
    </xdr:from>
    <xdr:to>
      <xdr:col>17</xdr:col>
      <xdr:colOff>581024</xdr:colOff>
      <xdr:row>8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788245-96A0-4EFE-2F02-265D8F335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6349</xdr:colOff>
      <xdr:row>23</xdr:row>
      <xdr:rowOff>152400</xdr:rowOff>
    </xdr:from>
    <xdr:to>
      <xdr:col>18</xdr:col>
      <xdr:colOff>549274</xdr:colOff>
      <xdr:row>34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5FE7B6-9DD5-4A9B-1ABF-810152F13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431799</xdr:colOff>
      <xdr:row>10</xdr:row>
      <xdr:rowOff>57150</xdr:rowOff>
    </xdr:from>
    <xdr:to>
      <xdr:col>18</xdr:col>
      <xdr:colOff>168274</xdr:colOff>
      <xdr:row>21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ECA087-FA11-A46A-73BD-728F59997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561975</xdr:colOff>
      <xdr:row>35</xdr:row>
      <xdr:rowOff>76200</xdr:rowOff>
    </xdr:from>
    <xdr:to>
      <xdr:col>19</xdr:col>
      <xdr:colOff>257175</xdr:colOff>
      <xdr:row>50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11C780-4541-4A42-5447-5713AE5B0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njewadi Admin" refreshedDate="45970.496214699073" createdVersion="6" refreshedVersion="6" minRefreshableVersion="3" recordCount="736" xr:uid="{A0FDCF1E-5980-4CE8-8308-B92990CBF3FE}">
  <cacheSource type="worksheet">
    <worksheetSource ref="A1:AN737" sheet="SHADOWFAX"/>
  </cacheSource>
  <cacheFields count="40">
    <cacheField name="Sr.No" numFmtId="0">
      <sharedItems containsSemiMixedTypes="0" containsString="0" containsNumber="1" containsInteger="1" minValue="1" maxValue="736"/>
    </cacheField>
    <cacheField name="DATE" numFmtId="14">
      <sharedItems containsSemiMixedTypes="0" containsNonDate="0" containsDate="1" containsString="0" minDate="2025-10-01T00:00:00" maxDate="2025-11-01T00:00:00" count="30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</cacheField>
    <cacheField name="HUB NAME" numFmtId="0">
      <sharedItems/>
    </cacheField>
    <cacheField name="HUB CODE_x000a_(FCPL)" numFmtId="0">
      <sharedItems/>
    </cacheField>
    <cacheField name="VENDOR NAME" numFmtId="0">
      <sharedItems count="1">
        <s v="SHADOWFAX TECHNOLOGIES PRIVATE LIMITED"/>
      </sharedItems>
    </cacheField>
    <cacheField name="VEHICLE NUMBER" numFmtId="0">
      <sharedItems count="43">
        <s v="MH03AH8989"/>
        <s v="MH12RN4983"/>
        <s v="MH12UM3063"/>
        <s v="MH12VF3782"/>
        <s v="MH12XM2801"/>
        <s v="MH14CP4610"/>
        <s v="MH14KA0766"/>
        <s v="MH14KA1228"/>
        <s v="MH14KA1873"/>
        <s v="MH14KA6513"/>
        <s v="MH14KQ4401"/>
        <s v="MH14LB6732"/>
        <s v="MH14LB6751"/>
        <s v="MH14LL5974"/>
        <s v="MH14LL6836"/>
        <s v="MH14LX6360"/>
        <s v="MH14MH4582"/>
        <s v="MH14MH6374"/>
        <s v="MH14MH8276"/>
        <s v="MH14LL4513"/>
        <s v="MH14LX4839"/>
        <s v="MH14MH7322"/>
        <s v="MH16CD7321"/>
        <s v="MH14KA2871"/>
        <s v="MH14KA6730"/>
        <s v="MH14KQ0279"/>
        <s v="MH20GC8804"/>
        <s v="MH14MH1873"/>
        <s v="MH12YB3190"/>
        <s v="MH12SF9859"/>
        <s v="MH12WX6236"/>
        <s v="MH14LX4840"/>
        <s v="MH14LX1921"/>
        <s v="MH14EM3160"/>
        <s v="MH14KA5782"/>
        <s v="MH14LB5906"/>
        <s v="MH14JL3308"/>
        <s v="MH14LB4598"/>
        <s v="MH12UM0925"/>
        <s v="MH14MH2559"/>
        <s v="MH14LB2427"/>
        <s v="MH12YQ2365"/>
        <s v="MH14KA5875"/>
      </sharedItems>
    </cacheField>
    <cacheField name="VEHICLE TYPE" numFmtId="0">
      <sharedItems/>
    </cacheField>
    <cacheField name="FUEL TYPE" numFmtId="0">
      <sharedItems/>
    </cacheField>
    <cacheField name="SHIFT TYPE" numFmtId="0">
      <sharedItems containsSemiMixedTypes="0" containsString="0" containsNumber="1" containsInteger="1" minValue="4" maxValue="6"/>
    </cacheField>
    <cacheField name="EXTRA KM UNIT COST" numFmtId="0">
      <sharedItems containsSemiMixedTypes="0" containsString="0" containsNumber="1" containsInteger="1" minValue="8" maxValue="10"/>
    </cacheField>
    <cacheField name="BASE RATE_x000a_(Monthly)" numFmtId="0">
      <sharedItems containsSemiMixedTypes="0" containsString="0" containsNumber="1" containsInteger="1" minValue="25000" maxValue="38000" count="4">
        <n v="25000"/>
        <n v="33000"/>
        <n v="29000"/>
        <n v="38000"/>
      </sharedItems>
    </cacheField>
    <cacheField name="Base KM" numFmtId="0">
      <sharedItems containsSemiMixedTypes="0" containsString="0" containsNumber="1" containsInteger="1" minValue="1000" maxValue="2000"/>
    </cacheField>
    <cacheField name="Max vehicle capicity(in crates)" numFmtId="0">
      <sharedItems containsSemiMixedTypes="0" containsString="0" containsNumber="1" containsInteger="1" minValue="55" maxValue="55"/>
    </cacheField>
    <cacheField name="TOTAL DAYS IN MONTH" numFmtId="0">
      <sharedItems containsSemiMixedTypes="0" containsString="0" containsNumber="1" containsInteger="1" minValue="31" maxValue="31"/>
    </cacheField>
    <cacheField name="CLUSTER NAME" numFmtId="0">
      <sharedItems/>
    </cacheField>
    <cacheField name="Cluster distance from Hub" numFmtId="0">
      <sharedItems containsNonDate="0" containsString="0" containsBlank="1"/>
    </cacheField>
    <cacheField name="BEFORE DELIVERY IN TIME" numFmtId="0">
      <sharedItems containsNonDate="0" containsDate="1" containsString="0" containsBlank="1" minDate="1899-12-30T00:48:00" maxDate="1899-12-30T03:54:00"/>
    </cacheField>
    <cacheField name="BEFORE DELIVERY OUT TIME" numFmtId="0">
      <sharedItems containsNonDate="0" containsDate="1" containsString="0" containsBlank="1" minDate="1899-12-30T01:04:00" maxDate="1899-12-30T08:13:37"/>
    </cacheField>
    <cacheField name="BEFORE DELIVERY READING" numFmtId="0">
      <sharedItems containsString="0" containsBlank="1" containsNumber="1" containsInteger="1" minValue="124" maxValue="191370"/>
    </cacheField>
    <cacheField name="AFTER DELIVERY IN TIME" numFmtId="0">
      <sharedItems containsNonDate="0" containsDate="1" containsString="0" containsBlank="1" minDate="1899-12-30T05:31:00" maxDate="1899-12-30T11:50:15"/>
    </cacheField>
    <cacheField name="AFTER DELIVERY OUT TIME" numFmtId="0">
      <sharedItems containsNonDate="0" containsDate="1" containsString="0" containsBlank="1" minDate="1899-12-30T05:31:00" maxDate="1899-12-30T11:50:26"/>
    </cacheField>
    <cacheField name="AFTER DELIVERY OUT READING" numFmtId="0">
      <sharedItems containsString="0" containsBlank="1" containsNumber="1" containsInteger="1" minValue="124" maxValue="191390"/>
    </cacheField>
    <cacheField name="CRATE COUNT_x000a_(OUT)" numFmtId="0">
      <sharedItems containsString="0" containsBlank="1" containsNumber="1" containsInteger="1" minValue="0" maxValue="97"/>
    </cacheField>
    <cacheField name="CRATE COUNT_x000a_(IN)" numFmtId="0">
      <sharedItems containsString="0" containsBlank="1" containsNumber="1" containsInteger="1" minValue="0" maxValue="97"/>
    </cacheField>
    <cacheField name="DIFFERENCE IN CRATE COUNT" numFmtId="0">
      <sharedItems containsSemiMixedTypes="0" containsString="0" containsNumber="1" containsInteger="1" minValue="-83" maxValue="36"/>
    </cacheField>
    <cacheField name="TOTAL READING" numFmtId="0">
      <sharedItems containsSemiMixedTypes="0" containsString="0" containsNumber="1" containsInteger="1" minValue="0" maxValue="98"/>
    </cacheField>
    <cacheField name="TOTAL KM" numFmtId="0">
      <sharedItems containsSemiMixedTypes="0" containsString="0" containsNumber="1" containsInteger="1" minValue="0" maxValue="98"/>
    </cacheField>
    <cacheField name="EXTRA KM" numFmtId="0">
      <sharedItems containsSemiMixedTypes="0" containsString="0" containsNumber="1" containsInteger="1" minValue="0" maxValue="0"/>
    </cacheField>
    <cacheField name="EXTRA KM COST" numFmtId="0">
      <sharedItems containsSemiMixedTypes="0" containsString="0" containsNumber="1" containsInteger="1" minValue="0" maxValue="0"/>
    </cacheField>
    <cacheField name="OT HRS" numFmtId="0">
      <sharedItems containsSemiMixedTypes="0" containsString="0" containsNumber="1" containsInteger="1" minValue="0" maxValue="4"/>
    </cacheField>
    <cacheField name="OT COST" numFmtId="0">
      <sharedItems containsSemiMixedTypes="0" containsString="0" containsNumber="1" containsInteger="1" minValue="0" maxValue="600" count="5">
        <n v="0"/>
        <n v="150"/>
        <n v="300"/>
        <n v="450"/>
        <n v="600"/>
      </sharedItems>
    </cacheField>
    <cacheField name="LATE REPORTING IN WH" numFmtId="0">
      <sharedItems containsSemiMixedTypes="0" containsString="0" containsNumber="1" containsInteger="1" minValue="0" maxValue="1"/>
    </cacheField>
    <cacheField name="LATE REPORTING PENALTY" numFmtId="0">
      <sharedItems containsSemiMixedTypes="0" containsString="0" containsNumber="1" containsInteger="1" minValue="0" maxValue="150"/>
    </cacheField>
    <cacheField name="INCENTIVE" numFmtId="0">
      <sharedItems containsSemiMixedTypes="0" containsString="0" containsNumber="1" containsInteger="1" minValue="0" maxValue="18000"/>
    </cacheField>
    <cacheField name="MCD TOLL" numFmtId="0">
      <sharedItems containsSemiMixedTypes="0" containsString="0" containsNumber="1" containsInteger="1" minValue="0" maxValue="0"/>
    </cacheField>
    <cacheField name="TOTAL ADDITION" numFmtId="0">
      <sharedItems containsSemiMixedTypes="0" containsString="0" containsNumber="1" minValue="806.45" maxValue="18935.48"/>
    </cacheField>
    <cacheField name="TOTAL DEDEUCTION" numFmtId="0">
      <sharedItems containsSemiMixedTypes="0" containsString="0" containsNumber="1" containsInteger="1" minValue="0" maxValue="14000"/>
    </cacheField>
    <cacheField name="TOTAL PAYABLE AMOUNT" numFmtId="0">
      <sharedItems containsSemiMixedTypes="0" containsString="0" containsNumber="1" minValue="806.45" maxValue="4935.4799999999996"/>
    </cacheField>
    <cacheField name="REMARK" numFmtId="0">
      <sharedItems containsBlank="1"/>
    </cacheField>
    <cacheField name="CLUST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n v="1"/>
    <x v="0"/>
    <s v="HINJEWADI"/>
    <s v="SLK1"/>
    <x v="0"/>
    <x v="0"/>
    <s v="ACE"/>
    <s v="CNG"/>
    <n v="4"/>
    <n v="8"/>
    <x v="0"/>
    <n v="1000"/>
    <n v="55"/>
    <n v="31"/>
    <s v="PUN01 NC Cluster 1"/>
    <m/>
    <d v="1899-12-30T00:58:00"/>
    <d v="1899-12-30T04:11:32"/>
    <n v="55287"/>
    <d v="1899-12-30T06:44:41"/>
    <d v="1899-12-30T06:44:52"/>
    <n v="55293"/>
    <n v="48"/>
    <n v="48"/>
    <n v="0"/>
    <n v="6"/>
    <n v="6"/>
    <n v="0"/>
    <n v="0"/>
    <n v="0"/>
    <x v="0"/>
    <n v="0"/>
    <n v="0"/>
    <n v="0"/>
    <n v="0"/>
    <n v="806.45"/>
    <n v="0"/>
    <n v="806.45"/>
    <m/>
    <m/>
  </r>
  <r>
    <n v="2"/>
    <x v="0"/>
    <s v="HINJEWADI"/>
    <s v="SLK1"/>
    <x v="0"/>
    <x v="1"/>
    <s v="ACE"/>
    <s v="CNG"/>
    <n v="4"/>
    <n v="8"/>
    <x v="0"/>
    <n v="1000"/>
    <n v="55"/>
    <n v="31"/>
    <s v="PUN01 NC Cluster 3"/>
    <m/>
    <d v="1899-12-30T03:54:00"/>
    <d v="1899-12-30T07:13:43"/>
    <n v="190832"/>
    <d v="1899-12-30T08:33:41"/>
    <d v="1899-12-30T08:34:01"/>
    <n v="190842"/>
    <n v="0"/>
    <n v="0"/>
    <n v="0"/>
    <n v="10"/>
    <n v="10"/>
    <n v="0"/>
    <n v="0"/>
    <n v="1"/>
    <x v="1"/>
    <n v="0"/>
    <n v="0"/>
    <n v="0"/>
    <n v="0"/>
    <n v="956.45"/>
    <n v="0"/>
    <n v="956.45"/>
    <m/>
    <m/>
  </r>
  <r>
    <n v="3"/>
    <x v="0"/>
    <s v="HINJEWADI"/>
    <s v="SLK1"/>
    <x v="0"/>
    <x v="2"/>
    <s v="ACE"/>
    <s v="CNG"/>
    <n v="6"/>
    <n v="8"/>
    <x v="1"/>
    <n v="2000"/>
    <n v="55"/>
    <n v="31"/>
    <s v="PUN01 NC Cluster 229"/>
    <m/>
    <d v="1899-12-30T01:16:00"/>
    <d v="1899-12-30T04:26:31"/>
    <n v="98129"/>
    <d v="1899-12-30T08:24:32"/>
    <d v="1899-12-30T08:24:40"/>
    <n v="98175"/>
    <n v="33"/>
    <n v="45"/>
    <n v="-12"/>
    <n v="46"/>
    <n v="46"/>
    <n v="0"/>
    <n v="0"/>
    <n v="0"/>
    <x v="0"/>
    <n v="0"/>
    <n v="0"/>
    <n v="0"/>
    <n v="0"/>
    <n v="1064.52"/>
    <n v="0"/>
    <n v="1064.52"/>
    <m/>
    <m/>
  </r>
  <r>
    <n v="4"/>
    <x v="0"/>
    <s v="HINJEWADI"/>
    <s v="SLK1"/>
    <x v="0"/>
    <x v="3"/>
    <s v="ACE"/>
    <s v="CNG"/>
    <n v="4"/>
    <n v="8"/>
    <x v="0"/>
    <n v="1000"/>
    <n v="55"/>
    <n v="31"/>
    <s v="PUN01 NC Cluster 62"/>
    <m/>
    <d v="1899-12-30T03:08:00"/>
    <d v="1899-12-30T04:33:58"/>
    <n v="83283"/>
    <d v="1899-12-30T07:41:40"/>
    <d v="1899-12-30T07:43:19"/>
    <n v="83310"/>
    <n v="41"/>
    <n v="30"/>
    <n v="11"/>
    <n v="27"/>
    <n v="27"/>
    <n v="0"/>
    <n v="0"/>
    <n v="0"/>
    <x v="0"/>
    <n v="0"/>
    <n v="0"/>
    <n v="0"/>
    <n v="0"/>
    <n v="806.45"/>
    <n v="0"/>
    <n v="806.45"/>
    <m/>
    <m/>
  </r>
  <r>
    <n v="5"/>
    <x v="0"/>
    <s v="HINJEWADI"/>
    <s v="SLK1"/>
    <x v="0"/>
    <x v="4"/>
    <s v="ACE"/>
    <s v="CNG"/>
    <n v="4"/>
    <n v="8"/>
    <x v="0"/>
    <n v="1000"/>
    <n v="55"/>
    <n v="31"/>
    <s v="PUN01 NC Cluster 67"/>
    <m/>
    <d v="1899-12-30T02:45:00"/>
    <d v="1899-12-30T04:11:54"/>
    <n v="10935"/>
    <d v="1899-12-30T08:00:08"/>
    <d v="1899-12-30T08:00:33"/>
    <n v="10960"/>
    <n v="25"/>
    <n v="25"/>
    <n v="0"/>
    <n v="25"/>
    <n v="25"/>
    <n v="0"/>
    <n v="0"/>
    <n v="0"/>
    <x v="0"/>
    <n v="0"/>
    <n v="0"/>
    <n v="0"/>
    <n v="0"/>
    <n v="806.45"/>
    <n v="0"/>
    <n v="806.45"/>
    <m/>
    <m/>
  </r>
  <r>
    <n v="6"/>
    <x v="0"/>
    <s v="HINJEWADI"/>
    <s v="SLK1"/>
    <x v="0"/>
    <x v="5"/>
    <s v="ACE"/>
    <s v="CNG"/>
    <n v="4"/>
    <n v="8"/>
    <x v="0"/>
    <n v="1000"/>
    <n v="55"/>
    <n v="31"/>
    <s v="PUN01 NC Cluster 87"/>
    <m/>
    <d v="1899-12-30T01:52:00"/>
    <d v="1899-12-30T04:28:38"/>
    <n v="145017"/>
    <d v="1899-12-30T07:02:50"/>
    <d v="1899-12-30T07:03:46"/>
    <n v="145034"/>
    <n v="30"/>
    <n v="30"/>
    <n v="0"/>
    <n v="17"/>
    <n v="17"/>
    <n v="0"/>
    <n v="0"/>
    <n v="0"/>
    <x v="0"/>
    <n v="0"/>
    <n v="0"/>
    <n v="0"/>
    <n v="0"/>
    <n v="806.45"/>
    <n v="0"/>
    <n v="806.45"/>
    <m/>
    <m/>
  </r>
  <r>
    <n v="7"/>
    <x v="0"/>
    <s v="HINJEWADI"/>
    <s v="SLK1"/>
    <x v="0"/>
    <x v="6"/>
    <s v="ACE"/>
    <s v="CNG"/>
    <n v="4"/>
    <n v="8"/>
    <x v="0"/>
    <n v="1000"/>
    <n v="55"/>
    <n v="31"/>
    <s v="PUN01 NC Cluster 10"/>
    <m/>
    <d v="1899-12-30T01:13:00"/>
    <d v="1899-12-30T04:26:18"/>
    <n v="141296"/>
    <d v="1899-12-30T07:41:49"/>
    <d v="1899-12-30T07:42:02"/>
    <n v="141320"/>
    <n v="31"/>
    <n v="63"/>
    <n v="-32"/>
    <n v="24"/>
    <n v="24"/>
    <n v="0"/>
    <n v="0"/>
    <n v="0"/>
    <x v="0"/>
    <n v="0"/>
    <n v="0"/>
    <n v="0"/>
    <n v="0"/>
    <n v="806.45"/>
    <n v="0"/>
    <n v="806.45"/>
    <m/>
    <m/>
  </r>
  <r>
    <n v="8"/>
    <x v="0"/>
    <s v="HINJEWADI"/>
    <s v="SLK1"/>
    <x v="0"/>
    <x v="7"/>
    <s v="ACE"/>
    <s v="CNG"/>
    <n v="4"/>
    <n v="8"/>
    <x v="0"/>
    <n v="1000"/>
    <n v="55"/>
    <n v="31"/>
    <s v="PUN01 NC Cluster 1"/>
    <m/>
    <d v="1899-12-30T03:29:00"/>
    <d v="1899-12-30T07:11:45"/>
    <n v="157963"/>
    <d v="1899-12-30T07:11:56"/>
    <d v="1899-12-30T07:12:05"/>
    <n v="157963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9"/>
    <x v="0"/>
    <s v="HINJEWADI"/>
    <s v="SLK1"/>
    <x v="0"/>
    <x v="8"/>
    <s v="ACE"/>
    <s v="CNG"/>
    <n v="4"/>
    <n v="8"/>
    <x v="0"/>
    <n v="1000"/>
    <n v="55"/>
    <n v="31"/>
    <s v="PUN01 NC Cluster 40"/>
    <m/>
    <d v="1899-12-30T01:19:00"/>
    <d v="1899-12-30T04:25:22"/>
    <n v="111901"/>
    <d v="1899-12-30T08:56:47"/>
    <m/>
    <n v="111901"/>
    <n v="36"/>
    <n v="36"/>
    <n v="0"/>
    <n v="0"/>
    <n v="0"/>
    <n v="0"/>
    <n v="0"/>
    <n v="1"/>
    <x v="1"/>
    <n v="0"/>
    <n v="0"/>
    <n v="0"/>
    <n v="0"/>
    <n v="956.45"/>
    <n v="0"/>
    <n v="956.45"/>
    <m/>
    <m/>
  </r>
  <r>
    <n v="10"/>
    <x v="0"/>
    <s v="HINJEWADI"/>
    <s v="SLK1"/>
    <x v="0"/>
    <x v="9"/>
    <s v="ACE"/>
    <s v="CNG"/>
    <n v="6"/>
    <n v="8"/>
    <x v="1"/>
    <n v="2000"/>
    <n v="55"/>
    <n v="31"/>
    <s v="PUN01 NC Cluster 299"/>
    <m/>
    <d v="1899-12-30T01:12:00"/>
    <d v="1899-12-30T04:29:08"/>
    <n v="46761"/>
    <d v="1899-12-30T10:49:30"/>
    <d v="1899-12-30T10:49:40"/>
    <n v="46850"/>
    <n v="31"/>
    <n v="31"/>
    <n v="0"/>
    <n v="89"/>
    <n v="89"/>
    <n v="0"/>
    <n v="0"/>
    <n v="2"/>
    <x v="2"/>
    <n v="0"/>
    <n v="0"/>
    <n v="0"/>
    <n v="0"/>
    <n v="1364.52"/>
    <n v="0"/>
    <n v="1364.52"/>
    <m/>
    <m/>
  </r>
  <r>
    <n v="11"/>
    <x v="0"/>
    <s v="HINJEWADI"/>
    <s v="SLK1"/>
    <x v="0"/>
    <x v="10"/>
    <s v="ACE"/>
    <s v="CNG"/>
    <n v="4"/>
    <n v="8"/>
    <x v="0"/>
    <n v="1000"/>
    <n v="55"/>
    <n v="31"/>
    <s v="PUN01 NC Cluster 125"/>
    <m/>
    <d v="1899-12-30T03:09:00"/>
    <d v="1899-12-30T04:33:42"/>
    <n v="73663"/>
    <d v="1899-12-30T07:34:27"/>
    <d v="1899-12-30T07:34:42"/>
    <n v="73689"/>
    <n v="34"/>
    <n v="41"/>
    <n v="-7"/>
    <n v="26"/>
    <n v="26"/>
    <n v="0"/>
    <n v="0"/>
    <n v="0"/>
    <x v="0"/>
    <n v="0"/>
    <n v="0"/>
    <n v="0"/>
    <n v="0"/>
    <n v="806.45"/>
    <n v="0"/>
    <n v="806.45"/>
    <m/>
    <m/>
  </r>
  <r>
    <n v="12"/>
    <x v="0"/>
    <s v="HINJEWADI"/>
    <s v="SLK1"/>
    <x v="0"/>
    <x v="11"/>
    <s v="ACE"/>
    <s v="CNG"/>
    <n v="4"/>
    <n v="8"/>
    <x v="0"/>
    <n v="1000"/>
    <n v="55"/>
    <n v="31"/>
    <s v="PUN01 NC Cluster 199"/>
    <m/>
    <d v="1899-12-30T01:20:00"/>
    <d v="1899-12-30T04:23:40"/>
    <n v="51629"/>
    <d v="1899-12-30T07:36:14"/>
    <d v="1899-12-30T07:36:34"/>
    <n v="51659"/>
    <n v="12"/>
    <n v="12"/>
    <n v="0"/>
    <n v="30"/>
    <n v="30"/>
    <n v="0"/>
    <n v="0"/>
    <n v="0"/>
    <x v="0"/>
    <n v="0"/>
    <n v="0"/>
    <n v="0"/>
    <n v="0"/>
    <n v="806.45"/>
    <n v="0"/>
    <n v="806.45"/>
    <m/>
    <m/>
  </r>
  <r>
    <n v="13"/>
    <x v="0"/>
    <s v="HINJEWADI"/>
    <s v="SLK1"/>
    <x v="0"/>
    <x v="12"/>
    <s v="ACE"/>
    <s v="CNG"/>
    <n v="4"/>
    <n v="8"/>
    <x v="0"/>
    <n v="1000"/>
    <n v="55"/>
    <n v="31"/>
    <s v="PUN01 NC Cluster 38"/>
    <m/>
    <d v="1899-12-30T01:18:00"/>
    <d v="1899-12-30T04:24:58"/>
    <n v="82338"/>
    <d v="1899-12-30T06:49:56"/>
    <d v="1899-12-30T06:50:51"/>
    <n v="82351"/>
    <n v="55"/>
    <n v="50"/>
    <n v="5"/>
    <n v="13"/>
    <n v="13"/>
    <n v="0"/>
    <n v="0"/>
    <n v="0"/>
    <x v="0"/>
    <n v="0"/>
    <n v="0"/>
    <n v="0"/>
    <n v="0"/>
    <n v="806.45"/>
    <n v="0"/>
    <n v="806.45"/>
    <m/>
    <m/>
  </r>
  <r>
    <n v="14"/>
    <x v="0"/>
    <s v="HINJEWADI"/>
    <s v="SLK1"/>
    <x v="0"/>
    <x v="13"/>
    <s v="ACE"/>
    <s v="CNG"/>
    <n v="4"/>
    <n v="8"/>
    <x v="0"/>
    <n v="1000"/>
    <n v="55"/>
    <n v="31"/>
    <s v="PUN01 NC Cluster 107"/>
    <m/>
    <d v="1899-12-30T02:13:00"/>
    <d v="1899-12-30T04:36:38"/>
    <n v="35814"/>
    <d v="1899-12-30T07:15:43"/>
    <d v="1899-12-30T07:15:52"/>
    <n v="35841"/>
    <n v="48"/>
    <n v="48"/>
    <n v="0"/>
    <n v="27"/>
    <n v="27"/>
    <n v="0"/>
    <n v="0"/>
    <n v="0"/>
    <x v="0"/>
    <n v="0"/>
    <n v="0"/>
    <n v="0"/>
    <n v="0"/>
    <n v="806.45"/>
    <n v="0"/>
    <n v="806.45"/>
    <m/>
    <m/>
  </r>
  <r>
    <n v="15"/>
    <x v="0"/>
    <s v="HINJEWADI"/>
    <s v="SLK1"/>
    <x v="0"/>
    <x v="14"/>
    <s v="ACE"/>
    <s v="CNG"/>
    <n v="6"/>
    <n v="8"/>
    <x v="1"/>
    <n v="2000"/>
    <n v="55"/>
    <n v="31"/>
    <s v="PUN01 NC Cluster 303"/>
    <m/>
    <d v="1899-12-30T01:18:00"/>
    <d v="1899-12-30T04:30:00"/>
    <n v="31563"/>
    <d v="1899-12-30T07:57:28"/>
    <d v="1899-12-30T07:57:43"/>
    <n v="31632"/>
    <n v="30"/>
    <n v="30"/>
    <n v="0"/>
    <n v="69"/>
    <n v="69"/>
    <n v="0"/>
    <n v="0"/>
    <n v="0"/>
    <x v="0"/>
    <n v="0"/>
    <n v="0"/>
    <n v="0"/>
    <n v="0"/>
    <n v="1064.52"/>
    <n v="0"/>
    <n v="1064.52"/>
    <m/>
    <m/>
  </r>
  <r>
    <n v="16"/>
    <x v="0"/>
    <s v="HINJEWADI"/>
    <s v="SLK1"/>
    <x v="0"/>
    <x v="15"/>
    <s v="ACE"/>
    <s v="CNG"/>
    <n v="4"/>
    <n v="8"/>
    <x v="0"/>
    <n v="1000"/>
    <n v="55"/>
    <n v="31"/>
    <s v="PUN01 NC Cluster 37"/>
    <m/>
    <d v="1899-12-30T01:17:00"/>
    <d v="1899-12-30T04:32:18"/>
    <n v="36931"/>
    <d v="1899-12-30T08:56:07"/>
    <d v="1899-12-30T08:56:32"/>
    <n v="36940"/>
    <n v="45"/>
    <n v="33"/>
    <n v="12"/>
    <n v="9"/>
    <n v="9"/>
    <n v="0"/>
    <n v="0"/>
    <n v="1"/>
    <x v="1"/>
    <n v="0"/>
    <n v="0"/>
    <n v="0"/>
    <n v="0"/>
    <n v="956.45"/>
    <n v="0"/>
    <n v="956.45"/>
    <m/>
    <m/>
  </r>
  <r>
    <n v="17"/>
    <x v="0"/>
    <s v="HINJEWADI"/>
    <s v="SLK1"/>
    <x v="0"/>
    <x v="16"/>
    <s v="ACE"/>
    <s v="CNG"/>
    <n v="4"/>
    <n v="8"/>
    <x v="0"/>
    <n v="1000"/>
    <n v="55"/>
    <n v="31"/>
    <s v="PUN01 NC Cluster 206"/>
    <m/>
    <d v="1899-12-30T01:19:00"/>
    <d v="1899-12-30T04:24:40"/>
    <n v="5599"/>
    <d v="1899-12-30T07:22:05"/>
    <d v="1899-12-30T07:22:12"/>
    <n v="5615"/>
    <n v="50"/>
    <n v="33"/>
    <n v="17"/>
    <n v="16"/>
    <n v="16"/>
    <n v="0"/>
    <n v="0"/>
    <n v="0"/>
    <x v="0"/>
    <n v="0"/>
    <n v="0"/>
    <n v="0"/>
    <n v="0"/>
    <n v="806.45"/>
    <n v="0"/>
    <n v="806.45"/>
    <m/>
    <m/>
  </r>
  <r>
    <n v="18"/>
    <x v="0"/>
    <s v="HINJEWADI"/>
    <s v="SLK1"/>
    <x v="0"/>
    <x v="17"/>
    <s v="ACE"/>
    <s v="CNG"/>
    <n v="4"/>
    <n v="8"/>
    <x v="0"/>
    <n v="1000"/>
    <n v="55"/>
    <n v="31"/>
    <s v="PUN01 NC Cluster 201"/>
    <m/>
    <d v="1899-12-30T01:19:00"/>
    <d v="1899-12-30T04:24:00"/>
    <n v="6287"/>
    <d v="1899-12-30T08:08:16"/>
    <d v="1899-12-30T08:08:24"/>
    <n v="6321"/>
    <n v="36"/>
    <n v="36"/>
    <n v="0"/>
    <n v="34"/>
    <n v="34"/>
    <n v="0"/>
    <n v="0"/>
    <n v="1"/>
    <x v="1"/>
    <n v="0"/>
    <n v="0"/>
    <n v="0"/>
    <n v="0"/>
    <n v="956.45"/>
    <n v="0"/>
    <n v="956.45"/>
    <m/>
    <m/>
  </r>
  <r>
    <n v="19"/>
    <x v="0"/>
    <s v="HINJEWADI"/>
    <s v="SLK1"/>
    <x v="0"/>
    <x v="18"/>
    <s v="ACE"/>
    <s v="CNG"/>
    <n v="4"/>
    <n v="8"/>
    <x v="0"/>
    <n v="1000"/>
    <n v="55"/>
    <n v="31"/>
    <s v="PUN01 NC Cluster 36"/>
    <m/>
    <d v="1899-12-30T01:17:00"/>
    <d v="1899-12-30T04:29:46"/>
    <n v="3157"/>
    <d v="1899-12-30T08:58:41"/>
    <d v="1899-12-30T08:58:58"/>
    <n v="3181"/>
    <n v="40"/>
    <n v="40"/>
    <n v="0"/>
    <n v="24"/>
    <n v="24"/>
    <n v="0"/>
    <n v="0"/>
    <n v="1"/>
    <x v="1"/>
    <n v="0"/>
    <n v="0"/>
    <n v="0"/>
    <n v="0"/>
    <n v="956.45"/>
    <n v="0"/>
    <n v="956.45"/>
    <m/>
    <m/>
  </r>
  <r>
    <n v="20"/>
    <x v="0"/>
    <s v="HINJEWADI"/>
    <s v="SLK1"/>
    <x v="0"/>
    <x v="19"/>
    <s v="BOLERO"/>
    <s v="DIESEL"/>
    <n v="4"/>
    <n v="10"/>
    <x v="2"/>
    <n v="1000"/>
    <n v="55"/>
    <n v="31"/>
    <s v="PUN01 NC Cluster 3"/>
    <m/>
    <d v="1899-12-30T03:01:00"/>
    <d v="1899-12-30T04:33:24"/>
    <n v="32133"/>
    <d v="1899-12-30T06:47:32"/>
    <d v="1899-12-30T06:47:56"/>
    <n v="32143"/>
    <n v="34"/>
    <n v="34"/>
    <n v="0"/>
    <n v="10"/>
    <n v="10"/>
    <n v="0"/>
    <n v="0"/>
    <n v="0"/>
    <x v="0"/>
    <n v="0"/>
    <n v="0"/>
    <n v="0"/>
    <n v="0"/>
    <n v="935.48"/>
    <n v="0"/>
    <n v="935.48"/>
    <m/>
    <m/>
  </r>
  <r>
    <n v="21"/>
    <x v="0"/>
    <s v="HINJEWADI"/>
    <s v="SLK1"/>
    <x v="0"/>
    <x v="20"/>
    <s v="BOLERO"/>
    <s v="DIESEL"/>
    <n v="4"/>
    <n v="10"/>
    <x v="2"/>
    <n v="1000"/>
    <n v="55"/>
    <n v="31"/>
    <s v="PUN01 NC Cluster 100"/>
    <m/>
    <d v="1899-12-30T01:32:00"/>
    <d v="1899-12-30T04:22:02"/>
    <n v="37550"/>
    <d v="1899-12-30T07:46:57"/>
    <d v="1899-12-30T07:47:10"/>
    <n v="37575"/>
    <n v="54"/>
    <n v="54"/>
    <n v="0"/>
    <n v="25"/>
    <n v="25"/>
    <n v="0"/>
    <n v="0"/>
    <n v="0"/>
    <x v="0"/>
    <n v="0"/>
    <n v="0"/>
    <n v="0"/>
    <n v="0"/>
    <n v="935.48"/>
    <n v="0"/>
    <n v="935.48"/>
    <m/>
    <m/>
  </r>
  <r>
    <n v="22"/>
    <x v="0"/>
    <s v="HINJEWADI"/>
    <s v="SLK1"/>
    <x v="0"/>
    <x v="21"/>
    <s v="BOLERO"/>
    <s v="DIESEL"/>
    <n v="4"/>
    <n v="10"/>
    <x v="2"/>
    <n v="1000"/>
    <n v="55"/>
    <n v="31"/>
    <s v="PUN01 NC Cluster 128"/>
    <m/>
    <d v="1899-12-30T02:28:00"/>
    <d v="1899-12-30T04:31:02"/>
    <n v="2366"/>
    <d v="1899-12-30T10:51:30"/>
    <d v="1899-12-30T10:51:39"/>
    <n v="2411"/>
    <n v="40"/>
    <n v="40"/>
    <n v="0"/>
    <n v="45"/>
    <n v="45"/>
    <n v="0"/>
    <n v="0"/>
    <n v="3"/>
    <x v="3"/>
    <n v="0"/>
    <n v="0"/>
    <n v="0"/>
    <n v="0"/>
    <n v="1385.48"/>
    <n v="0"/>
    <n v="1385.48"/>
    <m/>
    <m/>
  </r>
  <r>
    <n v="23"/>
    <x v="0"/>
    <s v="HINJEWADI"/>
    <s v="SLK1"/>
    <x v="0"/>
    <x v="22"/>
    <s v="BOLERO"/>
    <s v="DIESEL"/>
    <n v="4"/>
    <n v="10"/>
    <x v="2"/>
    <n v="1000"/>
    <n v="55"/>
    <n v="31"/>
    <s v="PUN01 NC Cluster 135"/>
    <m/>
    <d v="1899-12-30T01:25:00"/>
    <d v="1899-12-30T04:35:31"/>
    <n v="138529"/>
    <d v="1899-12-30T07:01:39"/>
    <d v="1899-12-30T07:01:52"/>
    <n v="138559"/>
    <n v="47"/>
    <n v="47"/>
    <n v="0"/>
    <n v="30"/>
    <n v="30"/>
    <n v="0"/>
    <n v="0"/>
    <n v="0"/>
    <x v="0"/>
    <n v="0"/>
    <n v="0"/>
    <n v="0"/>
    <n v="0"/>
    <n v="935.48"/>
    <n v="0"/>
    <n v="935.48"/>
    <m/>
    <m/>
  </r>
  <r>
    <n v="24"/>
    <x v="1"/>
    <s v="HINJEWADI"/>
    <s v="SLK1"/>
    <x v="0"/>
    <x v="0"/>
    <s v="ACE"/>
    <s v="CNG"/>
    <n v="4"/>
    <n v="8"/>
    <x v="0"/>
    <n v="1000"/>
    <n v="55"/>
    <n v="31"/>
    <s v="PUN01 NC Cluster 1"/>
    <m/>
    <d v="1899-12-30T01:18:00"/>
    <d v="1899-12-30T04:19:08"/>
    <n v="55356"/>
    <d v="1899-12-30T06:48:08"/>
    <d v="1899-12-30T06:48:38"/>
    <n v="55363"/>
    <n v="49"/>
    <n v="49"/>
    <n v="0"/>
    <n v="7"/>
    <n v="7"/>
    <n v="0"/>
    <n v="0"/>
    <n v="0"/>
    <x v="0"/>
    <n v="0"/>
    <n v="0"/>
    <n v="0"/>
    <n v="0"/>
    <n v="806.45"/>
    <n v="0"/>
    <n v="806.45"/>
    <m/>
    <m/>
  </r>
  <r>
    <n v="25"/>
    <x v="1"/>
    <s v="HINJEWADI"/>
    <s v="SLK1"/>
    <x v="0"/>
    <x v="2"/>
    <s v="ACE"/>
    <s v="CNG"/>
    <n v="6"/>
    <n v="8"/>
    <x v="1"/>
    <n v="2000"/>
    <n v="55"/>
    <n v="31"/>
    <s v="PUN01 NC Cluster 230"/>
    <m/>
    <d v="1899-12-30T01:46:00"/>
    <d v="1899-12-30T04:27:14"/>
    <n v="98245"/>
    <m/>
    <m/>
    <n v="98298"/>
    <m/>
    <n v="59"/>
    <n v="-59"/>
    <n v="53"/>
    <n v="53"/>
    <n v="0"/>
    <n v="0"/>
    <n v="0"/>
    <x v="0"/>
    <n v="0"/>
    <n v="0"/>
    <n v="0"/>
    <n v="0"/>
    <n v="1064.52"/>
    <n v="0"/>
    <n v="1064.52"/>
    <m/>
    <m/>
  </r>
  <r>
    <n v="26"/>
    <x v="1"/>
    <s v="HINJEWADI"/>
    <s v="SLK1"/>
    <x v="0"/>
    <x v="3"/>
    <s v="ACE"/>
    <s v="CNG"/>
    <n v="4"/>
    <n v="8"/>
    <x v="0"/>
    <n v="1000"/>
    <n v="55"/>
    <n v="31"/>
    <s v="PUN01 Cluster 155"/>
    <m/>
    <d v="1899-12-30T03:11:00"/>
    <d v="1899-12-30T04:30:26"/>
    <n v="83367"/>
    <d v="1899-12-30T07:44:57"/>
    <d v="1899-12-30T07:45:07"/>
    <n v="83400"/>
    <n v="65"/>
    <n v="65"/>
    <n v="0"/>
    <n v="33"/>
    <n v="33"/>
    <n v="0"/>
    <n v="0"/>
    <n v="0"/>
    <x v="0"/>
    <n v="0"/>
    <n v="0"/>
    <n v="0"/>
    <n v="0"/>
    <n v="806.45"/>
    <n v="0"/>
    <n v="806.45"/>
    <m/>
    <m/>
  </r>
  <r>
    <n v="27"/>
    <x v="1"/>
    <s v="HINJEWADI"/>
    <s v="SLK1"/>
    <x v="0"/>
    <x v="4"/>
    <s v="ACE"/>
    <s v="CNG"/>
    <n v="4"/>
    <n v="8"/>
    <x v="0"/>
    <n v="1000"/>
    <n v="55"/>
    <n v="31"/>
    <s v="PUN01 NC Cluster 17"/>
    <m/>
    <d v="1899-12-30T01:19:00"/>
    <d v="1899-12-30T04:22:20"/>
    <n v="11005"/>
    <d v="1899-12-30T08:08:13"/>
    <d v="1899-12-30T08:08:20"/>
    <n v="11026"/>
    <n v="42"/>
    <n v="42"/>
    <n v="0"/>
    <n v="21"/>
    <n v="21"/>
    <n v="0"/>
    <n v="0"/>
    <n v="1"/>
    <x v="1"/>
    <n v="0"/>
    <n v="0"/>
    <n v="0"/>
    <n v="0"/>
    <n v="956.45"/>
    <n v="0"/>
    <n v="956.45"/>
    <m/>
    <m/>
  </r>
  <r>
    <n v="28"/>
    <x v="1"/>
    <s v="HINJEWADI"/>
    <s v="SLK1"/>
    <x v="0"/>
    <x v="5"/>
    <s v="ACE"/>
    <s v="CNG"/>
    <n v="4"/>
    <n v="8"/>
    <x v="0"/>
    <n v="1000"/>
    <n v="55"/>
    <n v="31"/>
    <s v="PUN01 NC Cluster 87"/>
    <m/>
    <d v="1899-12-30T01:43:00"/>
    <d v="1899-12-30T04:20:02"/>
    <n v="145039"/>
    <d v="1899-12-30T06:53:39"/>
    <d v="1899-12-30T06:54:08"/>
    <n v="145055"/>
    <n v="31"/>
    <n v="31"/>
    <n v="0"/>
    <n v="16"/>
    <n v="16"/>
    <n v="0"/>
    <n v="0"/>
    <n v="0"/>
    <x v="0"/>
    <n v="0"/>
    <n v="0"/>
    <n v="0"/>
    <n v="0"/>
    <n v="806.45"/>
    <n v="0"/>
    <n v="806.45"/>
    <m/>
    <m/>
  </r>
  <r>
    <n v="29"/>
    <x v="1"/>
    <s v="HINJEWADI"/>
    <s v="SLK1"/>
    <x v="0"/>
    <x v="6"/>
    <s v="ACE"/>
    <s v="CNG"/>
    <n v="4"/>
    <n v="8"/>
    <x v="0"/>
    <n v="1000"/>
    <n v="55"/>
    <n v="31"/>
    <s v="PUN01 NC Cluster 127"/>
    <m/>
    <d v="1899-12-30T01:18:00"/>
    <d v="1899-12-30T04:27:36"/>
    <n v="141612"/>
    <d v="1899-12-30T07:01:53"/>
    <d v="1899-12-30T07:02:00"/>
    <n v="141648"/>
    <n v="34"/>
    <n v="34"/>
    <n v="0"/>
    <n v="36"/>
    <n v="36"/>
    <n v="0"/>
    <n v="0"/>
    <n v="0"/>
    <x v="0"/>
    <n v="0"/>
    <n v="0"/>
    <n v="0"/>
    <n v="0"/>
    <n v="806.45"/>
    <n v="0"/>
    <n v="806.45"/>
    <m/>
    <m/>
  </r>
  <r>
    <n v="30"/>
    <x v="1"/>
    <s v="HINJEWADI"/>
    <s v="SLK1"/>
    <x v="0"/>
    <x v="7"/>
    <s v="ACE"/>
    <s v="CNG"/>
    <n v="4"/>
    <n v="8"/>
    <x v="0"/>
    <n v="1000"/>
    <n v="55"/>
    <n v="31"/>
    <s v="PUN01 NC Cluster 24"/>
    <m/>
    <d v="1899-12-30T03:10:00"/>
    <d v="1899-12-30T04:36:59"/>
    <n v="158086"/>
    <d v="1899-12-30T08:14:04"/>
    <d v="1899-12-30T08:14:17"/>
    <n v="158116"/>
    <n v="39"/>
    <n v="39"/>
    <n v="0"/>
    <n v="30"/>
    <n v="30"/>
    <n v="0"/>
    <n v="0"/>
    <n v="1"/>
    <x v="1"/>
    <n v="0"/>
    <n v="0"/>
    <n v="0"/>
    <n v="0"/>
    <n v="956.45"/>
    <n v="0"/>
    <n v="956.45"/>
    <m/>
    <m/>
  </r>
  <r>
    <n v="31"/>
    <x v="1"/>
    <s v="HINJEWADI"/>
    <s v="SLK1"/>
    <x v="0"/>
    <x v="8"/>
    <s v="ACE"/>
    <s v="CNG"/>
    <n v="4"/>
    <n v="8"/>
    <x v="0"/>
    <n v="1000"/>
    <n v="55"/>
    <n v="31"/>
    <s v="PUN01 NC Cluster 42"/>
    <m/>
    <d v="1899-12-30T01:33:00"/>
    <d v="1899-12-30T04:25:33"/>
    <n v="111961"/>
    <d v="1899-12-30T07:24:35"/>
    <d v="1899-12-30T07:25:21"/>
    <n v="111984"/>
    <n v="42"/>
    <n v="42"/>
    <n v="0"/>
    <n v="23"/>
    <n v="23"/>
    <n v="0"/>
    <n v="0"/>
    <n v="0"/>
    <x v="0"/>
    <n v="0"/>
    <n v="0"/>
    <n v="0"/>
    <n v="0"/>
    <n v="806.45"/>
    <n v="0"/>
    <n v="806.45"/>
    <m/>
    <m/>
  </r>
  <r>
    <n v="32"/>
    <x v="1"/>
    <s v="HINJEWADI"/>
    <s v="SLK1"/>
    <x v="0"/>
    <x v="23"/>
    <s v="ACE"/>
    <s v="CNG"/>
    <n v="4"/>
    <n v="8"/>
    <x v="0"/>
    <n v="1000"/>
    <n v="55"/>
    <n v="31"/>
    <s v="PUN01 NC Cluster 26"/>
    <m/>
    <d v="1899-12-30T03:24:00"/>
    <d v="1899-12-30T04:33:47"/>
    <n v="76451"/>
    <d v="1899-12-30T07:38:21"/>
    <d v="1899-12-30T07:38:29"/>
    <n v="76480"/>
    <n v="30"/>
    <n v="30"/>
    <n v="0"/>
    <n v="29"/>
    <n v="29"/>
    <n v="0"/>
    <n v="0"/>
    <n v="0"/>
    <x v="0"/>
    <n v="0"/>
    <n v="0"/>
    <n v="0"/>
    <n v="0"/>
    <n v="806.45"/>
    <n v="0"/>
    <n v="806.45"/>
    <m/>
    <m/>
  </r>
  <r>
    <n v="33"/>
    <x v="1"/>
    <s v="HINJEWADI"/>
    <s v="SLK1"/>
    <x v="0"/>
    <x v="9"/>
    <s v="ACE"/>
    <s v="CNG"/>
    <n v="6"/>
    <n v="8"/>
    <x v="1"/>
    <n v="2000"/>
    <n v="55"/>
    <n v="31"/>
    <s v="PUN01 NC Cluster 299"/>
    <m/>
    <d v="1899-12-30T01:49:00"/>
    <d v="1899-12-30T04:28:31"/>
    <n v="46874"/>
    <d v="1899-12-30T11:50:15"/>
    <d v="1899-12-30T11:50:26"/>
    <n v="46951"/>
    <n v="29"/>
    <n v="34"/>
    <n v="-5"/>
    <n v="77"/>
    <n v="77"/>
    <n v="0"/>
    <n v="0"/>
    <n v="3"/>
    <x v="3"/>
    <n v="0"/>
    <n v="0"/>
    <n v="0"/>
    <n v="0"/>
    <n v="1514.52"/>
    <n v="0"/>
    <n v="1514.52"/>
    <m/>
    <m/>
  </r>
  <r>
    <n v="34"/>
    <x v="1"/>
    <s v="HINJEWADI"/>
    <s v="SLK1"/>
    <x v="0"/>
    <x v="24"/>
    <s v="ACE"/>
    <s v="CNG"/>
    <n v="4"/>
    <n v="8"/>
    <x v="0"/>
    <n v="1000"/>
    <n v="55"/>
    <n v="31"/>
    <s v="PUN01 NC Cluster 200"/>
    <m/>
    <d v="1899-12-30T01:19:00"/>
    <d v="1899-12-30T04:25:03"/>
    <n v="86184"/>
    <d v="1899-12-30T07:00:32"/>
    <d v="1899-12-30T07:00:46"/>
    <n v="86206"/>
    <n v="62"/>
    <n v="62"/>
    <n v="0"/>
    <n v="22"/>
    <n v="22"/>
    <n v="0"/>
    <n v="0"/>
    <n v="0"/>
    <x v="0"/>
    <n v="0"/>
    <n v="0"/>
    <n v="0"/>
    <n v="0"/>
    <n v="806.45"/>
    <n v="0"/>
    <n v="806.45"/>
    <m/>
    <m/>
  </r>
  <r>
    <n v="35"/>
    <x v="1"/>
    <s v="HINJEWADI"/>
    <s v="SLK1"/>
    <x v="0"/>
    <x v="25"/>
    <s v="ACE"/>
    <s v="CNG"/>
    <n v="4"/>
    <n v="8"/>
    <x v="0"/>
    <n v="1000"/>
    <n v="55"/>
    <n v="31"/>
    <s v="PUN01 NC Cluster 199"/>
    <m/>
    <d v="1899-12-30T02:45:00"/>
    <d v="1899-12-30T04:20:50"/>
    <n v="117250"/>
    <m/>
    <m/>
    <n v="117250"/>
    <m/>
    <n v="14"/>
    <n v="-14"/>
    <n v="0"/>
    <n v="0"/>
    <n v="0"/>
    <n v="0"/>
    <n v="0"/>
    <x v="0"/>
    <n v="0"/>
    <n v="0"/>
    <n v="0"/>
    <n v="0"/>
    <n v="806.45"/>
    <n v="0"/>
    <n v="806.45"/>
    <m/>
    <m/>
  </r>
  <r>
    <n v="36"/>
    <x v="1"/>
    <s v="HINJEWADI"/>
    <s v="SLK1"/>
    <x v="0"/>
    <x v="10"/>
    <s v="ACE"/>
    <s v="CNG"/>
    <n v="4"/>
    <n v="8"/>
    <x v="0"/>
    <n v="1000"/>
    <n v="55"/>
    <n v="31"/>
    <s v="PUN01 NC Cluster 19"/>
    <m/>
    <d v="1899-12-30T02:57:00"/>
    <d v="1899-12-30T04:30:01"/>
    <n v="73917"/>
    <d v="1899-12-30T08:24:38"/>
    <d v="1899-12-30T08:24:46"/>
    <n v="73939"/>
    <n v="29"/>
    <n v="24"/>
    <n v="5"/>
    <n v="22"/>
    <n v="22"/>
    <n v="0"/>
    <n v="0"/>
    <n v="1"/>
    <x v="1"/>
    <n v="0"/>
    <n v="0"/>
    <n v="0"/>
    <n v="0"/>
    <n v="956.45"/>
    <n v="0"/>
    <n v="956.45"/>
    <m/>
    <m/>
  </r>
  <r>
    <n v="37"/>
    <x v="1"/>
    <s v="HINJEWADI"/>
    <s v="SLK1"/>
    <x v="0"/>
    <x v="12"/>
    <s v="ACE"/>
    <s v="CNG"/>
    <n v="4"/>
    <n v="8"/>
    <x v="0"/>
    <n v="1000"/>
    <n v="55"/>
    <n v="31"/>
    <s v="PUN01 NC Cluster 43"/>
    <m/>
    <d v="1899-12-30T01:19:00"/>
    <d v="1899-12-30T04:19:45"/>
    <n v="82445"/>
    <d v="1899-12-30T07:02:54"/>
    <d v="1899-12-30T07:03:00"/>
    <n v="82460"/>
    <n v="52"/>
    <n v="52"/>
    <n v="0"/>
    <n v="15"/>
    <n v="15"/>
    <n v="0"/>
    <n v="0"/>
    <n v="0"/>
    <x v="0"/>
    <n v="0"/>
    <n v="0"/>
    <n v="0"/>
    <n v="0"/>
    <n v="806.45"/>
    <n v="0"/>
    <n v="806.45"/>
    <m/>
    <m/>
  </r>
  <r>
    <n v="38"/>
    <x v="1"/>
    <s v="HINJEWADI"/>
    <s v="SLK1"/>
    <x v="0"/>
    <x v="13"/>
    <s v="ACE"/>
    <s v="CNG"/>
    <n v="4"/>
    <n v="8"/>
    <x v="0"/>
    <n v="1000"/>
    <n v="55"/>
    <n v="31"/>
    <s v="PUN01 NC Cluster 125"/>
    <m/>
    <d v="1899-12-30T02:16:00"/>
    <d v="1899-12-30T04:34:35"/>
    <n v="35899"/>
    <d v="1899-12-30T07:46:11"/>
    <d v="1899-12-30T07:47:06"/>
    <n v="35928"/>
    <n v="35"/>
    <n v="35"/>
    <n v="0"/>
    <n v="29"/>
    <n v="29"/>
    <n v="0"/>
    <n v="0"/>
    <n v="0"/>
    <x v="0"/>
    <n v="0"/>
    <n v="0"/>
    <n v="0"/>
    <n v="0"/>
    <n v="806.45"/>
    <n v="0"/>
    <n v="806.45"/>
    <m/>
    <m/>
  </r>
  <r>
    <n v="39"/>
    <x v="1"/>
    <s v="HINJEWADI"/>
    <s v="SLK1"/>
    <x v="0"/>
    <x v="14"/>
    <s v="ACE"/>
    <s v="CNG"/>
    <n v="6"/>
    <n v="8"/>
    <x v="1"/>
    <n v="2000"/>
    <n v="55"/>
    <n v="31"/>
    <s v="PUN01 NC Cluster 303"/>
    <m/>
    <d v="1899-12-30T01:17:00"/>
    <d v="1899-12-30T04:30:03"/>
    <n v="31676"/>
    <d v="1899-12-30T07:24:55"/>
    <d v="1899-12-30T07:25:02"/>
    <n v="31744"/>
    <n v="27"/>
    <n v="27"/>
    <n v="0"/>
    <n v="68"/>
    <n v="68"/>
    <n v="0"/>
    <n v="0"/>
    <n v="0"/>
    <x v="0"/>
    <n v="0"/>
    <n v="0"/>
    <n v="0"/>
    <n v="0"/>
    <n v="1064.52"/>
    <n v="0"/>
    <n v="1064.52"/>
    <m/>
    <m/>
  </r>
  <r>
    <n v="40"/>
    <x v="1"/>
    <s v="HINJEWADI"/>
    <s v="SLK1"/>
    <x v="0"/>
    <x v="15"/>
    <s v="ACE"/>
    <s v="CNG"/>
    <n v="4"/>
    <n v="8"/>
    <x v="0"/>
    <n v="1000"/>
    <n v="55"/>
    <n v="31"/>
    <s v="PUN01 NC Cluster 39"/>
    <m/>
    <d v="1899-12-30T01:19:00"/>
    <d v="1899-12-30T04:23:39"/>
    <n v="37052"/>
    <d v="1899-12-30T07:35:13"/>
    <d v="1899-12-30T07:35:18"/>
    <n v="37066"/>
    <n v="46"/>
    <n v="46"/>
    <n v="0"/>
    <n v="14"/>
    <n v="14"/>
    <n v="0"/>
    <n v="0"/>
    <n v="0"/>
    <x v="0"/>
    <n v="0"/>
    <n v="0"/>
    <n v="0"/>
    <n v="0"/>
    <n v="806.45"/>
    <n v="0"/>
    <n v="806.45"/>
    <m/>
    <m/>
  </r>
  <r>
    <n v="41"/>
    <x v="1"/>
    <s v="HINJEWADI"/>
    <s v="SLK1"/>
    <x v="0"/>
    <x v="17"/>
    <s v="ACE"/>
    <s v="CNG"/>
    <n v="4"/>
    <n v="8"/>
    <x v="0"/>
    <n v="1000"/>
    <n v="55"/>
    <n v="31"/>
    <s v="PUN01 NC Cluster 201"/>
    <m/>
    <d v="1899-12-30T01:19:00"/>
    <d v="1899-12-30T04:23:52"/>
    <n v="6363"/>
    <d v="1899-12-30T07:53:24"/>
    <d v="1899-12-30T07:53:31"/>
    <n v="6396"/>
    <n v="33"/>
    <n v="33"/>
    <n v="0"/>
    <n v="33"/>
    <n v="33"/>
    <n v="0"/>
    <n v="0"/>
    <n v="0"/>
    <x v="0"/>
    <n v="0"/>
    <n v="0"/>
    <n v="0"/>
    <n v="0"/>
    <n v="806.45"/>
    <n v="0"/>
    <n v="806.45"/>
    <m/>
    <m/>
  </r>
  <r>
    <n v="42"/>
    <x v="1"/>
    <s v="HINJEWADI"/>
    <s v="SLK1"/>
    <x v="0"/>
    <x v="18"/>
    <s v="ACE"/>
    <s v="CNG"/>
    <n v="4"/>
    <n v="8"/>
    <x v="0"/>
    <n v="1000"/>
    <n v="55"/>
    <n v="31"/>
    <s v="PUN01 NC Cluster 37"/>
    <m/>
    <d v="1899-12-30T01:34:00"/>
    <d v="1899-12-30T04:21:32"/>
    <n v="3350"/>
    <d v="1899-12-30T07:36:25"/>
    <d v="1899-12-30T07:36:31"/>
    <n v="3368"/>
    <n v="68"/>
    <n v="68"/>
    <n v="0"/>
    <n v="18"/>
    <n v="18"/>
    <n v="0"/>
    <n v="0"/>
    <n v="0"/>
    <x v="0"/>
    <n v="0"/>
    <n v="0"/>
    <n v="0"/>
    <n v="0"/>
    <n v="806.45"/>
    <n v="0"/>
    <n v="806.45"/>
    <m/>
    <m/>
  </r>
  <r>
    <n v="43"/>
    <x v="1"/>
    <s v="HINJEWADI"/>
    <s v="SLK1"/>
    <x v="0"/>
    <x v="26"/>
    <s v="ACE"/>
    <s v="CNG"/>
    <n v="4"/>
    <n v="8"/>
    <x v="0"/>
    <n v="1000"/>
    <n v="55"/>
    <n v="31"/>
    <s v="PUN01 NC Cluster 20"/>
    <m/>
    <d v="1899-12-30T01:35:00"/>
    <d v="1899-12-30T04:23:35"/>
    <n v="40439"/>
    <d v="1899-12-30T07:04:04"/>
    <d v="1899-12-30T07:04:15"/>
    <n v="40463"/>
    <n v="29"/>
    <n v="29"/>
    <n v="0"/>
    <n v="24"/>
    <n v="24"/>
    <n v="0"/>
    <n v="0"/>
    <n v="0"/>
    <x v="0"/>
    <n v="0"/>
    <n v="0"/>
    <n v="0"/>
    <n v="0"/>
    <n v="806.45"/>
    <n v="0"/>
    <n v="806.45"/>
    <m/>
    <m/>
  </r>
  <r>
    <n v="44"/>
    <x v="1"/>
    <s v="HINJEWADI"/>
    <s v="SLK1"/>
    <x v="0"/>
    <x v="19"/>
    <s v="BOLERO"/>
    <s v="DIESEL"/>
    <n v="4"/>
    <n v="10"/>
    <x v="2"/>
    <n v="1000"/>
    <n v="55"/>
    <n v="31"/>
    <s v="PUN01 NC Cluster 73"/>
    <m/>
    <d v="1899-12-30T02:53:00"/>
    <d v="1899-12-30T04:35:18"/>
    <n v="32197"/>
    <d v="1899-12-30T07:29:52"/>
    <d v="1899-12-30T07:29:59"/>
    <n v="32211"/>
    <n v="41"/>
    <n v="41"/>
    <n v="0"/>
    <n v="14"/>
    <n v="14"/>
    <n v="0"/>
    <n v="0"/>
    <n v="0"/>
    <x v="0"/>
    <n v="0"/>
    <n v="0"/>
    <n v="0"/>
    <n v="0"/>
    <n v="935.48"/>
    <n v="0"/>
    <n v="935.48"/>
    <m/>
    <m/>
  </r>
  <r>
    <n v="45"/>
    <x v="1"/>
    <s v="HINJEWADI"/>
    <s v="SLK1"/>
    <x v="0"/>
    <x v="20"/>
    <s v="BOLERO"/>
    <s v="DIESEL"/>
    <n v="4"/>
    <n v="10"/>
    <x v="2"/>
    <n v="1000"/>
    <n v="55"/>
    <n v="31"/>
    <s v="PUN01 NC Cluster 97"/>
    <m/>
    <d v="1899-12-30T02:13:00"/>
    <d v="1899-12-30T04:37:21"/>
    <n v="37653"/>
    <d v="1899-12-30T08:23:23"/>
    <d v="1899-12-30T08:23:35"/>
    <n v="37678"/>
    <n v="43"/>
    <n v="49"/>
    <n v="-6"/>
    <n v="25"/>
    <n v="25"/>
    <n v="0"/>
    <n v="0"/>
    <n v="1"/>
    <x v="1"/>
    <n v="0"/>
    <n v="0"/>
    <n v="0"/>
    <n v="0"/>
    <n v="1085.48"/>
    <n v="0"/>
    <n v="1085.48"/>
    <m/>
    <m/>
  </r>
  <r>
    <n v="46"/>
    <x v="1"/>
    <s v="HINJEWADI"/>
    <s v="SLK1"/>
    <x v="0"/>
    <x v="21"/>
    <s v="BOLERO"/>
    <s v="DIESEL"/>
    <n v="4"/>
    <n v="10"/>
    <x v="2"/>
    <n v="1000"/>
    <n v="55"/>
    <n v="31"/>
    <s v="PUN01 NC Cluster 130"/>
    <m/>
    <d v="1899-12-30T02:32:00"/>
    <d v="1899-12-30T04:36:46"/>
    <n v="2432"/>
    <d v="1899-12-30T08:01:13"/>
    <d v="1899-12-30T08:01:21"/>
    <n v="2465"/>
    <n v="44"/>
    <n v="44"/>
    <n v="0"/>
    <n v="33"/>
    <n v="33"/>
    <n v="0"/>
    <n v="0"/>
    <n v="1"/>
    <x v="1"/>
    <n v="0"/>
    <n v="0"/>
    <n v="0"/>
    <n v="0"/>
    <n v="1085.48"/>
    <n v="0"/>
    <n v="1085.48"/>
    <m/>
    <m/>
  </r>
  <r>
    <n v="47"/>
    <x v="1"/>
    <s v="HINJEWADI"/>
    <s v="SLK1"/>
    <x v="0"/>
    <x v="22"/>
    <s v="BOLERO"/>
    <s v="DIESEL"/>
    <n v="4"/>
    <n v="10"/>
    <x v="2"/>
    <n v="1000"/>
    <n v="55"/>
    <n v="31"/>
    <s v="PUN01 NC Cluster 8"/>
    <m/>
    <d v="1899-12-30T01:19:00"/>
    <d v="1899-12-30T04:19:51"/>
    <n v="138590"/>
    <d v="1899-12-30T07:12:50"/>
    <d v="1899-12-30T07:16:43"/>
    <n v="138602"/>
    <n v="69"/>
    <n v="69"/>
    <n v="0"/>
    <n v="12"/>
    <n v="12"/>
    <n v="0"/>
    <n v="0"/>
    <n v="0"/>
    <x v="0"/>
    <n v="0"/>
    <n v="0"/>
    <n v="0"/>
    <n v="0"/>
    <n v="935.48"/>
    <n v="0"/>
    <n v="935.48"/>
    <m/>
    <m/>
  </r>
  <r>
    <n v="48"/>
    <x v="2"/>
    <s v="HINJEWADI"/>
    <s v="SLK1"/>
    <x v="0"/>
    <x v="0"/>
    <s v="ACE"/>
    <s v="CNG"/>
    <n v="4"/>
    <n v="8"/>
    <x v="0"/>
    <n v="1000"/>
    <n v="55"/>
    <n v="31"/>
    <s v="PUN01 NC Cluster 1"/>
    <m/>
    <d v="1899-12-30T01:12:00"/>
    <d v="1899-12-30T03:55:53"/>
    <n v="55412"/>
    <d v="1899-12-30T07:08:40"/>
    <d v="1899-12-30T07:08:52"/>
    <n v="55419"/>
    <n v="40"/>
    <n v="40"/>
    <n v="0"/>
    <n v="7"/>
    <n v="7"/>
    <n v="0"/>
    <n v="0"/>
    <n v="0"/>
    <x v="0"/>
    <n v="0"/>
    <n v="0"/>
    <n v="0"/>
    <n v="0"/>
    <n v="806.45"/>
    <n v="0"/>
    <n v="806.45"/>
    <m/>
    <m/>
  </r>
  <r>
    <n v="49"/>
    <x v="2"/>
    <s v="HINJEWADI"/>
    <s v="SLK1"/>
    <x v="0"/>
    <x v="1"/>
    <s v="ACE"/>
    <s v="CNG"/>
    <n v="4"/>
    <n v="8"/>
    <x v="0"/>
    <n v="1000"/>
    <n v="55"/>
    <n v="31"/>
    <s v="PUN01 NC Cluster 67"/>
    <m/>
    <d v="1899-12-30T03:34:00"/>
    <d v="1899-12-30T04:37:49"/>
    <n v="190887"/>
    <d v="1899-12-30T07:51:57"/>
    <d v="1899-12-30T07:52:16"/>
    <n v="190907"/>
    <n v="25"/>
    <n v="25"/>
    <n v="0"/>
    <n v="20"/>
    <n v="20"/>
    <n v="0"/>
    <n v="0"/>
    <n v="0"/>
    <x v="0"/>
    <n v="0"/>
    <n v="0"/>
    <n v="0"/>
    <n v="0"/>
    <n v="806.45"/>
    <n v="0"/>
    <n v="806.45"/>
    <m/>
    <m/>
  </r>
  <r>
    <n v="50"/>
    <x v="2"/>
    <s v="HINJEWADI"/>
    <s v="SLK1"/>
    <x v="0"/>
    <x v="2"/>
    <s v="ACE"/>
    <s v="CNG"/>
    <n v="6"/>
    <n v="8"/>
    <x v="1"/>
    <n v="2000"/>
    <n v="55"/>
    <n v="31"/>
    <s v="PUN01 NC Cluster 229"/>
    <m/>
    <d v="1899-12-30T01:07:00"/>
    <d v="1899-12-30T03:53:13"/>
    <n v="98334"/>
    <d v="1899-12-30T07:36:29"/>
    <d v="1899-12-30T07:36:41"/>
    <n v="98383"/>
    <n v="54"/>
    <n v="54"/>
    <n v="0"/>
    <n v="49"/>
    <n v="49"/>
    <n v="0"/>
    <n v="0"/>
    <n v="0"/>
    <x v="0"/>
    <n v="0"/>
    <n v="0"/>
    <n v="0"/>
    <n v="0"/>
    <n v="1064.52"/>
    <n v="0"/>
    <n v="1064.52"/>
    <m/>
    <m/>
  </r>
  <r>
    <n v="51"/>
    <x v="2"/>
    <s v="HINJEWADI"/>
    <s v="SLK1"/>
    <x v="0"/>
    <x v="4"/>
    <s v="ACE"/>
    <s v="CNG"/>
    <n v="4"/>
    <n v="8"/>
    <x v="0"/>
    <n v="1000"/>
    <n v="55"/>
    <n v="31"/>
    <s v="PUN01 NC Cluster 15"/>
    <m/>
    <d v="1899-12-30T02:52:00"/>
    <d v="1899-12-30T04:02:45"/>
    <n v="11045"/>
    <d v="1899-12-30T08:18:27"/>
    <d v="1899-12-30T08:18:34"/>
    <n v="11064"/>
    <n v="42"/>
    <n v="42"/>
    <n v="0"/>
    <n v="19"/>
    <n v="19"/>
    <n v="0"/>
    <n v="0"/>
    <n v="1"/>
    <x v="1"/>
    <n v="0"/>
    <n v="0"/>
    <n v="0"/>
    <n v="0"/>
    <n v="956.45"/>
    <n v="0"/>
    <n v="956.45"/>
    <m/>
    <m/>
  </r>
  <r>
    <n v="52"/>
    <x v="2"/>
    <s v="HINJEWADI"/>
    <s v="SLK1"/>
    <x v="0"/>
    <x v="5"/>
    <s v="ACE"/>
    <s v="CNG"/>
    <n v="4"/>
    <n v="8"/>
    <x v="0"/>
    <n v="1000"/>
    <n v="55"/>
    <n v="31"/>
    <s v="PUN01 NC Cluster 87"/>
    <m/>
    <d v="1899-12-30T01:09:00"/>
    <d v="1899-12-30T03:56:16"/>
    <n v="145060"/>
    <d v="1899-12-30T08:29:56"/>
    <d v="1899-12-30T08:30:05"/>
    <n v="145083"/>
    <n v="27"/>
    <n v="27"/>
    <n v="0"/>
    <n v="23"/>
    <n v="23"/>
    <n v="0"/>
    <n v="0"/>
    <n v="1"/>
    <x v="1"/>
    <n v="0"/>
    <n v="0"/>
    <n v="0"/>
    <n v="0"/>
    <n v="956.45"/>
    <n v="0"/>
    <n v="956.45"/>
    <m/>
    <m/>
  </r>
  <r>
    <n v="53"/>
    <x v="2"/>
    <s v="HINJEWADI"/>
    <s v="SLK1"/>
    <x v="0"/>
    <x v="6"/>
    <s v="ACE"/>
    <s v="CNG"/>
    <n v="4"/>
    <n v="8"/>
    <x v="0"/>
    <n v="1000"/>
    <n v="55"/>
    <n v="31"/>
    <s v="PUN01 NC Cluster 10"/>
    <m/>
    <d v="1899-12-30T02:04:00"/>
    <d v="1899-12-30T03:49:29"/>
    <n v="141752"/>
    <d v="1899-12-30T07:30:50"/>
    <d v="1899-12-30T07:30:57"/>
    <n v="141785"/>
    <n v="49"/>
    <n v="49"/>
    <n v="0"/>
    <n v="33"/>
    <n v="33"/>
    <n v="0"/>
    <n v="0"/>
    <n v="0"/>
    <x v="0"/>
    <n v="0"/>
    <n v="0"/>
    <n v="0"/>
    <n v="0"/>
    <n v="806.45"/>
    <n v="0"/>
    <n v="806.45"/>
    <m/>
    <m/>
  </r>
  <r>
    <n v="54"/>
    <x v="2"/>
    <s v="HINJEWADI"/>
    <s v="SLK1"/>
    <x v="0"/>
    <x v="7"/>
    <s v="ACE"/>
    <s v="CNG"/>
    <n v="4"/>
    <n v="8"/>
    <x v="0"/>
    <n v="1000"/>
    <n v="55"/>
    <n v="31"/>
    <s v="PUN01 NC Cluster 113"/>
    <m/>
    <d v="1899-12-30T03:26:00"/>
    <d v="1899-12-30T04:39:21"/>
    <n v="158167"/>
    <d v="1899-12-30T07:23:15"/>
    <d v="1899-12-30T07:23:24"/>
    <n v="158197"/>
    <n v="0"/>
    <n v="0"/>
    <n v="0"/>
    <n v="30"/>
    <n v="30"/>
    <n v="0"/>
    <n v="0"/>
    <n v="0"/>
    <x v="0"/>
    <n v="0"/>
    <n v="0"/>
    <n v="0"/>
    <n v="0"/>
    <n v="806.45"/>
    <n v="0"/>
    <n v="806.45"/>
    <m/>
    <m/>
  </r>
  <r>
    <n v="55"/>
    <x v="2"/>
    <s v="HINJEWADI"/>
    <s v="SLK1"/>
    <x v="0"/>
    <x v="9"/>
    <s v="ACE"/>
    <s v="CNG"/>
    <n v="6"/>
    <n v="8"/>
    <x v="1"/>
    <n v="2000"/>
    <n v="55"/>
    <n v="31"/>
    <s v="PUN01 NC Cluster 299"/>
    <m/>
    <d v="1899-12-30T01:09:00"/>
    <d v="1899-12-30T04:32:18"/>
    <n v="46989"/>
    <d v="1899-12-30T09:48:31"/>
    <d v="1899-12-30T09:49:05"/>
    <n v="47061"/>
    <n v="15"/>
    <n v="15"/>
    <n v="0"/>
    <n v="72"/>
    <n v="72"/>
    <n v="0"/>
    <n v="0"/>
    <n v="1"/>
    <x v="1"/>
    <n v="0"/>
    <n v="0"/>
    <n v="0"/>
    <n v="0"/>
    <n v="1214.52"/>
    <n v="0"/>
    <n v="1214.52"/>
    <m/>
    <m/>
  </r>
  <r>
    <n v="56"/>
    <x v="2"/>
    <s v="HINJEWADI"/>
    <s v="SLK1"/>
    <x v="0"/>
    <x v="24"/>
    <s v="ACE"/>
    <s v="CNG"/>
    <n v="4"/>
    <n v="8"/>
    <x v="0"/>
    <n v="1000"/>
    <n v="55"/>
    <n v="31"/>
    <s v="PUN01 NC Cluster 6"/>
    <m/>
    <d v="1899-12-30T01:15:00"/>
    <d v="1899-12-30T04:15:13"/>
    <n v="86283"/>
    <d v="1899-12-30T07:29:31"/>
    <d v="1899-12-30T07:30:32"/>
    <n v="86297"/>
    <n v="22"/>
    <n v="22"/>
    <n v="0"/>
    <n v="14"/>
    <n v="14"/>
    <n v="0"/>
    <n v="0"/>
    <n v="0"/>
    <x v="0"/>
    <n v="0"/>
    <n v="0"/>
    <n v="0"/>
    <n v="0"/>
    <n v="806.45"/>
    <n v="0"/>
    <n v="806.45"/>
    <m/>
    <m/>
  </r>
  <r>
    <n v="57"/>
    <x v="2"/>
    <s v="HINJEWADI"/>
    <s v="SLK1"/>
    <x v="0"/>
    <x v="25"/>
    <s v="ACE"/>
    <s v="CNG"/>
    <n v="4"/>
    <n v="8"/>
    <x v="0"/>
    <n v="1000"/>
    <n v="55"/>
    <n v="31"/>
    <s v="PUN01 NC Cluster 199"/>
    <m/>
    <d v="1899-12-30T02:20:00"/>
    <d v="1899-12-30T04:02:03"/>
    <n v="117291"/>
    <d v="1899-12-30T07:27:55"/>
    <d v="1899-12-30T07:28:05"/>
    <n v="117315"/>
    <n v="14"/>
    <n v="14"/>
    <n v="0"/>
    <n v="24"/>
    <n v="24"/>
    <n v="0"/>
    <n v="0"/>
    <n v="0"/>
    <x v="0"/>
    <n v="0"/>
    <n v="0"/>
    <n v="0"/>
    <n v="0"/>
    <n v="806.45"/>
    <n v="0"/>
    <n v="806.45"/>
    <m/>
    <m/>
  </r>
  <r>
    <n v="58"/>
    <x v="2"/>
    <s v="HINJEWADI"/>
    <s v="SLK1"/>
    <x v="0"/>
    <x v="12"/>
    <s v="ACE"/>
    <s v="CNG"/>
    <n v="4"/>
    <n v="8"/>
    <x v="0"/>
    <n v="1000"/>
    <n v="55"/>
    <n v="31"/>
    <s v="PUN01 NC Cluster 3"/>
    <m/>
    <d v="1899-12-30T01:14:00"/>
    <d v="1899-12-30T04:01:40"/>
    <n v="82553"/>
    <d v="1899-12-30T07:55:16"/>
    <d v="1899-12-30T07:55:24"/>
    <n v="82563"/>
    <n v="59"/>
    <n v="35"/>
    <n v="24"/>
    <n v="10"/>
    <n v="10"/>
    <n v="0"/>
    <n v="0"/>
    <n v="0"/>
    <x v="0"/>
    <n v="0"/>
    <n v="0"/>
    <n v="0"/>
    <n v="0"/>
    <n v="806.45"/>
    <n v="0"/>
    <n v="806.45"/>
    <m/>
    <m/>
  </r>
  <r>
    <n v="59"/>
    <x v="2"/>
    <s v="HINJEWADI"/>
    <s v="SLK1"/>
    <x v="0"/>
    <x v="13"/>
    <s v="ACE"/>
    <s v="CNG"/>
    <n v="4"/>
    <n v="8"/>
    <x v="0"/>
    <n v="1000"/>
    <n v="55"/>
    <n v="31"/>
    <s v="PUN01 NC Cluster 125"/>
    <m/>
    <d v="1899-12-30T02:20:00"/>
    <d v="1899-12-30T04:38:34"/>
    <n v="35973"/>
    <d v="1899-12-30T07:39:11"/>
    <d v="1899-12-30T07:41:24"/>
    <n v="36005"/>
    <n v="35"/>
    <n v="35"/>
    <n v="0"/>
    <n v="32"/>
    <n v="32"/>
    <n v="0"/>
    <n v="0"/>
    <n v="0"/>
    <x v="0"/>
    <n v="0"/>
    <n v="0"/>
    <n v="0"/>
    <n v="0"/>
    <n v="806.45"/>
    <n v="0"/>
    <n v="806.45"/>
    <m/>
    <m/>
  </r>
  <r>
    <n v="60"/>
    <x v="2"/>
    <s v="HINJEWADI"/>
    <s v="SLK1"/>
    <x v="0"/>
    <x v="15"/>
    <s v="ACE"/>
    <s v="CNG"/>
    <n v="4"/>
    <n v="8"/>
    <x v="0"/>
    <n v="1000"/>
    <n v="55"/>
    <n v="31"/>
    <s v="PUN01 NC Cluster 36"/>
    <m/>
    <d v="1899-12-30T01:14:00"/>
    <d v="1899-12-30T04:00:11"/>
    <n v="37141"/>
    <d v="1899-12-30T07:24:55"/>
    <d v="1899-12-30T07:25:01"/>
    <n v="37159"/>
    <n v="59"/>
    <n v="59"/>
    <n v="0"/>
    <n v="18"/>
    <n v="18"/>
    <n v="0"/>
    <n v="0"/>
    <n v="0"/>
    <x v="0"/>
    <n v="0"/>
    <n v="0"/>
    <n v="0"/>
    <n v="0"/>
    <n v="806.45"/>
    <n v="0"/>
    <n v="806.45"/>
    <m/>
    <m/>
  </r>
  <r>
    <n v="61"/>
    <x v="2"/>
    <s v="HINJEWADI"/>
    <s v="SLK1"/>
    <x v="0"/>
    <x v="17"/>
    <s v="ACE"/>
    <s v="CNG"/>
    <n v="4"/>
    <n v="8"/>
    <x v="0"/>
    <n v="1000"/>
    <n v="55"/>
    <n v="31"/>
    <s v="PUN01 NC Cluster 211"/>
    <m/>
    <d v="1899-12-30T01:15:00"/>
    <d v="1899-12-30T03:59:31"/>
    <n v="6435"/>
    <d v="1899-12-30T07:46:28"/>
    <d v="1899-12-30T07:46:34"/>
    <n v="6467"/>
    <n v="42"/>
    <n v="42"/>
    <n v="0"/>
    <n v="32"/>
    <n v="32"/>
    <n v="0"/>
    <n v="0"/>
    <n v="0"/>
    <x v="0"/>
    <n v="0"/>
    <n v="0"/>
    <n v="0"/>
    <n v="0"/>
    <n v="806.45"/>
    <n v="0"/>
    <n v="806.45"/>
    <m/>
    <m/>
  </r>
  <r>
    <n v="62"/>
    <x v="2"/>
    <s v="HINJEWADI"/>
    <s v="SLK1"/>
    <x v="0"/>
    <x v="18"/>
    <s v="ACE"/>
    <s v="CNG"/>
    <n v="4"/>
    <n v="8"/>
    <x v="0"/>
    <n v="1000"/>
    <n v="55"/>
    <n v="31"/>
    <s v="PUN01 NC Cluster 60"/>
    <m/>
    <d v="1899-12-30T01:13:00"/>
    <d v="1899-12-30T04:00:48"/>
    <n v="3388"/>
    <d v="1899-12-30T07:47:44"/>
    <d v="1899-12-30T07:47:52"/>
    <n v="3424"/>
    <n v="23"/>
    <n v="23"/>
    <n v="0"/>
    <n v="36"/>
    <n v="36"/>
    <n v="0"/>
    <n v="0"/>
    <n v="0"/>
    <x v="0"/>
    <n v="0"/>
    <n v="0"/>
    <n v="0"/>
    <n v="0"/>
    <n v="806.45"/>
    <n v="0"/>
    <n v="806.45"/>
    <m/>
    <m/>
  </r>
  <r>
    <n v="63"/>
    <x v="2"/>
    <s v="HINJEWADI"/>
    <s v="SLK1"/>
    <x v="0"/>
    <x v="20"/>
    <s v="BOLERO"/>
    <s v="DIESEL"/>
    <n v="4"/>
    <n v="10"/>
    <x v="2"/>
    <n v="1000"/>
    <n v="55"/>
    <n v="31"/>
    <s v="PUN01 NC Cluster 296"/>
    <m/>
    <d v="1899-12-30T01:16:00"/>
    <d v="1899-12-30T04:31:19"/>
    <n v="37745"/>
    <d v="1899-12-30T09:37:25"/>
    <d v="1899-12-30T09:38:26"/>
    <n v="37780"/>
    <n v="30"/>
    <n v="30"/>
    <n v="0"/>
    <n v="35"/>
    <n v="35"/>
    <n v="0"/>
    <n v="0"/>
    <n v="2"/>
    <x v="2"/>
    <n v="0"/>
    <n v="0"/>
    <n v="0"/>
    <n v="0"/>
    <n v="1235.48"/>
    <n v="0"/>
    <n v="1235.48"/>
    <m/>
    <m/>
  </r>
  <r>
    <n v="64"/>
    <x v="2"/>
    <s v="HINJEWADI"/>
    <s v="SLK1"/>
    <x v="0"/>
    <x v="27"/>
    <s v="BOLERO"/>
    <s v="DIESEL"/>
    <n v="4"/>
    <n v="10"/>
    <x v="2"/>
    <n v="1000"/>
    <n v="55"/>
    <n v="31"/>
    <s v="PUN01 NC Cluster 40"/>
    <m/>
    <d v="1899-12-30T01:13:00"/>
    <d v="1899-12-30T04:01:07"/>
    <n v="17329"/>
    <m/>
    <m/>
    <n v="17329"/>
    <m/>
    <n v="63"/>
    <n v="-63"/>
    <n v="0"/>
    <n v="0"/>
    <n v="0"/>
    <n v="0"/>
    <n v="0"/>
    <x v="0"/>
    <n v="0"/>
    <n v="0"/>
    <n v="0"/>
    <n v="0"/>
    <n v="935.48"/>
    <n v="0"/>
    <n v="935.48"/>
    <m/>
    <m/>
  </r>
  <r>
    <n v="65"/>
    <x v="2"/>
    <s v="HINJEWADI"/>
    <s v="SLK1"/>
    <x v="0"/>
    <x v="21"/>
    <s v="BOLERO"/>
    <s v="DIESEL"/>
    <n v="4"/>
    <n v="10"/>
    <x v="2"/>
    <n v="1000"/>
    <n v="55"/>
    <n v="31"/>
    <s v="PUN01 NC Cluster 128"/>
    <m/>
    <d v="1899-12-30T02:20:00"/>
    <d v="1899-12-30T04:33:24"/>
    <n v="2562"/>
    <d v="1899-12-30T07:51:12"/>
    <d v="1899-12-30T07:51:40"/>
    <n v="2606"/>
    <n v="55"/>
    <n v="55"/>
    <n v="0"/>
    <n v="44"/>
    <n v="44"/>
    <n v="0"/>
    <n v="0"/>
    <n v="0"/>
    <x v="0"/>
    <n v="0"/>
    <n v="0"/>
    <n v="0"/>
    <n v="0"/>
    <n v="935.48"/>
    <n v="0"/>
    <n v="935.48"/>
    <m/>
    <m/>
  </r>
  <r>
    <n v="66"/>
    <x v="3"/>
    <s v="HINJEWADI"/>
    <s v="SLK1"/>
    <x v="0"/>
    <x v="0"/>
    <s v="ACE"/>
    <s v="CNG"/>
    <n v="4"/>
    <n v="8"/>
    <x v="0"/>
    <n v="1000"/>
    <n v="55"/>
    <n v="31"/>
    <s v="PUN01 NC Cluster 1"/>
    <m/>
    <d v="1899-12-30T01:00:00"/>
    <d v="1899-12-30T04:06:25"/>
    <n v="55517"/>
    <d v="1899-12-30T06:49:18"/>
    <d v="1899-12-30T06:49:31"/>
    <n v="55523"/>
    <n v="49"/>
    <n v="49"/>
    <n v="0"/>
    <n v="6"/>
    <n v="6"/>
    <n v="0"/>
    <n v="0"/>
    <n v="0"/>
    <x v="0"/>
    <n v="0"/>
    <n v="0"/>
    <n v="0"/>
    <n v="0"/>
    <n v="806.45"/>
    <n v="0"/>
    <n v="806.45"/>
    <m/>
    <m/>
  </r>
  <r>
    <n v="67"/>
    <x v="3"/>
    <s v="HINJEWADI"/>
    <s v="SLK1"/>
    <x v="0"/>
    <x v="1"/>
    <s v="ACE"/>
    <s v="CNG"/>
    <n v="4"/>
    <n v="8"/>
    <x v="0"/>
    <n v="1000"/>
    <n v="55"/>
    <n v="31"/>
    <s v="PUN01 NC Cluster 1"/>
    <m/>
    <d v="1899-12-30T03:21:00"/>
    <d v="1899-12-30T07:15:26"/>
    <n v="190953"/>
    <d v="1899-12-30T07:17:07"/>
    <d v="1899-12-30T07:18:33"/>
    <n v="190953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68"/>
    <x v="3"/>
    <s v="HINJEWADI"/>
    <s v="SLK1"/>
    <x v="0"/>
    <x v="2"/>
    <s v="ACE"/>
    <s v="CNG"/>
    <n v="6"/>
    <n v="8"/>
    <x v="1"/>
    <n v="2000"/>
    <n v="55"/>
    <n v="31"/>
    <s v="PUN01 NC Cluster 229"/>
    <m/>
    <d v="1899-12-30T01:50:00"/>
    <d v="1899-12-30T04:06:41"/>
    <n v="98477"/>
    <d v="1899-12-30T07:52:40"/>
    <d v="1899-12-30T07:52:46"/>
    <n v="98530"/>
    <n v="56"/>
    <n v="55"/>
    <n v="1"/>
    <n v="53"/>
    <n v="53"/>
    <n v="0"/>
    <n v="0"/>
    <n v="0"/>
    <x v="0"/>
    <n v="0"/>
    <n v="0"/>
    <n v="0"/>
    <n v="0"/>
    <n v="1064.52"/>
    <n v="0"/>
    <n v="1064.52"/>
    <m/>
    <m/>
  </r>
  <r>
    <n v="69"/>
    <x v="3"/>
    <s v="HINJEWADI"/>
    <s v="SLK1"/>
    <x v="0"/>
    <x v="3"/>
    <s v="ACE"/>
    <s v="CNG"/>
    <n v="4"/>
    <n v="8"/>
    <x v="0"/>
    <n v="1000"/>
    <n v="55"/>
    <n v="31"/>
    <s v="PUN01 NC Cluster 124"/>
    <m/>
    <d v="1899-12-30T02:55:00"/>
    <d v="1899-12-30T03:45:10"/>
    <n v="83410"/>
    <d v="1899-12-30T07:27:15"/>
    <d v="1899-12-30T07:27:23"/>
    <n v="83438"/>
    <n v="28"/>
    <n v="28"/>
    <n v="0"/>
    <n v="28"/>
    <n v="28"/>
    <n v="0"/>
    <n v="0"/>
    <n v="0"/>
    <x v="0"/>
    <n v="0"/>
    <n v="0"/>
    <n v="0"/>
    <n v="0"/>
    <n v="806.45"/>
    <n v="0"/>
    <n v="806.45"/>
    <m/>
    <m/>
  </r>
  <r>
    <n v="70"/>
    <x v="3"/>
    <s v="HINJEWADI"/>
    <s v="SLK1"/>
    <x v="0"/>
    <x v="4"/>
    <s v="ACE"/>
    <s v="CNG"/>
    <n v="4"/>
    <n v="8"/>
    <x v="0"/>
    <n v="1000"/>
    <n v="55"/>
    <n v="31"/>
    <s v="PUN01 NC Cluster 209"/>
    <m/>
    <d v="1899-12-30T02:49:00"/>
    <d v="1899-12-30T03:57:28"/>
    <n v="11125"/>
    <d v="1899-12-30T07:28:58"/>
    <d v="1899-12-30T07:29:05"/>
    <n v="11168"/>
    <n v="28"/>
    <n v="28"/>
    <n v="0"/>
    <n v="43"/>
    <n v="43"/>
    <n v="0"/>
    <n v="0"/>
    <n v="0"/>
    <x v="0"/>
    <n v="0"/>
    <n v="0"/>
    <n v="0"/>
    <n v="0"/>
    <n v="806.45"/>
    <n v="0"/>
    <n v="806.45"/>
    <m/>
    <m/>
  </r>
  <r>
    <n v="71"/>
    <x v="3"/>
    <s v="HINJEWADI"/>
    <s v="SLK1"/>
    <x v="0"/>
    <x v="28"/>
    <s v="ACE"/>
    <s v="CNG"/>
    <n v="4"/>
    <n v="8"/>
    <x v="0"/>
    <n v="1000"/>
    <n v="55"/>
    <n v="31"/>
    <s v="PUN01 NC Cluster 17"/>
    <m/>
    <d v="1899-12-30T02:54:00"/>
    <d v="1899-12-30T03:57:47"/>
    <n v="13797"/>
    <d v="1899-12-30T08:04:33"/>
    <d v="1899-12-30T08:04:40"/>
    <n v="13814"/>
    <n v="34"/>
    <n v="34"/>
    <n v="0"/>
    <n v="17"/>
    <n v="17"/>
    <n v="0"/>
    <n v="0"/>
    <n v="1"/>
    <x v="1"/>
    <n v="0"/>
    <n v="0"/>
    <n v="0"/>
    <n v="0"/>
    <n v="956.45"/>
    <n v="0"/>
    <n v="956.45"/>
    <m/>
    <m/>
  </r>
  <r>
    <n v="72"/>
    <x v="3"/>
    <s v="HINJEWADI"/>
    <s v="SLK1"/>
    <x v="0"/>
    <x v="5"/>
    <s v="ACE"/>
    <s v="CNG"/>
    <n v="4"/>
    <n v="8"/>
    <x v="0"/>
    <n v="1000"/>
    <n v="55"/>
    <n v="31"/>
    <s v="PUN01 NC Cluster 87"/>
    <m/>
    <d v="1899-12-30T01:15:00"/>
    <d v="1899-12-30T03:55:52"/>
    <n v="145088"/>
    <d v="1899-12-30T07:01:07"/>
    <d v="1899-12-30T07:01:14"/>
    <n v="145104"/>
    <n v="28"/>
    <n v="28"/>
    <n v="0"/>
    <n v="16"/>
    <n v="16"/>
    <n v="0"/>
    <n v="0"/>
    <n v="0"/>
    <x v="0"/>
    <n v="0"/>
    <n v="0"/>
    <n v="0"/>
    <n v="0"/>
    <n v="806.45"/>
    <n v="0"/>
    <n v="806.45"/>
    <m/>
    <m/>
  </r>
  <r>
    <n v="73"/>
    <x v="3"/>
    <s v="HINJEWADI"/>
    <s v="SLK1"/>
    <x v="0"/>
    <x v="6"/>
    <s v="ACE"/>
    <s v="CNG"/>
    <n v="4"/>
    <n v="8"/>
    <x v="0"/>
    <n v="1000"/>
    <n v="55"/>
    <n v="31"/>
    <s v="PUN01 NC Cluster 11"/>
    <m/>
    <d v="1899-12-30T01:31:00"/>
    <d v="1899-12-30T04:04:38"/>
    <n v="141903"/>
    <d v="1899-12-30T08:07:09"/>
    <d v="1899-12-30T08:07:17"/>
    <n v="141920"/>
    <n v="49"/>
    <n v="49"/>
    <n v="0"/>
    <n v="17"/>
    <n v="17"/>
    <n v="0"/>
    <n v="0"/>
    <n v="1"/>
    <x v="1"/>
    <n v="0"/>
    <n v="0"/>
    <n v="0"/>
    <n v="0"/>
    <n v="956.45"/>
    <n v="0"/>
    <n v="956.45"/>
    <m/>
    <m/>
  </r>
  <r>
    <n v="74"/>
    <x v="3"/>
    <s v="HINJEWADI"/>
    <s v="SLK1"/>
    <x v="0"/>
    <x v="9"/>
    <s v="ACE"/>
    <s v="CNG"/>
    <n v="6"/>
    <n v="8"/>
    <x v="1"/>
    <n v="2000"/>
    <n v="55"/>
    <n v="31"/>
    <s v="PUN01 NC Cluster 299"/>
    <m/>
    <d v="1899-12-30T02:24:00"/>
    <d v="1899-12-30T04:08:09"/>
    <n v="47075"/>
    <d v="1899-12-30T08:31:10"/>
    <d v="1899-12-30T08:32:52"/>
    <n v="47162"/>
    <n v="25"/>
    <n v="25"/>
    <n v="0"/>
    <n v="87"/>
    <n v="87"/>
    <n v="0"/>
    <n v="0"/>
    <n v="0"/>
    <x v="0"/>
    <n v="0"/>
    <n v="0"/>
    <n v="0"/>
    <n v="0"/>
    <n v="1064.52"/>
    <n v="0"/>
    <n v="1064.52"/>
    <m/>
    <m/>
  </r>
  <r>
    <n v="75"/>
    <x v="3"/>
    <s v="HINJEWADI"/>
    <s v="SLK1"/>
    <x v="0"/>
    <x v="25"/>
    <s v="ACE"/>
    <s v="CNG"/>
    <n v="4"/>
    <n v="8"/>
    <x v="0"/>
    <n v="1000"/>
    <n v="55"/>
    <n v="31"/>
    <s v="PUN01 Cluster 175"/>
    <m/>
    <d v="1899-12-30T03:15:00"/>
    <d v="1899-12-30T04:28:17"/>
    <n v="117339"/>
    <d v="1899-12-30T07:03:50"/>
    <d v="1899-12-30T07:04:00"/>
    <n v="117369"/>
    <n v="30"/>
    <n v="0"/>
    <n v="30"/>
    <n v="30"/>
    <n v="30"/>
    <n v="0"/>
    <n v="0"/>
    <n v="0"/>
    <x v="0"/>
    <n v="0"/>
    <n v="0"/>
    <n v="0"/>
    <n v="0"/>
    <n v="806.45"/>
    <n v="0"/>
    <n v="806.45"/>
    <m/>
    <m/>
  </r>
  <r>
    <n v="76"/>
    <x v="3"/>
    <s v="HINJEWADI"/>
    <s v="SLK1"/>
    <x v="0"/>
    <x v="10"/>
    <s v="ACE"/>
    <s v="CNG"/>
    <n v="4"/>
    <n v="8"/>
    <x v="0"/>
    <n v="1000"/>
    <n v="55"/>
    <n v="31"/>
    <s v="PUN01 NC Cluster 24"/>
    <m/>
    <d v="1899-12-30T03:04:00"/>
    <d v="1899-12-30T04:28:34"/>
    <n v="73989"/>
    <d v="1899-12-30T08:05:19"/>
    <d v="1899-12-30T08:05:26"/>
    <n v="74013"/>
    <n v="0"/>
    <n v="0"/>
    <n v="0"/>
    <n v="24"/>
    <n v="24"/>
    <n v="0"/>
    <n v="0"/>
    <n v="1"/>
    <x v="1"/>
    <n v="0"/>
    <n v="0"/>
    <n v="0"/>
    <n v="0"/>
    <n v="956.45"/>
    <n v="0"/>
    <n v="956.45"/>
    <m/>
    <m/>
  </r>
  <r>
    <n v="77"/>
    <x v="3"/>
    <s v="HINJEWADI"/>
    <s v="SLK1"/>
    <x v="0"/>
    <x v="11"/>
    <s v="ACE"/>
    <s v="CNG"/>
    <n v="4"/>
    <n v="8"/>
    <x v="0"/>
    <n v="1000"/>
    <n v="55"/>
    <n v="31"/>
    <s v="PUN01 NC Cluster 199"/>
    <m/>
    <d v="1899-12-30T01:07:00"/>
    <d v="1899-12-30T03:50:17"/>
    <n v="51816"/>
    <d v="1899-12-30T08:31:00"/>
    <d v="1899-12-30T08:32:03"/>
    <n v="51849"/>
    <n v="12"/>
    <n v="12"/>
    <n v="0"/>
    <n v="33"/>
    <n v="33"/>
    <n v="0"/>
    <n v="0"/>
    <n v="1"/>
    <x v="1"/>
    <n v="0"/>
    <n v="0"/>
    <n v="0"/>
    <n v="0"/>
    <n v="956.45"/>
    <n v="0"/>
    <n v="956.45"/>
    <m/>
    <m/>
  </r>
  <r>
    <n v="78"/>
    <x v="3"/>
    <s v="HINJEWADI"/>
    <s v="SLK1"/>
    <x v="0"/>
    <x v="12"/>
    <s v="ACE"/>
    <s v="CNG"/>
    <n v="4"/>
    <n v="8"/>
    <x v="0"/>
    <n v="1000"/>
    <n v="55"/>
    <n v="31"/>
    <s v="PUN01 NC Cluster 40"/>
    <m/>
    <d v="1899-12-30T01:05:00"/>
    <d v="1899-12-30T03:48:48"/>
    <n v="82674"/>
    <d v="1899-12-30T07:04:51"/>
    <d v="1899-12-30T07:05:15"/>
    <n v="82690"/>
    <n v="58"/>
    <n v="58"/>
    <n v="0"/>
    <n v="16"/>
    <n v="16"/>
    <n v="0"/>
    <n v="0"/>
    <n v="0"/>
    <x v="0"/>
    <n v="0"/>
    <n v="0"/>
    <n v="0"/>
    <n v="0"/>
    <n v="806.45"/>
    <n v="0"/>
    <n v="806.45"/>
    <m/>
    <m/>
  </r>
  <r>
    <n v="79"/>
    <x v="3"/>
    <s v="HINJEWADI"/>
    <s v="SLK1"/>
    <x v="0"/>
    <x v="13"/>
    <s v="ACE"/>
    <s v="CNG"/>
    <n v="4"/>
    <n v="8"/>
    <x v="0"/>
    <n v="1000"/>
    <n v="55"/>
    <n v="31"/>
    <s v="PUN01 NC Cluster 18"/>
    <m/>
    <d v="1899-12-30T02:12:00"/>
    <d v="1899-12-30T04:16:56"/>
    <n v="36059"/>
    <d v="1899-12-30T07:02:31"/>
    <d v="1899-12-30T07:02:36"/>
    <n v="36083"/>
    <n v="36"/>
    <n v="36"/>
    <n v="0"/>
    <n v="24"/>
    <n v="24"/>
    <n v="0"/>
    <n v="0"/>
    <n v="0"/>
    <x v="0"/>
    <n v="0"/>
    <n v="0"/>
    <n v="0"/>
    <n v="0"/>
    <n v="806.45"/>
    <n v="0"/>
    <n v="806.45"/>
    <m/>
    <m/>
  </r>
  <r>
    <n v="80"/>
    <x v="3"/>
    <s v="HINJEWADI"/>
    <s v="SLK1"/>
    <x v="0"/>
    <x v="14"/>
    <s v="ACE"/>
    <s v="CNG"/>
    <n v="6"/>
    <n v="8"/>
    <x v="1"/>
    <n v="2000"/>
    <n v="55"/>
    <n v="31"/>
    <s v="PUN01 NC Cluster 303"/>
    <m/>
    <d v="1899-12-30T01:22:00"/>
    <d v="1899-12-30T04:07:55"/>
    <n v="31874"/>
    <d v="1899-12-30T07:01:28"/>
    <d v="1899-12-30T07:01:34"/>
    <n v="31942"/>
    <n v="29"/>
    <n v="29"/>
    <n v="0"/>
    <n v="68"/>
    <n v="68"/>
    <n v="0"/>
    <n v="0"/>
    <n v="0"/>
    <x v="0"/>
    <n v="0"/>
    <n v="0"/>
    <n v="0"/>
    <n v="0"/>
    <n v="1064.52"/>
    <n v="0"/>
    <n v="1064.52"/>
    <m/>
    <m/>
  </r>
  <r>
    <n v="81"/>
    <x v="3"/>
    <s v="HINJEWADI"/>
    <s v="SLK1"/>
    <x v="0"/>
    <x v="15"/>
    <s v="ACE"/>
    <s v="CNG"/>
    <n v="4"/>
    <n v="8"/>
    <x v="0"/>
    <n v="1000"/>
    <n v="55"/>
    <n v="31"/>
    <s v="PUN01 NC Cluster 39"/>
    <m/>
    <d v="1899-12-30T01:06:00"/>
    <d v="1899-12-30T03:50:00"/>
    <n v="37332"/>
    <d v="1899-12-30T07:11:28"/>
    <d v="1899-12-30T07:11:34"/>
    <n v="37348"/>
    <n v="50"/>
    <n v="50"/>
    <n v="0"/>
    <n v="16"/>
    <n v="16"/>
    <n v="0"/>
    <n v="0"/>
    <n v="0"/>
    <x v="0"/>
    <n v="0"/>
    <n v="0"/>
    <n v="0"/>
    <n v="0"/>
    <n v="806.45"/>
    <n v="0"/>
    <n v="806.45"/>
    <m/>
    <m/>
  </r>
  <r>
    <n v="82"/>
    <x v="3"/>
    <s v="HINJEWADI"/>
    <s v="SLK1"/>
    <x v="0"/>
    <x v="17"/>
    <s v="ACE"/>
    <s v="CNG"/>
    <n v="4"/>
    <n v="8"/>
    <x v="0"/>
    <n v="1000"/>
    <n v="55"/>
    <n v="31"/>
    <s v="PUN01 NC Cluster 201"/>
    <m/>
    <d v="1899-12-30T01:07:00"/>
    <d v="1899-12-30T03:51:32"/>
    <n v="6503"/>
    <d v="1899-12-30T07:21:52"/>
    <d v="1899-12-30T07:22:00"/>
    <n v="6527"/>
    <n v="37"/>
    <n v="37"/>
    <n v="0"/>
    <n v="24"/>
    <n v="24"/>
    <n v="0"/>
    <n v="0"/>
    <n v="0"/>
    <x v="0"/>
    <n v="0"/>
    <n v="0"/>
    <n v="0"/>
    <n v="0"/>
    <n v="806.45"/>
    <n v="0"/>
    <n v="806.45"/>
    <m/>
    <m/>
  </r>
  <r>
    <n v="83"/>
    <x v="3"/>
    <s v="HINJEWADI"/>
    <s v="SLK1"/>
    <x v="0"/>
    <x v="18"/>
    <s v="ACE"/>
    <s v="CNG"/>
    <n v="4"/>
    <n v="8"/>
    <x v="0"/>
    <n v="1000"/>
    <n v="55"/>
    <n v="31"/>
    <s v="PUN01 NC Cluster 36"/>
    <m/>
    <d v="1899-12-30T01:05:00"/>
    <d v="1899-12-30T03:49:06"/>
    <n v="3475"/>
    <d v="1899-12-30T07:11:45"/>
    <d v="1899-12-30T07:11:51"/>
    <n v="3494"/>
    <n v="67"/>
    <n v="67"/>
    <n v="0"/>
    <n v="19"/>
    <n v="19"/>
    <n v="0"/>
    <n v="0"/>
    <n v="0"/>
    <x v="0"/>
    <n v="0"/>
    <n v="0"/>
    <n v="0"/>
    <n v="0"/>
    <n v="806.45"/>
    <n v="0"/>
    <n v="806.45"/>
    <m/>
    <m/>
  </r>
  <r>
    <n v="84"/>
    <x v="3"/>
    <s v="HINJEWADI"/>
    <s v="SLK1"/>
    <x v="0"/>
    <x v="26"/>
    <s v="ACE"/>
    <s v="CNG"/>
    <n v="4"/>
    <n v="8"/>
    <x v="0"/>
    <n v="1000"/>
    <n v="55"/>
    <n v="31"/>
    <s v="PUN01 NC Cluster 127"/>
    <m/>
    <d v="1899-12-30T00:59:00"/>
    <d v="1899-12-30T04:14:53"/>
    <n v="40681"/>
    <d v="1899-12-30T06:50:21"/>
    <d v="1899-12-30T06:50:37"/>
    <n v="40712"/>
    <n v="26"/>
    <n v="26"/>
    <n v="0"/>
    <n v="31"/>
    <n v="31"/>
    <n v="0"/>
    <n v="0"/>
    <n v="0"/>
    <x v="0"/>
    <n v="0"/>
    <n v="0"/>
    <n v="0"/>
    <n v="0"/>
    <n v="806.45"/>
    <n v="0"/>
    <n v="806.45"/>
    <m/>
    <m/>
  </r>
  <r>
    <n v="85"/>
    <x v="3"/>
    <s v="HINJEWADI"/>
    <s v="SLK1"/>
    <x v="0"/>
    <x v="19"/>
    <s v="BOLERO"/>
    <s v="DIESEL"/>
    <n v="4"/>
    <n v="10"/>
    <x v="2"/>
    <n v="1000"/>
    <n v="55"/>
    <n v="31"/>
    <s v="PUN01 NC Cluster 142"/>
    <m/>
    <d v="1899-12-30T03:11:00"/>
    <d v="1899-12-30T04:28:01"/>
    <n v="32238"/>
    <d v="1899-12-30T07:33:34"/>
    <d v="1899-12-30T07:33:45"/>
    <n v="32251"/>
    <n v="0"/>
    <n v="0"/>
    <n v="0"/>
    <n v="13"/>
    <n v="13"/>
    <n v="0"/>
    <n v="0"/>
    <n v="0"/>
    <x v="0"/>
    <n v="0"/>
    <n v="0"/>
    <n v="0"/>
    <n v="0"/>
    <n v="935.48"/>
    <n v="0"/>
    <n v="935.48"/>
    <m/>
    <m/>
  </r>
  <r>
    <n v="86"/>
    <x v="3"/>
    <s v="HINJEWADI"/>
    <s v="SLK1"/>
    <x v="0"/>
    <x v="20"/>
    <s v="BOLERO"/>
    <s v="DIESEL"/>
    <n v="4"/>
    <n v="10"/>
    <x v="2"/>
    <n v="1000"/>
    <n v="55"/>
    <n v="31"/>
    <s v="PUN01 NC Cluster 97"/>
    <m/>
    <d v="1899-12-30T01:21:00"/>
    <d v="1899-12-30T03:44:29"/>
    <n v="37847"/>
    <d v="1899-12-30T07:48:49"/>
    <d v="1899-12-30T07:49:02"/>
    <n v="37877"/>
    <n v="46"/>
    <n v="46"/>
    <n v="0"/>
    <n v="30"/>
    <n v="30"/>
    <n v="0"/>
    <n v="0"/>
    <n v="0"/>
    <x v="0"/>
    <n v="0"/>
    <n v="0"/>
    <n v="0"/>
    <n v="0"/>
    <n v="935.48"/>
    <n v="0"/>
    <n v="935.48"/>
    <m/>
    <m/>
  </r>
  <r>
    <n v="87"/>
    <x v="3"/>
    <s v="HINJEWADI"/>
    <s v="SLK1"/>
    <x v="0"/>
    <x v="27"/>
    <s v="BOLERO"/>
    <s v="DIESEL"/>
    <n v="4"/>
    <n v="10"/>
    <x v="2"/>
    <n v="1000"/>
    <n v="55"/>
    <n v="31"/>
    <s v="PUN01 NC Cluster 1"/>
    <m/>
    <d v="1899-12-30T01:08:00"/>
    <d v="1899-12-30T04:32:47"/>
    <n v="17398"/>
    <d v="1899-12-30T07:24:51"/>
    <d v="1899-12-30T07:24:58"/>
    <n v="17398"/>
    <n v="0"/>
    <n v="0"/>
    <n v="0"/>
    <n v="0"/>
    <n v="0"/>
    <n v="0"/>
    <n v="0"/>
    <n v="0"/>
    <x v="0"/>
    <n v="0"/>
    <n v="0"/>
    <n v="0"/>
    <n v="0"/>
    <n v="935.48"/>
    <n v="0"/>
    <n v="935.48"/>
    <m/>
    <m/>
  </r>
  <r>
    <n v="88"/>
    <x v="3"/>
    <s v="HINJEWADI"/>
    <s v="SLK1"/>
    <x v="0"/>
    <x v="21"/>
    <s v="BOLERO"/>
    <s v="DIESEL"/>
    <n v="4"/>
    <n v="10"/>
    <x v="2"/>
    <n v="1000"/>
    <n v="55"/>
    <n v="31"/>
    <s v="PUN01 NC Cluster 112"/>
    <m/>
    <d v="1899-12-30T02:43:00"/>
    <d v="1899-12-30T04:01:04"/>
    <n v="2628"/>
    <d v="1899-12-30T07:30:36"/>
    <d v="1899-12-30T07:30:43"/>
    <n v="2663"/>
    <n v="55"/>
    <n v="55"/>
    <n v="0"/>
    <n v="35"/>
    <n v="35"/>
    <n v="0"/>
    <n v="0"/>
    <n v="0"/>
    <x v="0"/>
    <n v="0"/>
    <n v="0"/>
    <n v="0"/>
    <n v="0"/>
    <n v="935.48"/>
    <n v="0"/>
    <n v="935.48"/>
    <m/>
    <m/>
  </r>
  <r>
    <n v="89"/>
    <x v="3"/>
    <s v="HINJEWADI"/>
    <s v="SLK1"/>
    <x v="0"/>
    <x v="22"/>
    <s v="BOLERO"/>
    <s v="DIESEL"/>
    <n v="4"/>
    <n v="10"/>
    <x v="2"/>
    <n v="1000"/>
    <n v="55"/>
    <n v="31"/>
    <s v="PUN01 NC Cluster 110"/>
    <m/>
    <d v="1899-12-30T01:33:00"/>
    <d v="1899-12-30T04:20:29"/>
    <n v="138670"/>
    <d v="1899-12-30T07:13:28"/>
    <d v="1899-12-30T07:13:38"/>
    <n v="138703"/>
    <n v="45"/>
    <n v="45"/>
    <n v="0"/>
    <n v="33"/>
    <n v="33"/>
    <n v="0"/>
    <n v="0"/>
    <n v="0"/>
    <x v="0"/>
    <n v="0"/>
    <n v="0"/>
    <n v="0"/>
    <n v="0"/>
    <n v="935.48"/>
    <n v="0"/>
    <n v="935.48"/>
    <m/>
    <m/>
  </r>
  <r>
    <n v="90"/>
    <x v="4"/>
    <s v="HINJEWADI"/>
    <s v="SLK1"/>
    <x v="0"/>
    <x v="0"/>
    <s v="ACE"/>
    <s v="CNG"/>
    <n v="4"/>
    <n v="8"/>
    <x v="0"/>
    <n v="1000"/>
    <n v="55"/>
    <n v="31"/>
    <s v="PUN01 NC Cluster 1"/>
    <m/>
    <d v="1899-12-30T01:17:00"/>
    <d v="1899-12-30T04:20:47"/>
    <n v="55601"/>
    <d v="1899-12-30T07:11:12"/>
    <d v="1899-12-30T07:11:23"/>
    <n v="55607"/>
    <n v="53"/>
    <n v="53"/>
    <n v="0"/>
    <n v="6"/>
    <n v="6"/>
    <n v="0"/>
    <n v="0"/>
    <n v="0"/>
    <x v="0"/>
    <n v="0"/>
    <n v="0"/>
    <n v="0"/>
    <n v="0"/>
    <n v="806.45"/>
    <n v="0"/>
    <n v="806.45"/>
    <m/>
    <m/>
  </r>
  <r>
    <n v="91"/>
    <x v="4"/>
    <s v="HINJEWADI"/>
    <s v="SLK1"/>
    <x v="0"/>
    <x v="1"/>
    <s v="ACE"/>
    <s v="CNG"/>
    <n v="4"/>
    <n v="8"/>
    <x v="0"/>
    <n v="1000"/>
    <n v="55"/>
    <n v="31"/>
    <s v="PUN01 NC Cluster 2"/>
    <m/>
    <d v="1899-12-30T03:21:00"/>
    <d v="1899-12-30T07:50:10"/>
    <n v="190984"/>
    <d v="1899-12-30T07:50:20"/>
    <d v="1899-12-30T07:50:28"/>
    <n v="190984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92"/>
    <x v="4"/>
    <s v="HINJEWADI"/>
    <s v="SLK1"/>
    <x v="0"/>
    <x v="2"/>
    <s v="ACE"/>
    <s v="CNG"/>
    <n v="6"/>
    <n v="8"/>
    <x v="1"/>
    <n v="2000"/>
    <n v="55"/>
    <n v="31"/>
    <s v="PUN01 NC Cluster 230"/>
    <m/>
    <d v="1899-12-30T01:42:00"/>
    <d v="1899-12-30T04:17:44"/>
    <n v="98619"/>
    <d v="1899-12-30T08:31:41"/>
    <d v="1899-12-30T08:31:52"/>
    <n v="98677"/>
    <n v="51"/>
    <n v="51"/>
    <n v="0"/>
    <n v="58"/>
    <n v="58"/>
    <n v="0"/>
    <n v="0"/>
    <n v="0"/>
    <x v="0"/>
    <n v="0"/>
    <n v="0"/>
    <n v="0"/>
    <n v="0"/>
    <n v="1064.52"/>
    <n v="0"/>
    <n v="1064.52"/>
    <m/>
    <m/>
  </r>
  <r>
    <n v="93"/>
    <x v="4"/>
    <s v="HINJEWADI"/>
    <s v="SLK1"/>
    <x v="0"/>
    <x v="4"/>
    <s v="ACE"/>
    <s v="CNG"/>
    <n v="4"/>
    <n v="8"/>
    <x v="0"/>
    <n v="1000"/>
    <n v="55"/>
    <n v="31"/>
    <s v="PUN01 NC Cluster 1"/>
    <m/>
    <d v="1899-12-30T03:23:00"/>
    <d v="1899-12-30T07:48:32"/>
    <n v="11269"/>
    <d v="1899-12-30T07:48:40"/>
    <d v="1899-12-30T07:49:46"/>
    <n v="11269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94"/>
    <x v="4"/>
    <s v="HINJEWADI"/>
    <s v="SLK1"/>
    <x v="0"/>
    <x v="28"/>
    <s v="ACE"/>
    <s v="CNG"/>
    <n v="4"/>
    <n v="8"/>
    <x v="0"/>
    <n v="1000"/>
    <n v="55"/>
    <n v="31"/>
    <s v="PUN01 NC Cluster 99"/>
    <m/>
    <d v="1899-12-30T03:03:00"/>
    <d v="1899-12-30T04:31:15"/>
    <n v="13932"/>
    <d v="1899-12-30T09:55:00"/>
    <d v="1899-12-30T09:55:27"/>
    <n v="13965"/>
    <n v="30"/>
    <n v="0"/>
    <n v="30"/>
    <n v="33"/>
    <n v="33"/>
    <n v="0"/>
    <n v="0"/>
    <n v="2"/>
    <x v="2"/>
    <n v="0"/>
    <n v="0"/>
    <n v="0"/>
    <n v="0"/>
    <n v="1106.45"/>
    <n v="0"/>
    <n v="1106.45"/>
    <m/>
    <m/>
  </r>
  <r>
    <n v="95"/>
    <x v="4"/>
    <s v="HINJEWADI"/>
    <s v="SLK1"/>
    <x v="0"/>
    <x v="5"/>
    <s v="ACE"/>
    <s v="CNG"/>
    <n v="4"/>
    <n v="8"/>
    <x v="0"/>
    <n v="1000"/>
    <n v="55"/>
    <n v="31"/>
    <s v="PUN01 NC Cluster 87"/>
    <m/>
    <d v="1899-12-30T01:11:00"/>
    <d v="1899-12-30T04:16:15"/>
    <n v="145125"/>
    <d v="1899-12-30T07:16:00"/>
    <d v="1899-12-30T07:16:08"/>
    <n v="145142"/>
    <n v="31"/>
    <n v="31"/>
    <n v="0"/>
    <n v="17"/>
    <n v="17"/>
    <n v="0"/>
    <n v="0"/>
    <n v="0"/>
    <x v="0"/>
    <n v="0"/>
    <n v="0"/>
    <n v="0"/>
    <n v="0"/>
    <n v="806.45"/>
    <n v="0"/>
    <n v="806.45"/>
    <m/>
    <m/>
  </r>
  <r>
    <n v="96"/>
    <x v="4"/>
    <s v="HINJEWADI"/>
    <s v="SLK1"/>
    <x v="0"/>
    <x v="6"/>
    <s v="ACE"/>
    <s v="CNG"/>
    <n v="4"/>
    <n v="8"/>
    <x v="0"/>
    <n v="1000"/>
    <n v="55"/>
    <n v="31"/>
    <s v="PUN01 NC Cluster 10"/>
    <m/>
    <d v="1899-12-30T01:32:00"/>
    <d v="1899-12-30T04:16:00"/>
    <n v="142003"/>
    <d v="1899-12-30T07:39:36"/>
    <d v="1899-12-30T07:39:43"/>
    <n v="142026"/>
    <n v="38"/>
    <n v="38"/>
    <n v="0"/>
    <n v="23"/>
    <n v="23"/>
    <n v="0"/>
    <n v="0"/>
    <n v="0"/>
    <x v="0"/>
    <n v="0"/>
    <n v="0"/>
    <n v="0"/>
    <n v="0"/>
    <n v="806.45"/>
    <n v="0"/>
    <n v="806.45"/>
    <m/>
    <m/>
  </r>
  <r>
    <n v="97"/>
    <x v="4"/>
    <s v="HINJEWADI"/>
    <s v="SLK1"/>
    <x v="0"/>
    <x v="7"/>
    <s v="ACE"/>
    <s v="CNG"/>
    <n v="4"/>
    <n v="8"/>
    <x v="0"/>
    <n v="1000"/>
    <n v="55"/>
    <n v="31"/>
    <s v="PUN01 NC Cluster 91"/>
    <m/>
    <d v="1899-12-30T02:54:00"/>
    <d v="1899-12-30T04:15:47"/>
    <n v="158342"/>
    <d v="1899-12-30T07:06:50"/>
    <d v="1899-12-30T07:08:12"/>
    <n v="158365"/>
    <n v="26"/>
    <n v="26"/>
    <n v="0"/>
    <n v="23"/>
    <n v="23"/>
    <n v="0"/>
    <n v="0"/>
    <n v="0"/>
    <x v="0"/>
    <n v="0"/>
    <n v="0"/>
    <n v="0"/>
    <n v="0"/>
    <n v="806.45"/>
    <n v="0"/>
    <n v="806.45"/>
    <m/>
    <m/>
  </r>
  <r>
    <n v="98"/>
    <x v="4"/>
    <s v="HINJEWADI"/>
    <s v="SLK1"/>
    <x v="0"/>
    <x v="8"/>
    <s v="ACE"/>
    <s v="CNG"/>
    <n v="4"/>
    <n v="8"/>
    <x v="0"/>
    <n v="1000"/>
    <n v="55"/>
    <n v="31"/>
    <s v="PUN01 NC Cluster 42"/>
    <m/>
    <d v="1899-12-30T01:19:00"/>
    <d v="1899-12-30T04:22:10"/>
    <n v="112365"/>
    <d v="1899-12-30T07:27:19"/>
    <d v="1899-12-30T07:27:30"/>
    <n v="112377"/>
    <n v="30"/>
    <n v="55"/>
    <n v="-25"/>
    <n v="12"/>
    <n v="12"/>
    <n v="0"/>
    <n v="0"/>
    <n v="0"/>
    <x v="0"/>
    <n v="0"/>
    <n v="0"/>
    <n v="0"/>
    <n v="0"/>
    <n v="806.45"/>
    <n v="0"/>
    <n v="806.45"/>
    <m/>
    <m/>
  </r>
  <r>
    <n v="99"/>
    <x v="4"/>
    <s v="HINJEWADI"/>
    <s v="SLK1"/>
    <x v="0"/>
    <x v="23"/>
    <s v="ACE"/>
    <s v="CNG"/>
    <n v="4"/>
    <n v="8"/>
    <x v="0"/>
    <n v="1000"/>
    <n v="55"/>
    <n v="31"/>
    <s v="PUN01 NC Cluster 60"/>
    <m/>
    <d v="1899-12-30T02:50:00"/>
    <d v="1899-12-30T04:17:27"/>
    <n v="76986"/>
    <d v="1899-12-30T08:00:02"/>
    <d v="1899-12-30T08:00:33"/>
    <n v="77004"/>
    <n v="23"/>
    <n v="23"/>
    <n v="0"/>
    <n v="18"/>
    <n v="18"/>
    <n v="0"/>
    <n v="0"/>
    <n v="0"/>
    <x v="0"/>
    <n v="0"/>
    <n v="0"/>
    <n v="0"/>
    <n v="0"/>
    <n v="806.45"/>
    <n v="0"/>
    <n v="806.45"/>
    <m/>
    <m/>
  </r>
  <r>
    <n v="100"/>
    <x v="4"/>
    <s v="HINJEWADI"/>
    <s v="SLK1"/>
    <x v="0"/>
    <x v="9"/>
    <s v="ACE"/>
    <s v="CNG"/>
    <n v="6"/>
    <n v="8"/>
    <x v="1"/>
    <n v="2000"/>
    <n v="55"/>
    <n v="31"/>
    <s v="PUN01 NC Cluster 20"/>
    <m/>
    <d v="1899-12-30T02:55:00"/>
    <d v="1899-12-30T04:24:14"/>
    <n v="47178"/>
    <d v="1899-12-30T07:10:44"/>
    <d v="1899-12-30T07:10:53"/>
    <n v="47196"/>
    <n v="43"/>
    <n v="43"/>
    <n v="0"/>
    <n v="18"/>
    <n v="18"/>
    <n v="0"/>
    <n v="0"/>
    <n v="0"/>
    <x v="0"/>
    <n v="0"/>
    <n v="0"/>
    <n v="0"/>
    <n v="0"/>
    <n v="1064.52"/>
    <n v="0"/>
    <n v="1064.52"/>
    <m/>
    <m/>
  </r>
  <r>
    <n v="101"/>
    <x v="4"/>
    <s v="HINJEWADI"/>
    <s v="SLK1"/>
    <x v="0"/>
    <x v="25"/>
    <s v="ACE"/>
    <s v="CNG"/>
    <n v="4"/>
    <n v="8"/>
    <x v="0"/>
    <n v="1000"/>
    <n v="55"/>
    <n v="31"/>
    <s v="PUN01 NC Cluster 38"/>
    <m/>
    <d v="1899-12-30T03:24:00"/>
    <d v="1899-12-30T04:31:49"/>
    <n v="117390"/>
    <d v="1899-12-30T07:58:12"/>
    <d v="1899-12-30T07:59:08"/>
    <n v="117398"/>
    <n v="0"/>
    <n v="0"/>
    <n v="0"/>
    <n v="8"/>
    <n v="8"/>
    <n v="0"/>
    <n v="0"/>
    <n v="0"/>
    <x v="0"/>
    <n v="0"/>
    <n v="0"/>
    <n v="0"/>
    <n v="0"/>
    <n v="806.45"/>
    <n v="0"/>
    <n v="806.45"/>
    <m/>
    <m/>
  </r>
  <r>
    <n v="102"/>
    <x v="4"/>
    <s v="HINJEWADI"/>
    <s v="SLK1"/>
    <x v="0"/>
    <x v="10"/>
    <s v="ACE"/>
    <s v="CNG"/>
    <n v="4"/>
    <n v="8"/>
    <x v="0"/>
    <n v="1000"/>
    <n v="55"/>
    <n v="31"/>
    <s v="PUN01 NC Cluster 121"/>
    <m/>
    <d v="1899-12-30T01:16:00"/>
    <d v="1899-12-30T04:18:00"/>
    <n v="74079"/>
    <d v="1899-12-30T07:49:22"/>
    <d v="1899-12-30T07:49:38"/>
    <n v="74124"/>
    <n v="28"/>
    <n v="28"/>
    <n v="0"/>
    <n v="45"/>
    <n v="45"/>
    <n v="0"/>
    <n v="0"/>
    <n v="0"/>
    <x v="0"/>
    <n v="0"/>
    <n v="0"/>
    <n v="0"/>
    <n v="0"/>
    <n v="806.45"/>
    <n v="0"/>
    <n v="806.45"/>
    <m/>
    <m/>
  </r>
  <r>
    <n v="103"/>
    <x v="4"/>
    <s v="HINJEWADI"/>
    <s v="SLK1"/>
    <x v="0"/>
    <x v="12"/>
    <s v="ACE"/>
    <s v="CNG"/>
    <n v="4"/>
    <n v="8"/>
    <x v="0"/>
    <n v="1000"/>
    <n v="55"/>
    <n v="31"/>
    <s v="PUN01 NC Cluster 40"/>
    <m/>
    <d v="1899-12-30T01:18:00"/>
    <d v="1899-12-30T04:20:11"/>
    <n v="82771"/>
    <d v="1899-12-30T07:28:03"/>
    <d v="1899-12-30T07:28:10"/>
    <n v="82786"/>
    <n v="39"/>
    <n v="39"/>
    <n v="0"/>
    <n v="15"/>
    <n v="15"/>
    <n v="0"/>
    <n v="0"/>
    <n v="0"/>
    <x v="0"/>
    <n v="0"/>
    <n v="0"/>
    <n v="0"/>
    <n v="0"/>
    <n v="806.45"/>
    <n v="0"/>
    <n v="806.45"/>
    <m/>
    <m/>
  </r>
  <r>
    <n v="104"/>
    <x v="4"/>
    <s v="HINJEWADI"/>
    <s v="SLK1"/>
    <x v="0"/>
    <x v="13"/>
    <s v="ACE"/>
    <s v="CNG"/>
    <n v="4"/>
    <n v="8"/>
    <x v="0"/>
    <n v="1000"/>
    <n v="55"/>
    <n v="31"/>
    <s v="PUN01 NC Cluster 124"/>
    <m/>
    <d v="1899-12-30T02:12:00"/>
    <d v="1899-12-30T04:27:32"/>
    <n v="36131"/>
    <d v="1899-12-30T07:05:50"/>
    <d v="1899-12-30T07:06:09"/>
    <n v="36161"/>
    <n v="46"/>
    <n v="46"/>
    <n v="0"/>
    <n v="30"/>
    <n v="30"/>
    <n v="0"/>
    <n v="0"/>
    <n v="0"/>
    <x v="0"/>
    <n v="0"/>
    <n v="0"/>
    <n v="0"/>
    <n v="0"/>
    <n v="806.45"/>
    <n v="0"/>
    <n v="806.45"/>
    <m/>
    <m/>
  </r>
  <r>
    <n v="105"/>
    <x v="4"/>
    <s v="HINJEWADI"/>
    <s v="SLK1"/>
    <x v="0"/>
    <x v="14"/>
    <s v="ACE"/>
    <s v="CNG"/>
    <n v="6"/>
    <n v="8"/>
    <x v="1"/>
    <n v="2000"/>
    <n v="55"/>
    <n v="31"/>
    <s v="PUN01 NC Cluster 303"/>
    <m/>
    <d v="1899-12-30T01:10:00"/>
    <d v="1899-12-30T04:17:27"/>
    <n v="32032"/>
    <d v="1899-12-30T07:22:15"/>
    <d v="1899-12-30T07:29:14"/>
    <n v="32098"/>
    <n v="27"/>
    <n v="28"/>
    <n v="-1"/>
    <n v="66"/>
    <n v="66"/>
    <n v="0"/>
    <n v="0"/>
    <n v="0"/>
    <x v="0"/>
    <n v="0"/>
    <n v="0"/>
    <n v="0"/>
    <n v="0"/>
    <n v="1064.52"/>
    <n v="0"/>
    <n v="1064.52"/>
    <m/>
    <m/>
  </r>
  <r>
    <n v="106"/>
    <x v="4"/>
    <s v="HINJEWADI"/>
    <s v="SLK1"/>
    <x v="0"/>
    <x v="15"/>
    <s v="ACE"/>
    <s v="CNG"/>
    <n v="4"/>
    <n v="8"/>
    <x v="0"/>
    <n v="1000"/>
    <n v="55"/>
    <n v="31"/>
    <s v="PUN01 NC Cluster 38"/>
    <m/>
    <d v="1899-12-30T01:17:00"/>
    <d v="1899-12-30T04:21:04"/>
    <n v="37414"/>
    <d v="1899-12-30T07:20:51"/>
    <d v="1899-12-30T07:21:02"/>
    <n v="37432"/>
    <n v="71"/>
    <n v="61"/>
    <n v="10"/>
    <n v="18"/>
    <n v="18"/>
    <n v="0"/>
    <n v="0"/>
    <n v="0"/>
    <x v="0"/>
    <n v="0"/>
    <n v="0"/>
    <n v="0"/>
    <n v="0"/>
    <n v="806.45"/>
    <n v="0"/>
    <n v="806.45"/>
    <m/>
    <m/>
  </r>
  <r>
    <n v="107"/>
    <x v="4"/>
    <s v="HINJEWADI"/>
    <s v="SLK1"/>
    <x v="0"/>
    <x v="17"/>
    <s v="ACE"/>
    <s v="CNG"/>
    <n v="4"/>
    <n v="8"/>
    <x v="0"/>
    <n v="1000"/>
    <n v="55"/>
    <n v="31"/>
    <s v="PUN01 NC Cluster 201"/>
    <m/>
    <d v="1899-12-30T01:42:00"/>
    <d v="1899-12-30T04:19:13"/>
    <n v="6584"/>
    <d v="1899-12-30T07:27:45"/>
    <d v="1899-12-30T07:27:52"/>
    <n v="6610"/>
    <n v="36"/>
    <n v="36"/>
    <n v="0"/>
    <n v="26"/>
    <n v="26"/>
    <n v="0"/>
    <n v="0"/>
    <n v="0"/>
    <x v="0"/>
    <n v="0"/>
    <n v="0"/>
    <n v="0"/>
    <n v="0"/>
    <n v="806.45"/>
    <n v="0"/>
    <n v="806.45"/>
    <m/>
    <m/>
  </r>
  <r>
    <n v="108"/>
    <x v="4"/>
    <s v="HINJEWADI"/>
    <s v="SLK1"/>
    <x v="0"/>
    <x v="18"/>
    <s v="ACE"/>
    <s v="CNG"/>
    <n v="4"/>
    <n v="8"/>
    <x v="0"/>
    <n v="1000"/>
    <n v="55"/>
    <n v="31"/>
    <s v="PUN01 NC Cluster 67"/>
    <m/>
    <d v="1899-12-30T01:18:00"/>
    <d v="1899-12-30T04:22:26"/>
    <n v="3665"/>
    <d v="1899-12-30T07:21:19"/>
    <d v="1899-12-30T07:29:04"/>
    <n v="3688"/>
    <n v="37"/>
    <n v="32"/>
    <n v="5"/>
    <n v="23"/>
    <n v="23"/>
    <n v="0"/>
    <n v="0"/>
    <n v="0"/>
    <x v="0"/>
    <n v="0"/>
    <n v="0"/>
    <n v="0"/>
    <n v="0"/>
    <n v="806.45"/>
    <n v="0"/>
    <n v="806.45"/>
    <m/>
    <m/>
  </r>
  <r>
    <n v="109"/>
    <x v="4"/>
    <s v="HINJEWADI"/>
    <s v="SLK1"/>
    <x v="0"/>
    <x v="20"/>
    <s v="BOLERO"/>
    <s v="DIESEL"/>
    <n v="4"/>
    <n v="10"/>
    <x v="2"/>
    <n v="1000"/>
    <n v="55"/>
    <n v="31"/>
    <s v="PUN01 NC Cluster 73"/>
    <m/>
    <d v="1899-12-30T01:34:00"/>
    <d v="1899-12-30T04:19:17"/>
    <n v="37948"/>
    <d v="1899-12-30T07:16:49"/>
    <d v="1899-12-30T07:16:58"/>
    <n v="37967"/>
    <n v="50"/>
    <n v="50"/>
    <n v="0"/>
    <n v="19"/>
    <n v="19"/>
    <n v="0"/>
    <n v="0"/>
    <n v="0"/>
    <x v="0"/>
    <n v="0"/>
    <n v="0"/>
    <n v="0"/>
    <n v="0"/>
    <n v="935.48"/>
    <n v="0"/>
    <n v="935.48"/>
    <m/>
    <m/>
  </r>
  <r>
    <n v="110"/>
    <x v="4"/>
    <s v="HINJEWADI"/>
    <s v="SLK1"/>
    <x v="0"/>
    <x v="21"/>
    <s v="BOLERO"/>
    <s v="DIESEL"/>
    <n v="4"/>
    <n v="10"/>
    <x v="2"/>
    <n v="1000"/>
    <n v="55"/>
    <n v="31"/>
    <s v="PUN01 NC Cluster 86"/>
    <m/>
    <d v="1899-12-30T02:52:00"/>
    <d v="1899-12-30T04:18:17"/>
    <n v="2690"/>
    <d v="1899-12-30T07:26:28"/>
    <d v="1899-12-30T07:26:53"/>
    <n v="2708"/>
    <n v="68"/>
    <n v="68"/>
    <n v="0"/>
    <n v="18"/>
    <n v="18"/>
    <n v="0"/>
    <n v="0"/>
    <n v="0"/>
    <x v="0"/>
    <n v="0"/>
    <n v="0"/>
    <n v="0"/>
    <n v="0"/>
    <n v="935.48"/>
    <n v="0"/>
    <n v="935.48"/>
    <m/>
    <m/>
  </r>
  <r>
    <n v="111"/>
    <x v="5"/>
    <s v="HINJEWADI"/>
    <s v="SLK1"/>
    <x v="0"/>
    <x v="0"/>
    <s v="ACE"/>
    <s v="CNG"/>
    <n v="4"/>
    <n v="8"/>
    <x v="0"/>
    <n v="1000"/>
    <n v="55"/>
    <n v="31"/>
    <s v="PUN01 NC Cluster 1"/>
    <m/>
    <d v="1899-12-30T01:11:00"/>
    <d v="1899-12-30T04:10:21"/>
    <n v="55678"/>
    <d v="1899-12-30T08:09:26"/>
    <d v="1899-12-30T08:09:34"/>
    <n v="55678"/>
    <n v="0"/>
    <n v="49"/>
    <n v="-49"/>
    <n v="0"/>
    <n v="0"/>
    <n v="0"/>
    <n v="0"/>
    <n v="1"/>
    <x v="1"/>
    <n v="0"/>
    <n v="0"/>
    <n v="0"/>
    <n v="0"/>
    <n v="956.45"/>
    <n v="0"/>
    <n v="956.45"/>
    <m/>
    <m/>
  </r>
  <r>
    <n v="112"/>
    <x v="5"/>
    <s v="HINJEWADI"/>
    <s v="SLK1"/>
    <x v="0"/>
    <x v="29"/>
    <s v="ACE"/>
    <s v="CNG"/>
    <n v="4"/>
    <n v="8"/>
    <x v="0"/>
    <n v="1000"/>
    <n v="55"/>
    <n v="31"/>
    <s v="PUN01 NC Cluster 5"/>
    <m/>
    <d v="1899-12-30T02:31:00"/>
    <d v="1899-12-30T04:18:59"/>
    <n v="109651"/>
    <d v="1899-12-30T07:08:10"/>
    <d v="1899-12-30T07:08:19"/>
    <n v="109662"/>
    <n v="33"/>
    <n v="33"/>
    <n v="0"/>
    <n v="11"/>
    <n v="11"/>
    <n v="0"/>
    <n v="0"/>
    <n v="0"/>
    <x v="0"/>
    <n v="0"/>
    <n v="0"/>
    <n v="0"/>
    <n v="0"/>
    <n v="806.45"/>
    <n v="0"/>
    <n v="806.45"/>
    <m/>
    <m/>
  </r>
  <r>
    <n v="113"/>
    <x v="5"/>
    <s v="HINJEWADI"/>
    <s v="SLK1"/>
    <x v="0"/>
    <x v="2"/>
    <s v="ACE"/>
    <s v="CNG"/>
    <n v="6"/>
    <n v="8"/>
    <x v="1"/>
    <n v="2000"/>
    <n v="55"/>
    <n v="31"/>
    <s v="PUN01 NC Cluster 230"/>
    <m/>
    <d v="1899-12-30T01:06:00"/>
    <d v="1899-12-30T04:28:33"/>
    <n v="98857"/>
    <d v="1899-12-30T08:27:35"/>
    <d v="1899-12-30T08:28:07"/>
    <n v="98911"/>
    <n v="61"/>
    <n v="61"/>
    <n v="0"/>
    <n v="54"/>
    <n v="54"/>
    <n v="0"/>
    <n v="0"/>
    <n v="0"/>
    <x v="0"/>
    <n v="0"/>
    <n v="0"/>
    <n v="0"/>
    <n v="0"/>
    <n v="1064.52"/>
    <n v="0"/>
    <n v="1064.52"/>
    <m/>
    <m/>
  </r>
  <r>
    <n v="114"/>
    <x v="5"/>
    <s v="HINJEWADI"/>
    <s v="SLK1"/>
    <x v="0"/>
    <x v="28"/>
    <s v="ACE"/>
    <s v="CNG"/>
    <n v="4"/>
    <n v="8"/>
    <x v="0"/>
    <n v="1000"/>
    <n v="55"/>
    <n v="31"/>
    <s v="PUN01 NC Cluster 16"/>
    <m/>
    <d v="1899-12-30T01:15:00"/>
    <d v="1899-12-30T03:59:11"/>
    <n v="14057"/>
    <d v="1899-12-30T07:55:40"/>
    <d v="1899-12-30T07:55:46"/>
    <n v="14097"/>
    <n v="29"/>
    <n v="29"/>
    <n v="0"/>
    <n v="40"/>
    <n v="40"/>
    <n v="0"/>
    <n v="0"/>
    <n v="0"/>
    <x v="0"/>
    <n v="0"/>
    <n v="0"/>
    <n v="0"/>
    <n v="0"/>
    <n v="806.45"/>
    <n v="0"/>
    <n v="806.45"/>
    <m/>
    <m/>
  </r>
  <r>
    <n v="115"/>
    <x v="5"/>
    <s v="HINJEWADI"/>
    <s v="SLK1"/>
    <x v="0"/>
    <x v="5"/>
    <s v="ACE"/>
    <s v="CNG"/>
    <n v="4"/>
    <n v="8"/>
    <x v="0"/>
    <n v="1000"/>
    <n v="55"/>
    <n v="31"/>
    <s v="PUN01 NC Cluster 87"/>
    <m/>
    <d v="1899-12-30T02:29:00"/>
    <d v="1899-12-30T04:26:21"/>
    <n v="145147"/>
    <d v="1899-12-30T07:36:03"/>
    <d v="1899-12-30T07:36:14"/>
    <n v="145164"/>
    <n v="33"/>
    <n v="33"/>
    <n v="0"/>
    <n v="17"/>
    <n v="17"/>
    <n v="0"/>
    <n v="0"/>
    <n v="0"/>
    <x v="0"/>
    <n v="0"/>
    <n v="0"/>
    <n v="0"/>
    <n v="0"/>
    <n v="806.45"/>
    <n v="0"/>
    <n v="806.45"/>
    <m/>
    <m/>
  </r>
  <r>
    <n v="116"/>
    <x v="5"/>
    <s v="HINJEWADI"/>
    <s v="SLK1"/>
    <x v="0"/>
    <x v="6"/>
    <s v="ACE"/>
    <s v="CNG"/>
    <n v="4"/>
    <n v="8"/>
    <x v="0"/>
    <n v="1000"/>
    <n v="55"/>
    <n v="31"/>
    <s v="PUN01 NC Cluster 10"/>
    <m/>
    <d v="1899-12-30T01:07:00"/>
    <d v="1899-12-30T04:21:45"/>
    <n v="142125"/>
    <d v="1899-12-30T08:06:48"/>
    <d v="1899-12-30T08:06:55"/>
    <n v="142166"/>
    <n v="48"/>
    <n v="48"/>
    <n v="0"/>
    <n v="41"/>
    <n v="41"/>
    <n v="0"/>
    <n v="0"/>
    <n v="1"/>
    <x v="1"/>
    <n v="0"/>
    <n v="0"/>
    <n v="0"/>
    <n v="0"/>
    <n v="956.45"/>
    <n v="0"/>
    <n v="956.45"/>
    <m/>
    <m/>
  </r>
  <r>
    <n v="117"/>
    <x v="5"/>
    <s v="HINJEWADI"/>
    <s v="SLK1"/>
    <x v="0"/>
    <x v="7"/>
    <s v="ACE"/>
    <s v="CNG"/>
    <n v="4"/>
    <n v="8"/>
    <x v="0"/>
    <n v="1000"/>
    <n v="55"/>
    <n v="31"/>
    <s v="PUN01 NC Cluster 92"/>
    <m/>
    <d v="1899-12-30T03:02:00"/>
    <d v="1899-12-30T04:36:21"/>
    <n v="158399"/>
    <d v="1899-12-30T07:49:18"/>
    <d v="1899-12-30T07:49:45"/>
    <n v="158421"/>
    <n v="0"/>
    <n v="0"/>
    <n v="0"/>
    <n v="22"/>
    <n v="22"/>
    <n v="0"/>
    <n v="0"/>
    <n v="0"/>
    <x v="0"/>
    <n v="0"/>
    <n v="0"/>
    <n v="0"/>
    <n v="0"/>
    <n v="806.45"/>
    <n v="0"/>
    <n v="806.45"/>
    <m/>
    <m/>
  </r>
  <r>
    <n v="118"/>
    <x v="5"/>
    <s v="HINJEWADI"/>
    <s v="SLK1"/>
    <x v="0"/>
    <x v="8"/>
    <s v="ACE"/>
    <s v="CNG"/>
    <n v="4"/>
    <n v="8"/>
    <x v="0"/>
    <n v="1000"/>
    <n v="55"/>
    <n v="31"/>
    <s v="PUN01 NC Cluster 41"/>
    <m/>
    <d v="1899-12-30T01:12:00"/>
    <d v="1899-12-30T03:58:08"/>
    <n v="112450"/>
    <d v="1899-12-30T08:09:07"/>
    <d v="1899-12-30T08:09:47"/>
    <n v="112467"/>
    <n v="48"/>
    <n v="48"/>
    <n v="0"/>
    <n v="17"/>
    <n v="17"/>
    <n v="0"/>
    <n v="0"/>
    <n v="1"/>
    <x v="1"/>
    <n v="0"/>
    <n v="0"/>
    <n v="0"/>
    <n v="0"/>
    <n v="956.45"/>
    <n v="0"/>
    <n v="956.45"/>
    <m/>
    <m/>
  </r>
  <r>
    <n v="119"/>
    <x v="5"/>
    <s v="HINJEWADI"/>
    <s v="SLK1"/>
    <x v="0"/>
    <x v="23"/>
    <s v="ACE"/>
    <s v="CNG"/>
    <n v="4"/>
    <n v="8"/>
    <x v="0"/>
    <n v="1000"/>
    <n v="55"/>
    <n v="31"/>
    <s v="PUN01 NC Cluster 190"/>
    <m/>
    <d v="1899-12-30T03:50:00"/>
    <d v="1899-12-30T04:37:28"/>
    <n v="77142"/>
    <d v="1899-12-30T08:25:23"/>
    <d v="1899-12-30T08:25:39"/>
    <n v="77169"/>
    <n v="0"/>
    <n v="0"/>
    <n v="0"/>
    <n v="27"/>
    <n v="27"/>
    <n v="0"/>
    <n v="0"/>
    <n v="1"/>
    <x v="1"/>
    <n v="0"/>
    <n v="0"/>
    <n v="0"/>
    <n v="0"/>
    <n v="956.45"/>
    <n v="0"/>
    <n v="956.45"/>
    <m/>
    <m/>
  </r>
  <r>
    <n v="120"/>
    <x v="5"/>
    <s v="HINJEWADI"/>
    <s v="SLK1"/>
    <x v="0"/>
    <x v="9"/>
    <s v="ACE"/>
    <s v="CNG"/>
    <n v="6"/>
    <n v="8"/>
    <x v="1"/>
    <n v="2000"/>
    <n v="55"/>
    <n v="31"/>
    <s v="PUN01 NC Cluster 299"/>
    <m/>
    <d v="1899-12-30T02:16:00"/>
    <d v="1899-12-30T04:28:14"/>
    <n v="47242"/>
    <d v="1899-12-30T08:10:14"/>
    <d v="1899-12-30T08:10:23"/>
    <n v="47336"/>
    <n v="21"/>
    <n v="21"/>
    <n v="0"/>
    <n v="94"/>
    <n v="94"/>
    <n v="0"/>
    <n v="0"/>
    <n v="0"/>
    <x v="0"/>
    <n v="0"/>
    <n v="0"/>
    <n v="0"/>
    <n v="0"/>
    <n v="1064.52"/>
    <n v="0"/>
    <n v="1064.52"/>
    <m/>
    <m/>
  </r>
  <r>
    <n v="121"/>
    <x v="5"/>
    <s v="HINJEWADI"/>
    <s v="SLK1"/>
    <x v="0"/>
    <x v="24"/>
    <s v="ACE"/>
    <s v="CNG"/>
    <n v="4"/>
    <n v="8"/>
    <x v="0"/>
    <n v="1000"/>
    <n v="55"/>
    <n v="31"/>
    <s v="PUN01 NC Cluster 61"/>
    <m/>
    <d v="1899-12-30T01:15:00"/>
    <d v="1899-12-30T04:27:11"/>
    <n v="86571"/>
    <d v="1899-12-30T08:05:44"/>
    <d v="1899-12-30T08:05:59"/>
    <n v="86598"/>
    <n v="35"/>
    <n v="35"/>
    <n v="0"/>
    <n v="27"/>
    <n v="27"/>
    <n v="0"/>
    <n v="0"/>
    <n v="1"/>
    <x v="1"/>
    <n v="0"/>
    <n v="0"/>
    <n v="0"/>
    <n v="0"/>
    <n v="956.45"/>
    <n v="0"/>
    <n v="956.45"/>
    <m/>
    <m/>
  </r>
  <r>
    <n v="122"/>
    <x v="5"/>
    <s v="HINJEWADI"/>
    <s v="SLK1"/>
    <x v="0"/>
    <x v="10"/>
    <s v="ACE"/>
    <s v="CNG"/>
    <n v="4"/>
    <n v="8"/>
    <x v="0"/>
    <n v="1000"/>
    <n v="55"/>
    <n v="31"/>
    <s v="PUN01 NC Cluster 121"/>
    <m/>
    <d v="1899-12-30T02:39:00"/>
    <d v="1899-12-30T04:34:44"/>
    <n v="74157"/>
    <d v="1899-12-30T08:29:44"/>
    <d v="1899-12-30T08:29:51"/>
    <n v="74203"/>
    <n v="24"/>
    <n v="24"/>
    <n v="0"/>
    <n v="46"/>
    <n v="46"/>
    <n v="0"/>
    <n v="0"/>
    <n v="1"/>
    <x v="1"/>
    <n v="0"/>
    <n v="0"/>
    <n v="0"/>
    <n v="0"/>
    <n v="956.45"/>
    <n v="0"/>
    <n v="956.45"/>
    <m/>
    <m/>
  </r>
  <r>
    <n v="123"/>
    <x v="5"/>
    <s v="HINJEWADI"/>
    <s v="SLK1"/>
    <x v="0"/>
    <x v="12"/>
    <s v="ACE"/>
    <s v="CNG"/>
    <n v="4"/>
    <n v="8"/>
    <x v="0"/>
    <n v="1000"/>
    <n v="55"/>
    <n v="31"/>
    <s v="PUN01 NC Cluster 42"/>
    <m/>
    <d v="1899-12-30T01:12:00"/>
    <d v="1899-12-30T03:57:47"/>
    <n v="82865"/>
    <d v="1899-12-30T07:29:20"/>
    <d v="1899-12-30T07:29:28"/>
    <n v="82880"/>
    <n v="54"/>
    <n v="44"/>
    <n v="10"/>
    <n v="15"/>
    <n v="15"/>
    <n v="0"/>
    <n v="0"/>
    <n v="0"/>
    <x v="0"/>
    <n v="0"/>
    <n v="0"/>
    <n v="0"/>
    <n v="0"/>
    <n v="806.45"/>
    <n v="0"/>
    <n v="806.45"/>
    <m/>
    <m/>
  </r>
  <r>
    <n v="124"/>
    <x v="5"/>
    <s v="HINJEWADI"/>
    <s v="SLK1"/>
    <x v="0"/>
    <x v="14"/>
    <s v="ACE"/>
    <s v="CNG"/>
    <n v="6"/>
    <n v="8"/>
    <x v="1"/>
    <n v="2000"/>
    <n v="55"/>
    <n v="31"/>
    <s v="PUN01 NC Cluster 303"/>
    <m/>
    <d v="1899-12-30T01:14:00"/>
    <d v="1899-12-30T04:28:48"/>
    <n v="32148"/>
    <d v="1899-12-30T08:08:11"/>
    <d v="1899-12-30T08:11:34"/>
    <n v="32218"/>
    <n v="33"/>
    <n v="33"/>
    <n v="0"/>
    <n v="70"/>
    <n v="70"/>
    <n v="0"/>
    <n v="0"/>
    <n v="0"/>
    <x v="0"/>
    <n v="0"/>
    <n v="0"/>
    <n v="0"/>
    <n v="0"/>
    <n v="1064.52"/>
    <n v="0"/>
    <n v="1064.52"/>
    <m/>
    <m/>
  </r>
  <r>
    <n v="125"/>
    <x v="5"/>
    <s v="HINJEWADI"/>
    <s v="SLK1"/>
    <x v="0"/>
    <x v="15"/>
    <s v="ACE"/>
    <s v="CNG"/>
    <n v="4"/>
    <n v="8"/>
    <x v="0"/>
    <n v="1000"/>
    <n v="55"/>
    <n v="31"/>
    <s v="PUN01 NC Cluster 37"/>
    <m/>
    <d v="1899-12-30T01:13:00"/>
    <d v="1899-12-30T03:58:25"/>
    <n v="37464"/>
    <d v="1899-12-30T07:32:36"/>
    <d v="1899-12-30T07:32:45"/>
    <n v="37481"/>
    <n v="72"/>
    <n v="72"/>
    <n v="0"/>
    <n v="17"/>
    <n v="17"/>
    <n v="0"/>
    <n v="0"/>
    <n v="0"/>
    <x v="0"/>
    <n v="0"/>
    <n v="0"/>
    <n v="0"/>
    <n v="0"/>
    <n v="806.45"/>
    <n v="0"/>
    <n v="806.45"/>
    <m/>
    <m/>
  </r>
  <r>
    <n v="126"/>
    <x v="5"/>
    <s v="HINJEWADI"/>
    <s v="SLK1"/>
    <x v="0"/>
    <x v="17"/>
    <s v="ACE"/>
    <s v="CNG"/>
    <n v="4"/>
    <n v="8"/>
    <x v="0"/>
    <n v="1000"/>
    <n v="55"/>
    <n v="31"/>
    <s v="PUN01 NC Cluster 201"/>
    <m/>
    <d v="1899-12-30T01:38:00"/>
    <d v="1899-12-30T03:56:56"/>
    <n v="6663"/>
    <d v="1899-12-30T08:30:30"/>
    <d v="1899-12-30T08:30:35"/>
    <n v="6688"/>
    <n v="40"/>
    <n v="40"/>
    <n v="0"/>
    <n v="25"/>
    <n v="25"/>
    <n v="0"/>
    <n v="0"/>
    <n v="1"/>
    <x v="1"/>
    <n v="0"/>
    <n v="0"/>
    <n v="0"/>
    <n v="0"/>
    <n v="956.45"/>
    <n v="0"/>
    <n v="956.45"/>
    <m/>
    <m/>
  </r>
  <r>
    <n v="127"/>
    <x v="5"/>
    <s v="HINJEWADI"/>
    <s v="SLK1"/>
    <x v="0"/>
    <x v="18"/>
    <s v="ACE"/>
    <s v="CNG"/>
    <n v="4"/>
    <n v="8"/>
    <x v="0"/>
    <n v="1000"/>
    <n v="55"/>
    <n v="31"/>
    <s v="PUN01 NC Cluster 1"/>
    <m/>
    <d v="1899-12-30T01:44:00"/>
    <d v="1899-12-30T07:16:17"/>
    <n v="3705"/>
    <d v="1899-12-30T07:16:30"/>
    <d v="1899-12-30T07:16:36"/>
    <n v="3705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128"/>
    <x v="5"/>
    <s v="HINJEWADI"/>
    <s v="SLK1"/>
    <x v="0"/>
    <x v="26"/>
    <s v="ACE"/>
    <s v="CNG"/>
    <n v="4"/>
    <n v="8"/>
    <x v="0"/>
    <n v="1000"/>
    <n v="55"/>
    <n v="31"/>
    <s v="PUN01 NC Cluster 136"/>
    <m/>
    <d v="1899-12-30T01:49:00"/>
    <d v="1899-12-30T04:16:16"/>
    <n v="40846"/>
    <d v="1899-12-30T07:26:39"/>
    <d v="1899-12-30T07:26:48"/>
    <n v="40876"/>
    <n v="57"/>
    <n v="57"/>
    <n v="0"/>
    <n v="30"/>
    <n v="30"/>
    <n v="0"/>
    <n v="0"/>
    <n v="0"/>
    <x v="0"/>
    <n v="0"/>
    <n v="0"/>
    <n v="0"/>
    <n v="0"/>
    <n v="806.45"/>
    <n v="0"/>
    <n v="806.45"/>
    <m/>
    <m/>
  </r>
  <r>
    <n v="129"/>
    <x v="5"/>
    <s v="HINJEWADI"/>
    <s v="SLK1"/>
    <x v="0"/>
    <x v="20"/>
    <s v="BOLERO"/>
    <s v="DIESEL"/>
    <n v="4"/>
    <n v="10"/>
    <x v="2"/>
    <n v="1000"/>
    <n v="55"/>
    <n v="31"/>
    <s v="PUN01 NC Cluster 36"/>
    <m/>
    <d v="1899-12-30T01:14:00"/>
    <d v="1899-12-30T04:04:08"/>
    <n v="38053"/>
    <d v="1899-12-30T07:13:58"/>
    <d v="1899-12-30T07:14:05"/>
    <n v="38073"/>
    <n v="68"/>
    <n v="68"/>
    <n v="0"/>
    <n v="20"/>
    <n v="20"/>
    <n v="0"/>
    <n v="0"/>
    <n v="0"/>
    <x v="0"/>
    <n v="0"/>
    <n v="0"/>
    <n v="0"/>
    <n v="0"/>
    <n v="935.48"/>
    <n v="0"/>
    <n v="935.48"/>
    <m/>
    <m/>
  </r>
  <r>
    <n v="130"/>
    <x v="5"/>
    <s v="HINJEWADI"/>
    <s v="SLK1"/>
    <x v="0"/>
    <x v="21"/>
    <s v="BOLERO"/>
    <s v="DIESEL"/>
    <n v="4"/>
    <n v="10"/>
    <x v="2"/>
    <n v="1000"/>
    <n v="55"/>
    <n v="31"/>
    <s v="PUN01 NC Cluster 101"/>
    <m/>
    <d v="1899-12-30T02:40:00"/>
    <d v="1899-12-30T04:19:24"/>
    <n v="2729"/>
    <d v="1899-12-30T07:12:09"/>
    <d v="1899-12-30T07:12:17"/>
    <n v="2752"/>
    <n v="81"/>
    <n v="81"/>
    <n v="0"/>
    <n v="23"/>
    <n v="23"/>
    <n v="0"/>
    <n v="0"/>
    <n v="0"/>
    <x v="0"/>
    <n v="0"/>
    <n v="0"/>
    <n v="0"/>
    <n v="0"/>
    <n v="935.48"/>
    <n v="0"/>
    <n v="935.48"/>
    <m/>
    <m/>
  </r>
  <r>
    <n v="131"/>
    <x v="5"/>
    <s v="HINJEWADI"/>
    <s v="SLK1"/>
    <x v="0"/>
    <x v="22"/>
    <s v="BOLERO"/>
    <s v="DIESEL"/>
    <n v="4"/>
    <n v="10"/>
    <x v="2"/>
    <n v="1000"/>
    <n v="55"/>
    <n v="31"/>
    <s v="PUN01 NC Cluster 7"/>
    <m/>
    <d v="1899-12-30T01:07:00"/>
    <d v="1899-12-30T04:14:01"/>
    <n v="138753"/>
    <d v="1899-12-30T07:20:08"/>
    <d v="1899-12-30T07:20:20"/>
    <n v="138765"/>
    <n v="62"/>
    <n v="62"/>
    <n v="0"/>
    <n v="12"/>
    <n v="12"/>
    <n v="0"/>
    <n v="0"/>
    <n v="0"/>
    <x v="0"/>
    <n v="0"/>
    <n v="0"/>
    <n v="0"/>
    <n v="0"/>
    <n v="935.48"/>
    <n v="0"/>
    <n v="935.48"/>
    <m/>
    <m/>
  </r>
  <r>
    <n v="132"/>
    <x v="6"/>
    <s v="HINJEWADI"/>
    <s v="SLK1"/>
    <x v="0"/>
    <x v="0"/>
    <s v="ACE"/>
    <s v="CNG"/>
    <n v="4"/>
    <n v="8"/>
    <x v="0"/>
    <n v="1000"/>
    <n v="55"/>
    <n v="31"/>
    <s v="PUN01 NC Cluster 1"/>
    <m/>
    <d v="1899-12-30T00:51:00"/>
    <d v="1899-12-30T04:21:53"/>
    <n v="55734"/>
    <d v="1899-12-30T07:38:02"/>
    <d v="1899-12-30T07:38:17"/>
    <n v="55741"/>
    <n v="48"/>
    <n v="48"/>
    <n v="0"/>
    <n v="7"/>
    <n v="7"/>
    <n v="0"/>
    <n v="0"/>
    <n v="0"/>
    <x v="0"/>
    <n v="0"/>
    <n v="0"/>
    <n v="0"/>
    <n v="0"/>
    <n v="806.45"/>
    <n v="0"/>
    <n v="806.45"/>
    <m/>
    <m/>
  </r>
  <r>
    <n v="133"/>
    <x v="6"/>
    <s v="HINJEWADI"/>
    <s v="SLK1"/>
    <x v="0"/>
    <x v="1"/>
    <s v="ACE"/>
    <s v="CNG"/>
    <n v="4"/>
    <n v="8"/>
    <x v="0"/>
    <n v="1000"/>
    <n v="55"/>
    <n v="31"/>
    <s v="PUN01 NC Cluster 103"/>
    <m/>
    <d v="1899-12-30T03:23:00"/>
    <d v="1899-12-30T03:50:21"/>
    <n v="191071"/>
    <d v="1899-12-30T07:24:16"/>
    <d v="1899-12-30T07:24:24"/>
    <n v="191092"/>
    <n v="24"/>
    <n v="24"/>
    <n v="0"/>
    <n v="21"/>
    <n v="21"/>
    <n v="0"/>
    <n v="0"/>
    <n v="0"/>
    <x v="0"/>
    <n v="0"/>
    <n v="0"/>
    <n v="0"/>
    <n v="0"/>
    <n v="806.45"/>
    <n v="0"/>
    <n v="806.45"/>
    <m/>
    <m/>
  </r>
  <r>
    <n v="134"/>
    <x v="6"/>
    <s v="HINJEWADI"/>
    <s v="SLK1"/>
    <x v="0"/>
    <x v="29"/>
    <s v="ACE"/>
    <s v="CNG"/>
    <n v="4"/>
    <n v="8"/>
    <x v="0"/>
    <n v="1000"/>
    <n v="55"/>
    <n v="31"/>
    <s v="PUN01 NC Cluster 26"/>
    <m/>
    <d v="1899-12-30T01:11:00"/>
    <d v="1899-12-30T04:10:36"/>
    <n v="109732"/>
    <d v="1899-12-30T07:36:26"/>
    <d v="1899-12-30T07:36:32"/>
    <n v="109763"/>
    <n v="22"/>
    <n v="22"/>
    <n v="0"/>
    <n v="31"/>
    <n v="31"/>
    <n v="0"/>
    <n v="0"/>
    <n v="0"/>
    <x v="0"/>
    <n v="0"/>
    <n v="0"/>
    <n v="0"/>
    <n v="0"/>
    <n v="806.45"/>
    <n v="0"/>
    <n v="806.45"/>
    <m/>
    <m/>
  </r>
  <r>
    <n v="135"/>
    <x v="6"/>
    <s v="HINJEWADI"/>
    <s v="SLK1"/>
    <x v="0"/>
    <x v="2"/>
    <s v="ACE"/>
    <s v="CNG"/>
    <n v="6"/>
    <n v="8"/>
    <x v="1"/>
    <n v="2000"/>
    <n v="55"/>
    <n v="31"/>
    <s v="PUN01 NC Cluster 6"/>
    <m/>
    <d v="1899-12-30T01:06:00"/>
    <d v="1899-12-30T07:07:03"/>
    <n v="98992"/>
    <d v="1899-12-30T07:09:53"/>
    <d v="1899-12-30T07:09:59"/>
    <n v="98992"/>
    <n v="0"/>
    <n v="0"/>
    <n v="0"/>
    <n v="0"/>
    <n v="0"/>
    <n v="0"/>
    <n v="0"/>
    <n v="0"/>
    <x v="0"/>
    <n v="0"/>
    <n v="0"/>
    <n v="0"/>
    <n v="0"/>
    <n v="1064.52"/>
    <n v="0"/>
    <n v="1064.52"/>
    <m/>
    <m/>
  </r>
  <r>
    <n v="136"/>
    <x v="6"/>
    <s v="HINJEWADI"/>
    <s v="SLK1"/>
    <x v="0"/>
    <x v="3"/>
    <s v="ACE"/>
    <s v="CNG"/>
    <n v="4"/>
    <n v="8"/>
    <x v="0"/>
    <n v="1000"/>
    <n v="55"/>
    <n v="31"/>
    <s v="PUN01 NC Cluster 20"/>
    <m/>
    <d v="1899-12-30T02:47:00"/>
    <d v="1899-12-30T04:20:58"/>
    <n v="83459"/>
    <d v="1899-12-30T07:08:32"/>
    <d v="1899-12-30T07:08:41"/>
    <n v="83486"/>
    <n v="38"/>
    <n v="38"/>
    <n v="0"/>
    <n v="27"/>
    <n v="27"/>
    <n v="0"/>
    <n v="0"/>
    <n v="0"/>
    <x v="0"/>
    <n v="0"/>
    <n v="0"/>
    <n v="0"/>
    <n v="0"/>
    <n v="806.45"/>
    <n v="0"/>
    <n v="806.45"/>
    <m/>
    <m/>
  </r>
  <r>
    <n v="137"/>
    <x v="6"/>
    <s v="HINJEWADI"/>
    <s v="SLK1"/>
    <x v="0"/>
    <x v="4"/>
    <s v="ACE"/>
    <s v="CNG"/>
    <n v="4"/>
    <n v="8"/>
    <x v="0"/>
    <n v="1000"/>
    <n v="55"/>
    <n v="31"/>
    <s v="PUN01 NC Cluster 61"/>
    <m/>
    <d v="1899-12-30T00:49:00"/>
    <d v="1899-12-30T03:55:49"/>
    <n v="11332"/>
    <d v="1899-12-30T08:35:03"/>
    <d v="1899-12-30T08:35:19"/>
    <n v="11343"/>
    <n v="10"/>
    <n v="10"/>
    <n v="0"/>
    <n v="11"/>
    <n v="11"/>
    <n v="0"/>
    <n v="0"/>
    <n v="1"/>
    <x v="1"/>
    <n v="0"/>
    <n v="0"/>
    <n v="0"/>
    <n v="0"/>
    <n v="956.45"/>
    <n v="0"/>
    <n v="956.45"/>
    <m/>
    <m/>
  </r>
  <r>
    <n v="138"/>
    <x v="6"/>
    <s v="HINJEWADI"/>
    <s v="SLK1"/>
    <x v="0"/>
    <x v="5"/>
    <s v="ACE"/>
    <s v="CNG"/>
    <n v="4"/>
    <n v="8"/>
    <x v="0"/>
    <n v="1000"/>
    <n v="55"/>
    <n v="31"/>
    <s v="PUN01 NC Cluster 87"/>
    <m/>
    <d v="1899-12-30T00:50:00"/>
    <d v="1899-12-30T04:16:47"/>
    <n v="145169"/>
    <d v="1899-12-30T07:04:25"/>
    <d v="1899-12-30T07:04:35"/>
    <n v="145186"/>
    <n v="34"/>
    <n v="34"/>
    <n v="0"/>
    <n v="17"/>
    <n v="17"/>
    <n v="0"/>
    <n v="0"/>
    <n v="0"/>
    <x v="0"/>
    <n v="0"/>
    <n v="0"/>
    <n v="0"/>
    <n v="0"/>
    <n v="806.45"/>
    <n v="0"/>
    <n v="806.45"/>
    <m/>
    <m/>
  </r>
  <r>
    <n v="139"/>
    <x v="6"/>
    <s v="HINJEWADI"/>
    <s v="SLK1"/>
    <x v="0"/>
    <x v="6"/>
    <s v="ACE"/>
    <s v="CNG"/>
    <n v="4"/>
    <n v="8"/>
    <x v="0"/>
    <n v="1000"/>
    <n v="55"/>
    <n v="31"/>
    <s v="PUN01 NC Cluster 10A"/>
    <m/>
    <d v="1899-12-30T01:06:00"/>
    <d v="1899-12-30T04:12:34"/>
    <n v="142343"/>
    <d v="1899-12-30T08:18:12"/>
    <d v="1899-12-30T08:18:19"/>
    <n v="142369"/>
    <n v="48"/>
    <n v="48"/>
    <n v="0"/>
    <n v="26"/>
    <n v="26"/>
    <n v="0"/>
    <n v="0"/>
    <n v="1"/>
    <x v="1"/>
    <n v="0"/>
    <n v="0"/>
    <n v="0"/>
    <n v="0"/>
    <n v="956.45"/>
    <n v="0"/>
    <n v="956.45"/>
    <m/>
    <m/>
  </r>
  <r>
    <n v="140"/>
    <x v="6"/>
    <s v="HINJEWADI"/>
    <s v="SLK1"/>
    <x v="0"/>
    <x v="7"/>
    <s v="ACE"/>
    <s v="CNG"/>
    <n v="4"/>
    <n v="8"/>
    <x v="0"/>
    <n v="1000"/>
    <n v="55"/>
    <n v="31"/>
    <s v="PUN01 NC Cluster 113"/>
    <m/>
    <d v="1899-12-30T03:05:00"/>
    <d v="1899-12-30T03:59:12"/>
    <n v="158462"/>
    <d v="1899-12-30T07:06:38"/>
    <d v="1899-12-30T07:06:46"/>
    <n v="158491"/>
    <n v="47"/>
    <n v="47"/>
    <n v="0"/>
    <n v="29"/>
    <n v="29"/>
    <n v="0"/>
    <n v="0"/>
    <n v="0"/>
    <x v="0"/>
    <n v="0"/>
    <n v="0"/>
    <n v="0"/>
    <n v="0"/>
    <n v="806.45"/>
    <n v="0"/>
    <n v="806.45"/>
    <m/>
    <m/>
  </r>
  <r>
    <n v="141"/>
    <x v="6"/>
    <s v="HINJEWADI"/>
    <s v="SLK1"/>
    <x v="0"/>
    <x v="8"/>
    <s v="ACE"/>
    <s v="CNG"/>
    <n v="4"/>
    <n v="8"/>
    <x v="0"/>
    <n v="1000"/>
    <n v="55"/>
    <n v="31"/>
    <s v="PUN01 NC Cluster 40"/>
    <m/>
    <d v="1899-12-30T02:15:00"/>
    <d v="1899-12-30T03:55:02"/>
    <n v="112525"/>
    <d v="1899-12-30T07:29:11"/>
    <d v="1899-12-30T07:29:24"/>
    <n v="112546"/>
    <n v="58"/>
    <n v="58"/>
    <n v="0"/>
    <n v="21"/>
    <n v="21"/>
    <n v="0"/>
    <n v="0"/>
    <n v="0"/>
    <x v="0"/>
    <n v="0"/>
    <n v="0"/>
    <n v="0"/>
    <n v="0"/>
    <n v="806.45"/>
    <n v="0"/>
    <n v="806.45"/>
    <m/>
    <m/>
  </r>
  <r>
    <n v="142"/>
    <x v="6"/>
    <s v="HINJEWADI"/>
    <s v="SLK1"/>
    <x v="0"/>
    <x v="23"/>
    <s v="ACE"/>
    <s v="CNG"/>
    <n v="4"/>
    <n v="8"/>
    <x v="0"/>
    <n v="1000"/>
    <n v="55"/>
    <n v="31"/>
    <s v="PUN01 NC Cluster 15"/>
    <m/>
    <d v="1899-12-30T03:25:00"/>
    <d v="1899-12-30T04:02:01"/>
    <n v="77268"/>
    <d v="1899-12-30T08:01:32"/>
    <d v="1899-12-30T08:01:38"/>
    <n v="77286"/>
    <n v="56"/>
    <n v="56"/>
    <n v="0"/>
    <n v="18"/>
    <n v="18"/>
    <n v="0"/>
    <n v="0"/>
    <n v="1"/>
    <x v="1"/>
    <n v="0"/>
    <n v="0"/>
    <n v="0"/>
    <n v="0"/>
    <n v="956.45"/>
    <n v="0"/>
    <n v="956.45"/>
    <m/>
    <m/>
  </r>
  <r>
    <n v="143"/>
    <x v="6"/>
    <s v="HINJEWADI"/>
    <s v="SLK1"/>
    <x v="0"/>
    <x v="24"/>
    <s v="ACE"/>
    <s v="CNG"/>
    <n v="4"/>
    <n v="8"/>
    <x v="0"/>
    <n v="1000"/>
    <n v="55"/>
    <n v="31"/>
    <s v="PUN01 NC Cluster 199"/>
    <m/>
    <d v="1899-12-30T01:12:00"/>
    <d v="1899-12-30T03:52:56"/>
    <n v="86666"/>
    <d v="1899-12-30T08:17:00"/>
    <d v="1899-12-30T08:17:11"/>
    <n v="86696"/>
    <n v="17"/>
    <n v="17"/>
    <n v="0"/>
    <n v="30"/>
    <n v="30"/>
    <n v="0"/>
    <n v="0"/>
    <n v="1"/>
    <x v="1"/>
    <n v="0"/>
    <n v="0"/>
    <n v="0"/>
    <n v="0"/>
    <n v="956.45"/>
    <n v="0"/>
    <n v="956.45"/>
    <m/>
    <m/>
  </r>
  <r>
    <n v="144"/>
    <x v="6"/>
    <s v="HINJEWADI"/>
    <s v="SLK1"/>
    <x v="0"/>
    <x v="25"/>
    <s v="ACE"/>
    <s v="CNG"/>
    <n v="4"/>
    <n v="8"/>
    <x v="0"/>
    <n v="1000"/>
    <n v="55"/>
    <n v="31"/>
    <s v="PUN01 Cluster 155"/>
    <m/>
    <d v="1899-12-30T03:24:00"/>
    <d v="1899-12-30T04:13:08"/>
    <n v="117476"/>
    <d v="1899-12-30T11:15:05"/>
    <d v="1899-12-30T11:15:14"/>
    <n v="117524"/>
    <n v="30"/>
    <n v="0"/>
    <n v="30"/>
    <n v="48"/>
    <n v="48"/>
    <n v="0"/>
    <n v="0"/>
    <n v="4"/>
    <x v="4"/>
    <n v="0"/>
    <n v="0"/>
    <n v="0"/>
    <n v="0"/>
    <n v="1406.45"/>
    <n v="0"/>
    <n v="1406.45"/>
    <m/>
    <m/>
  </r>
  <r>
    <n v="145"/>
    <x v="6"/>
    <s v="HINJEWADI"/>
    <s v="SLK1"/>
    <x v="0"/>
    <x v="12"/>
    <s v="ACE"/>
    <s v="CNG"/>
    <n v="4"/>
    <n v="8"/>
    <x v="0"/>
    <n v="1000"/>
    <n v="55"/>
    <n v="31"/>
    <s v="PUN01 NC Cluster 41"/>
    <m/>
    <d v="1899-12-30T01:13:00"/>
    <d v="1899-12-30T03:53:48"/>
    <n v="82972"/>
    <d v="1899-12-30T09:18:49"/>
    <d v="1899-12-30T09:18:58"/>
    <n v="82991"/>
    <n v="34"/>
    <n v="47"/>
    <n v="-13"/>
    <n v="19"/>
    <n v="19"/>
    <n v="0"/>
    <n v="0"/>
    <n v="2"/>
    <x v="2"/>
    <n v="0"/>
    <n v="0"/>
    <n v="0"/>
    <n v="0"/>
    <n v="1106.45"/>
    <n v="0"/>
    <n v="1106.45"/>
    <m/>
    <m/>
  </r>
  <r>
    <n v="146"/>
    <x v="6"/>
    <s v="HINJEWADI"/>
    <s v="SLK1"/>
    <x v="0"/>
    <x v="13"/>
    <s v="ACE"/>
    <s v="CNG"/>
    <n v="4"/>
    <n v="8"/>
    <x v="0"/>
    <n v="1000"/>
    <n v="55"/>
    <n v="31"/>
    <s v="PUN01 NC Cluster 7"/>
    <m/>
    <d v="1899-12-30T02:12:00"/>
    <d v="1899-12-30T04:11:55"/>
    <n v="36267"/>
    <d v="1899-12-30T06:56:02"/>
    <d v="1899-12-30T06:56:09"/>
    <n v="36279"/>
    <n v="70"/>
    <n v="70"/>
    <n v="0"/>
    <n v="12"/>
    <n v="12"/>
    <n v="0"/>
    <n v="0"/>
    <n v="0"/>
    <x v="0"/>
    <n v="0"/>
    <n v="0"/>
    <n v="0"/>
    <n v="0"/>
    <n v="806.45"/>
    <n v="0"/>
    <n v="806.45"/>
    <m/>
    <m/>
  </r>
  <r>
    <n v="147"/>
    <x v="6"/>
    <s v="HINJEWADI"/>
    <s v="SLK1"/>
    <x v="0"/>
    <x v="14"/>
    <s v="ACE"/>
    <s v="CNG"/>
    <n v="6"/>
    <n v="8"/>
    <x v="1"/>
    <n v="2000"/>
    <n v="55"/>
    <n v="31"/>
    <s v="PUN01 NC Cluster 303"/>
    <m/>
    <d v="1899-12-30T02:00:00"/>
    <d v="1899-12-30T04:19:49"/>
    <n v="32304"/>
    <d v="1899-12-30T07:10:11"/>
    <d v="1899-12-30T07:10:23"/>
    <n v="32376"/>
    <n v="35"/>
    <n v="35"/>
    <n v="0"/>
    <n v="72"/>
    <n v="72"/>
    <n v="0"/>
    <n v="0"/>
    <n v="0"/>
    <x v="0"/>
    <n v="0"/>
    <n v="0"/>
    <n v="0"/>
    <n v="0"/>
    <n v="1064.52"/>
    <n v="0"/>
    <n v="1064.52"/>
    <m/>
    <m/>
  </r>
  <r>
    <n v="148"/>
    <x v="6"/>
    <s v="HINJEWADI"/>
    <s v="SLK1"/>
    <x v="0"/>
    <x v="15"/>
    <s v="ACE"/>
    <s v="CNG"/>
    <n v="4"/>
    <n v="8"/>
    <x v="0"/>
    <n v="1000"/>
    <n v="55"/>
    <n v="31"/>
    <s v="PUN01 NC Cluster 37"/>
    <m/>
    <d v="1899-12-30T02:15:00"/>
    <d v="1899-12-30T03:53:16"/>
    <n v="37553"/>
    <d v="1899-12-30T08:00:54"/>
    <d v="1899-12-30T08:01:02"/>
    <n v="37567"/>
    <n v="62"/>
    <n v="62"/>
    <n v="0"/>
    <n v="14"/>
    <n v="14"/>
    <n v="0"/>
    <n v="0"/>
    <n v="0"/>
    <x v="0"/>
    <n v="0"/>
    <n v="0"/>
    <n v="0"/>
    <n v="0"/>
    <n v="806.45"/>
    <n v="0"/>
    <n v="806.45"/>
    <m/>
    <m/>
  </r>
  <r>
    <n v="149"/>
    <x v="6"/>
    <s v="HINJEWADI"/>
    <s v="SLK1"/>
    <x v="0"/>
    <x v="17"/>
    <s v="ACE"/>
    <s v="CNG"/>
    <n v="4"/>
    <n v="8"/>
    <x v="0"/>
    <n v="1000"/>
    <n v="55"/>
    <n v="31"/>
    <s v="PUN01 NC Cluster 201"/>
    <m/>
    <d v="1899-12-30T00:48:00"/>
    <d v="1899-12-30T03:52:37"/>
    <n v="6721"/>
    <d v="1899-12-30T08:16:03"/>
    <d v="1899-12-30T08:16:08"/>
    <n v="6753"/>
    <n v="35"/>
    <n v="35"/>
    <n v="0"/>
    <n v="32"/>
    <n v="32"/>
    <n v="0"/>
    <n v="0"/>
    <n v="1"/>
    <x v="1"/>
    <n v="0"/>
    <n v="0"/>
    <n v="0"/>
    <n v="0"/>
    <n v="956.45"/>
    <n v="0"/>
    <n v="956.45"/>
    <m/>
    <m/>
  </r>
  <r>
    <n v="150"/>
    <x v="6"/>
    <s v="HINJEWADI"/>
    <s v="SLK1"/>
    <x v="0"/>
    <x v="18"/>
    <s v="ACE"/>
    <s v="CNG"/>
    <n v="4"/>
    <n v="8"/>
    <x v="0"/>
    <n v="1000"/>
    <n v="55"/>
    <n v="31"/>
    <s v="PUN01 NC Cluster 36"/>
    <m/>
    <d v="1899-12-30T00:50:00"/>
    <d v="1899-12-30T03:54:43"/>
    <n v="3906"/>
    <d v="1899-12-30T08:01:12"/>
    <d v="1899-12-30T08:01:19"/>
    <n v="3923"/>
    <n v="38"/>
    <n v="38"/>
    <n v="0"/>
    <n v="17"/>
    <n v="17"/>
    <n v="0"/>
    <n v="0"/>
    <n v="1"/>
    <x v="1"/>
    <n v="0"/>
    <n v="0"/>
    <n v="0"/>
    <n v="0"/>
    <n v="956.45"/>
    <n v="0"/>
    <n v="956.45"/>
    <m/>
    <m/>
  </r>
  <r>
    <n v="151"/>
    <x v="6"/>
    <s v="HINJEWADI"/>
    <s v="SLK1"/>
    <x v="0"/>
    <x v="26"/>
    <s v="ACE"/>
    <s v="CNG"/>
    <n v="4"/>
    <n v="8"/>
    <x v="0"/>
    <n v="1000"/>
    <n v="55"/>
    <n v="31"/>
    <s v="PUN01 NC Cluster 124"/>
    <m/>
    <d v="1899-12-30T02:54:00"/>
    <d v="1899-12-30T04:18:01"/>
    <n v="40963"/>
    <d v="1899-12-30T07:04:02"/>
    <d v="1899-12-30T07:04:16"/>
    <n v="40992"/>
    <n v="52"/>
    <n v="52"/>
    <n v="0"/>
    <n v="29"/>
    <n v="29"/>
    <n v="0"/>
    <n v="0"/>
    <n v="0"/>
    <x v="0"/>
    <n v="0"/>
    <n v="0"/>
    <n v="0"/>
    <n v="0"/>
    <n v="806.45"/>
    <n v="0"/>
    <n v="806.45"/>
    <m/>
    <m/>
  </r>
  <r>
    <n v="152"/>
    <x v="6"/>
    <s v="HINJEWADI"/>
    <s v="SLK1"/>
    <x v="0"/>
    <x v="19"/>
    <s v="BOLERO"/>
    <s v="DIESEL"/>
    <n v="4"/>
    <n v="10"/>
    <x v="2"/>
    <n v="1000"/>
    <n v="55"/>
    <n v="31"/>
    <s v="PUN01 NC Cluster 101"/>
    <m/>
    <d v="1899-12-30T03:07:00"/>
    <d v="1899-12-30T04:22:49"/>
    <n v="32303"/>
    <d v="1899-12-30T08:21:34"/>
    <d v="1899-12-30T08:21:42"/>
    <n v="32320"/>
    <n v="52"/>
    <n v="52"/>
    <n v="0"/>
    <n v="17"/>
    <n v="17"/>
    <n v="0"/>
    <n v="0"/>
    <n v="1"/>
    <x v="1"/>
    <n v="0"/>
    <n v="0"/>
    <n v="0"/>
    <n v="0"/>
    <n v="1085.48"/>
    <n v="0"/>
    <n v="1085.48"/>
    <m/>
    <m/>
  </r>
  <r>
    <n v="153"/>
    <x v="6"/>
    <s v="HINJEWADI"/>
    <s v="SLK1"/>
    <x v="0"/>
    <x v="21"/>
    <s v="BOLERO"/>
    <s v="DIESEL"/>
    <n v="4"/>
    <n v="10"/>
    <x v="2"/>
    <n v="1000"/>
    <n v="55"/>
    <n v="31"/>
    <s v="PUN01 NC Cluster 209"/>
    <m/>
    <d v="1899-12-30T02:34:00"/>
    <d v="1899-12-30T04:19:37"/>
    <n v="2771"/>
    <d v="1899-12-30T08:17:38"/>
    <d v="1899-12-30T08:17:47"/>
    <n v="2808"/>
    <n v="28"/>
    <n v="28"/>
    <n v="0"/>
    <n v="37"/>
    <n v="37"/>
    <n v="0"/>
    <n v="0"/>
    <n v="1"/>
    <x v="1"/>
    <n v="0"/>
    <n v="0"/>
    <n v="0"/>
    <n v="0"/>
    <n v="1085.48"/>
    <n v="0"/>
    <n v="1085.48"/>
    <m/>
    <m/>
  </r>
  <r>
    <n v="154"/>
    <x v="6"/>
    <s v="HINJEWADI"/>
    <s v="SLK1"/>
    <x v="0"/>
    <x v="22"/>
    <s v="BOLERO"/>
    <s v="DIESEL"/>
    <n v="4"/>
    <n v="10"/>
    <x v="2"/>
    <n v="1000"/>
    <n v="55"/>
    <n v="31"/>
    <s v="PUN01 NC Cluster 24"/>
    <m/>
    <d v="1899-12-30T02:05:00"/>
    <d v="1899-12-30T03:50:00"/>
    <n v="138790"/>
    <d v="1899-12-30T07:59:37"/>
    <d v="1899-12-30T07:59:49"/>
    <n v="138818"/>
    <n v="55"/>
    <n v="55"/>
    <n v="0"/>
    <n v="28"/>
    <n v="28"/>
    <n v="0"/>
    <n v="0"/>
    <n v="0"/>
    <x v="0"/>
    <n v="0"/>
    <n v="0"/>
    <n v="0"/>
    <n v="0"/>
    <n v="935.48"/>
    <n v="0"/>
    <n v="935.48"/>
    <m/>
    <m/>
  </r>
  <r>
    <n v="155"/>
    <x v="7"/>
    <s v="HINJEWADI"/>
    <s v="SLK1"/>
    <x v="0"/>
    <x v="0"/>
    <s v="ACE"/>
    <s v="CNG"/>
    <n v="4"/>
    <n v="8"/>
    <x v="0"/>
    <n v="1000"/>
    <n v="55"/>
    <n v="31"/>
    <s v="PUN01 NC Cluster 61"/>
    <m/>
    <d v="1899-12-30T01:17:00"/>
    <d v="1899-12-30T04:36:53"/>
    <n v="55845"/>
    <d v="1899-12-30T08:53:24"/>
    <d v="1899-12-30T08:53:46"/>
    <n v="55875"/>
    <n v="31"/>
    <n v="31"/>
    <n v="0"/>
    <n v="30"/>
    <n v="30"/>
    <n v="0"/>
    <n v="0"/>
    <n v="1"/>
    <x v="1"/>
    <n v="0"/>
    <n v="0"/>
    <n v="0"/>
    <n v="0"/>
    <n v="956.45"/>
    <n v="0"/>
    <n v="956.45"/>
    <m/>
    <m/>
  </r>
  <r>
    <n v="156"/>
    <x v="7"/>
    <s v="HINJEWADI"/>
    <s v="SLK1"/>
    <x v="0"/>
    <x v="1"/>
    <s v="ACE"/>
    <s v="CNG"/>
    <n v="4"/>
    <n v="8"/>
    <x v="0"/>
    <n v="1000"/>
    <n v="55"/>
    <n v="31"/>
    <s v="PUN01 NC Cluster 38"/>
    <m/>
    <d v="1899-12-30T01:31:00"/>
    <d v="1899-12-30T06:17:41"/>
    <n v="191214"/>
    <d v="1899-12-30T06:30:49"/>
    <d v="1899-12-30T06:31:04"/>
    <n v="191224"/>
    <n v="0"/>
    <n v="0"/>
    <n v="0"/>
    <n v="10"/>
    <n v="10"/>
    <n v="0"/>
    <n v="0"/>
    <n v="0"/>
    <x v="0"/>
    <n v="0"/>
    <n v="0"/>
    <n v="0"/>
    <n v="0"/>
    <n v="806.45"/>
    <n v="0"/>
    <n v="806.45"/>
    <m/>
    <m/>
  </r>
  <r>
    <n v="157"/>
    <x v="7"/>
    <s v="HINJEWADI"/>
    <s v="SLK1"/>
    <x v="0"/>
    <x v="29"/>
    <s v="ACE"/>
    <s v="CNG"/>
    <n v="4"/>
    <n v="8"/>
    <x v="0"/>
    <n v="1000"/>
    <n v="55"/>
    <n v="31"/>
    <s v="PUN01 NC Cluster 148"/>
    <m/>
    <d v="1899-12-30T01:10:00"/>
    <d v="1899-12-30T04:53:30"/>
    <n v="109819"/>
    <d v="1899-12-30T07:03:05"/>
    <d v="1899-12-30T07:03:23"/>
    <n v="109840"/>
    <n v="35"/>
    <n v="35"/>
    <n v="0"/>
    <n v="21"/>
    <n v="21"/>
    <n v="0"/>
    <n v="0"/>
    <n v="0"/>
    <x v="0"/>
    <n v="0"/>
    <n v="0"/>
    <n v="0"/>
    <n v="0"/>
    <n v="806.45"/>
    <n v="0"/>
    <n v="806.45"/>
    <m/>
    <m/>
  </r>
  <r>
    <n v="158"/>
    <x v="7"/>
    <s v="HINJEWADI"/>
    <s v="SLK1"/>
    <x v="0"/>
    <x v="2"/>
    <s v="ACE"/>
    <s v="CNG"/>
    <n v="6"/>
    <n v="8"/>
    <x v="1"/>
    <n v="2000"/>
    <n v="55"/>
    <n v="31"/>
    <s v="PUN01 NC Cluster 229"/>
    <m/>
    <d v="1899-12-30T01:52:00"/>
    <d v="1899-12-30T04:43:44"/>
    <n v="99049"/>
    <d v="1899-12-30T09:59:06"/>
    <d v="1899-12-30T09:59:11"/>
    <n v="99090"/>
    <n v="24"/>
    <n v="31"/>
    <n v="-7"/>
    <n v="41"/>
    <n v="41"/>
    <n v="0"/>
    <n v="0"/>
    <n v="1"/>
    <x v="1"/>
    <n v="0"/>
    <n v="0"/>
    <n v="0"/>
    <n v="0"/>
    <n v="1214.52"/>
    <n v="0"/>
    <n v="1214.52"/>
    <m/>
    <m/>
  </r>
  <r>
    <n v="159"/>
    <x v="7"/>
    <s v="HINJEWADI"/>
    <s v="SLK1"/>
    <x v="0"/>
    <x v="3"/>
    <s v="ACE"/>
    <s v="CNG"/>
    <n v="4"/>
    <n v="8"/>
    <x v="0"/>
    <n v="1000"/>
    <n v="55"/>
    <n v="31"/>
    <s v="PUN01 NC Cluster 1"/>
    <m/>
    <d v="1899-12-30T03:03:00"/>
    <d v="1899-12-30T06:57:07"/>
    <n v="83554"/>
    <d v="1899-12-30T06:57:16"/>
    <d v="1899-12-30T06:57:22"/>
    <n v="83554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160"/>
    <x v="7"/>
    <s v="HINJEWADI"/>
    <s v="SLK1"/>
    <x v="0"/>
    <x v="30"/>
    <s v="ACE"/>
    <s v="CNG"/>
    <n v="4"/>
    <n v="8"/>
    <x v="0"/>
    <n v="1000"/>
    <n v="55"/>
    <n v="31"/>
    <s v="PUN01 NC Cluster 125A"/>
    <m/>
    <d v="1899-12-30T01:11:00"/>
    <d v="1899-12-30T04:47:01"/>
    <n v="37198"/>
    <d v="1899-12-30T08:39:09"/>
    <d v="1899-12-30T09:00:20"/>
    <n v="37198"/>
    <n v="31"/>
    <n v="33"/>
    <n v="-2"/>
    <n v="0"/>
    <n v="0"/>
    <n v="0"/>
    <n v="0"/>
    <n v="1"/>
    <x v="1"/>
    <n v="0"/>
    <n v="0"/>
    <n v="0"/>
    <n v="0"/>
    <n v="956.45"/>
    <n v="0"/>
    <n v="956.45"/>
    <m/>
    <m/>
  </r>
  <r>
    <n v="161"/>
    <x v="7"/>
    <s v="HINJEWADI"/>
    <s v="SLK1"/>
    <x v="0"/>
    <x v="4"/>
    <s v="ACE"/>
    <s v="CNG"/>
    <n v="4"/>
    <n v="8"/>
    <x v="0"/>
    <n v="1000"/>
    <n v="55"/>
    <n v="31"/>
    <s v="PUN01 NC Cluster 68"/>
    <m/>
    <d v="1899-12-30T02:51:00"/>
    <d v="1899-12-30T04:39:45"/>
    <n v="11422"/>
    <d v="1899-12-30T09:02:58"/>
    <d v="1899-12-30T09:03:12"/>
    <n v="11444"/>
    <n v="61"/>
    <n v="61"/>
    <n v="0"/>
    <n v="22"/>
    <n v="22"/>
    <n v="0"/>
    <n v="0"/>
    <n v="2"/>
    <x v="2"/>
    <n v="0"/>
    <n v="0"/>
    <n v="0"/>
    <n v="0"/>
    <n v="1106.45"/>
    <n v="0"/>
    <n v="1106.45"/>
    <m/>
    <m/>
  </r>
  <r>
    <n v="162"/>
    <x v="7"/>
    <s v="HINJEWADI"/>
    <s v="SLK1"/>
    <x v="0"/>
    <x v="5"/>
    <s v="ACE"/>
    <s v="CNG"/>
    <n v="4"/>
    <n v="8"/>
    <x v="0"/>
    <n v="1000"/>
    <n v="55"/>
    <n v="31"/>
    <s v="PUN01 NC Cluster 87"/>
    <m/>
    <d v="1899-12-30T02:13:00"/>
    <d v="1899-12-30T04:44:09"/>
    <n v="145190"/>
    <d v="1899-12-30T08:29:12"/>
    <d v="1899-12-30T08:29:24"/>
    <n v="145213"/>
    <n v="30"/>
    <n v="30"/>
    <n v="0"/>
    <n v="23"/>
    <n v="23"/>
    <n v="0"/>
    <n v="0"/>
    <n v="1"/>
    <x v="1"/>
    <n v="0"/>
    <n v="0"/>
    <n v="0"/>
    <n v="0"/>
    <n v="956.45"/>
    <n v="0"/>
    <n v="956.45"/>
    <m/>
    <m/>
  </r>
  <r>
    <n v="163"/>
    <x v="7"/>
    <s v="HINJEWADI"/>
    <s v="SLK1"/>
    <x v="0"/>
    <x v="6"/>
    <s v="ACE"/>
    <s v="CNG"/>
    <n v="4"/>
    <n v="8"/>
    <x v="0"/>
    <n v="1000"/>
    <n v="55"/>
    <n v="31"/>
    <s v="PUN01 NC Cluster 10"/>
    <m/>
    <d v="1899-12-30T01:16:00"/>
    <d v="1899-12-30T04:41:53"/>
    <n v="142455"/>
    <d v="1899-12-30T08:43:39"/>
    <d v="1899-12-30T08:43:49"/>
    <n v="142476"/>
    <n v="54"/>
    <n v="54"/>
    <n v="0"/>
    <n v="21"/>
    <n v="21"/>
    <n v="0"/>
    <n v="0"/>
    <n v="1"/>
    <x v="1"/>
    <n v="0"/>
    <n v="0"/>
    <n v="0"/>
    <n v="0"/>
    <n v="956.45"/>
    <n v="0"/>
    <n v="956.45"/>
    <m/>
    <m/>
  </r>
  <r>
    <n v="164"/>
    <x v="7"/>
    <s v="HINJEWADI"/>
    <s v="SLK1"/>
    <x v="0"/>
    <x v="7"/>
    <s v="ACE"/>
    <s v="CNG"/>
    <n v="4"/>
    <n v="8"/>
    <x v="0"/>
    <n v="1000"/>
    <n v="55"/>
    <n v="31"/>
    <s v="PUN01 NC Cluster 201"/>
    <m/>
    <d v="1899-12-30T03:28:00"/>
    <d v="1899-12-30T04:57:48"/>
    <n v="158523"/>
    <d v="1899-12-30T08:30:30"/>
    <d v="1899-12-30T08:30:50"/>
    <n v="158546"/>
    <n v="44"/>
    <n v="44"/>
    <n v="0"/>
    <n v="23"/>
    <n v="23"/>
    <n v="0"/>
    <n v="0"/>
    <n v="1"/>
    <x v="1"/>
    <n v="0"/>
    <n v="0"/>
    <n v="0"/>
    <n v="0"/>
    <n v="956.45"/>
    <n v="0"/>
    <n v="956.45"/>
    <m/>
    <m/>
  </r>
  <r>
    <n v="165"/>
    <x v="7"/>
    <s v="HINJEWADI"/>
    <s v="SLK1"/>
    <x v="0"/>
    <x v="8"/>
    <s v="ACE"/>
    <s v="CNG"/>
    <n v="4"/>
    <n v="8"/>
    <x v="0"/>
    <n v="1000"/>
    <n v="55"/>
    <n v="31"/>
    <s v="PUN01 NC Cluster 38"/>
    <m/>
    <d v="1899-12-30T01:21:00"/>
    <d v="1899-12-30T04:41:14"/>
    <n v="112583"/>
    <d v="1899-12-30T08:15:15"/>
    <d v="1899-12-30T08:15:27"/>
    <n v="112598"/>
    <n v="55"/>
    <n v="55"/>
    <n v="0"/>
    <n v="15"/>
    <n v="15"/>
    <n v="0"/>
    <n v="0"/>
    <n v="1"/>
    <x v="1"/>
    <n v="0"/>
    <n v="0"/>
    <n v="0"/>
    <n v="0"/>
    <n v="956.45"/>
    <n v="0"/>
    <n v="956.45"/>
    <m/>
    <m/>
  </r>
  <r>
    <n v="166"/>
    <x v="7"/>
    <s v="HINJEWADI"/>
    <s v="SLK1"/>
    <x v="0"/>
    <x v="9"/>
    <s v="ACE"/>
    <s v="CNG"/>
    <n v="6"/>
    <n v="8"/>
    <x v="1"/>
    <n v="2000"/>
    <n v="55"/>
    <n v="31"/>
    <s v="PUN01 NC Cluster 299"/>
    <m/>
    <d v="1899-12-30T01:40:00"/>
    <d v="1899-12-30T04:46:28"/>
    <n v="47389"/>
    <d v="1899-12-30T10:00:22"/>
    <d v="1899-12-30T10:00:33"/>
    <n v="47475"/>
    <n v="45"/>
    <n v="22"/>
    <n v="23"/>
    <n v="86"/>
    <n v="86"/>
    <n v="0"/>
    <n v="0"/>
    <n v="1"/>
    <x v="1"/>
    <n v="0"/>
    <n v="0"/>
    <n v="0"/>
    <n v="0"/>
    <n v="1214.52"/>
    <n v="0"/>
    <n v="1214.52"/>
    <m/>
    <m/>
  </r>
  <r>
    <n v="167"/>
    <x v="7"/>
    <s v="HINJEWADI"/>
    <s v="SLK1"/>
    <x v="0"/>
    <x v="24"/>
    <s v="ACE"/>
    <s v="CNG"/>
    <n v="4"/>
    <n v="8"/>
    <x v="0"/>
    <n v="1000"/>
    <n v="55"/>
    <n v="31"/>
    <s v="PUN01 NC Cluster 59"/>
    <m/>
    <d v="1899-12-30T01:20:00"/>
    <d v="1899-12-30T04:40:07"/>
    <n v="86742"/>
    <d v="1899-12-30T08:38:03"/>
    <d v="1899-12-30T08:38:11"/>
    <n v="86761"/>
    <n v="24"/>
    <n v="24"/>
    <n v="0"/>
    <n v="19"/>
    <n v="19"/>
    <n v="0"/>
    <n v="0"/>
    <n v="1"/>
    <x v="1"/>
    <n v="0"/>
    <n v="0"/>
    <n v="0"/>
    <n v="0"/>
    <n v="956.45"/>
    <n v="0"/>
    <n v="956.45"/>
    <m/>
    <m/>
  </r>
  <r>
    <n v="168"/>
    <x v="7"/>
    <s v="HINJEWADI"/>
    <s v="SLK1"/>
    <x v="0"/>
    <x v="25"/>
    <s v="ACE"/>
    <s v="CNG"/>
    <n v="4"/>
    <n v="8"/>
    <x v="0"/>
    <n v="1000"/>
    <n v="55"/>
    <n v="31"/>
    <s v="PUN01 NC Cluster 121"/>
    <m/>
    <d v="1899-12-30T03:08:00"/>
    <d v="1899-12-30T04:57:25"/>
    <n v="117551"/>
    <d v="1899-12-30T08:20:23"/>
    <d v="1899-12-30T08:20:34"/>
    <n v="117589"/>
    <n v="29"/>
    <n v="29"/>
    <n v="0"/>
    <n v="38"/>
    <n v="38"/>
    <n v="0"/>
    <n v="0"/>
    <n v="1"/>
    <x v="1"/>
    <n v="0"/>
    <n v="0"/>
    <n v="0"/>
    <n v="0"/>
    <n v="956.45"/>
    <n v="0"/>
    <n v="956.45"/>
    <m/>
    <m/>
  </r>
  <r>
    <n v="169"/>
    <x v="7"/>
    <s v="HINJEWADI"/>
    <s v="SLK1"/>
    <x v="0"/>
    <x v="10"/>
    <s v="ACE"/>
    <s v="CNG"/>
    <n v="4"/>
    <n v="8"/>
    <x v="0"/>
    <n v="1000"/>
    <n v="55"/>
    <n v="31"/>
    <s v="PUN01 NC Cluster 15"/>
    <m/>
    <d v="1899-12-30T01:56:00"/>
    <d v="1899-12-30T04:53:09"/>
    <n v="74246"/>
    <d v="1899-12-30T08:27:01"/>
    <d v="1899-12-30T08:27:08"/>
    <n v="74260"/>
    <n v="29"/>
    <n v="29"/>
    <n v="0"/>
    <n v="14"/>
    <n v="14"/>
    <n v="0"/>
    <n v="0"/>
    <n v="1"/>
    <x v="1"/>
    <n v="0"/>
    <n v="0"/>
    <n v="0"/>
    <n v="0"/>
    <n v="956.45"/>
    <n v="0"/>
    <n v="956.45"/>
    <m/>
    <m/>
  </r>
  <r>
    <n v="170"/>
    <x v="7"/>
    <s v="HINJEWADI"/>
    <s v="SLK1"/>
    <x v="0"/>
    <x v="12"/>
    <s v="ACE"/>
    <s v="CNG"/>
    <n v="4"/>
    <n v="8"/>
    <x v="0"/>
    <n v="1000"/>
    <n v="55"/>
    <n v="31"/>
    <s v="PUN01 NC Cluster 41"/>
    <m/>
    <d v="1899-12-30T01:19:00"/>
    <d v="1899-12-30T04:35:15"/>
    <n v="83078"/>
    <d v="1899-12-30T08:14:48"/>
    <d v="1899-12-30T08:14:58"/>
    <n v="83093"/>
    <n v="58"/>
    <n v="58"/>
    <n v="0"/>
    <n v="15"/>
    <n v="15"/>
    <n v="0"/>
    <n v="0"/>
    <n v="1"/>
    <x v="1"/>
    <n v="0"/>
    <n v="0"/>
    <n v="0"/>
    <n v="0"/>
    <n v="956.45"/>
    <n v="0"/>
    <n v="956.45"/>
    <m/>
    <m/>
  </r>
  <r>
    <n v="171"/>
    <x v="7"/>
    <s v="HINJEWADI"/>
    <s v="SLK1"/>
    <x v="0"/>
    <x v="13"/>
    <s v="ACE"/>
    <s v="CNG"/>
    <n v="4"/>
    <n v="8"/>
    <x v="0"/>
    <n v="1000"/>
    <n v="55"/>
    <n v="31"/>
    <s v="PUN01 NC Cluster 60"/>
    <m/>
    <d v="1899-12-30T02:11:00"/>
    <d v="1899-12-30T04:55:32"/>
    <n v="36328"/>
    <m/>
    <m/>
    <n v="36353"/>
    <m/>
    <n v="31"/>
    <n v="-31"/>
    <n v="25"/>
    <n v="25"/>
    <n v="0"/>
    <n v="0"/>
    <n v="0"/>
    <x v="0"/>
    <n v="0"/>
    <n v="0"/>
    <n v="0"/>
    <n v="0"/>
    <n v="806.45"/>
    <n v="0"/>
    <n v="806.45"/>
    <m/>
    <m/>
  </r>
  <r>
    <n v="172"/>
    <x v="7"/>
    <s v="HINJEWADI"/>
    <s v="SLK1"/>
    <x v="0"/>
    <x v="14"/>
    <s v="ACE"/>
    <s v="CNG"/>
    <n v="6"/>
    <n v="8"/>
    <x v="1"/>
    <n v="2000"/>
    <n v="55"/>
    <n v="31"/>
    <s v="PUN01 NC Cluster 303"/>
    <m/>
    <d v="1899-12-30T01:29:00"/>
    <d v="1899-12-30T04:45:41"/>
    <n v="32454"/>
    <d v="1899-12-30T07:34:47"/>
    <d v="1899-12-30T07:34:56"/>
    <n v="32527"/>
    <n v="28"/>
    <n v="28"/>
    <n v="0"/>
    <n v="73"/>
    <n v="73"/>
    <n v="0"/>
    <n v="0"/>
    <n v="0"/>
    <x v="0"/>
    <n v="0"/>
    <n v="0"/>
    <n v="0"/>
    <n v="0"/>
    <n v="1064.52"/>
    <n v="0"/>
    <n v="1064.52"/>
    <m/>
    <m/>
  </r>
  <r>
    <n v="173"/>
    <x v="7"/>
    <s v="HINJEWADI"/>
    <s v="SLK1"/>
    <x v="0"/>
    <x v="15"/>
    <s v="ACE"/>
    <s v="CNG"/>
    <n v="4"/>
    <n v="8"/>
    <x v="0"/>
    <n v="1000"/>
    <n v="55"/>
    <n v="31"/>
    <s v="PUN01 NC Cluster 37"/>
    <m/>
    <d v="1899-12-30T01:18:00"/>
    <d v="1899-12-30T04:40:56"/>
    <n v="37733"/>
    <d v="1899-12-30T09:03:45"/>
    <d v="1899-12-30T09:04:00"/>
    <n v="37745"/>
    <n v="42"/>
    <n v="42"/>
    <n v="0"/>
    <n v="12"/>
    <n v="12"/>
    <n v="0"/>
    <n v="0"/>
    <n v="2"/>
    <x v="2"/>
    <n v="0"/>
    <n v="0"/>
    <n v="0"/>
    <n v="0"/>
    <n v="1106.45"/>
    <n v="0"/>
    <n v="1106.45"/>
    <m/>
    <m/>
  </r>
  <r>
    <n v="174"/>
    <x v="7"/>
    <s v="HINJEWADI"/>
    <s v="SLK1"/>
    <x v="0"/>
    <x v="17"/>
    <s v="ACE"/>
    <s v="CNG"/>
    <n v="4"/>
    <n v="8"/>
    <x v="0"/>
    <n v="1000"/>
    <n v="55"/>
    <n v="31"/>
    <s v="PUN01 NC Cluster 199"/>
    <m/>
    <d v="1899-12-30T01:21:00"/>
    <d v="1899-12-30T04:39:20"/>
    <n v="6788"/>
    <d v="1899-12-30T09:21:40"/>
    <d v="1899-12-30T09:24:09"/>
    <n v="6818"/>
    <n v="30"/>
    <n v="15"/>
    <n v="15"/>
    <n v="30"/>
    <n v="30"/>
    <n v="0"/>
    <n v="0"/>
    <n v="2"/>
    <x v="2"/>
    <n v="0"/>
    <n v="0"/>
    <n v="0"/>
    <n v="0"/>
    <n v="1106.45"/>
    <n v="0"/>
    <n v="1106.45"/>
    <m/>
    <m/>
  </r>
  <r>
    <n v="175"/>
    <x v="7"/>
    <s v="HINJEWADI"/>
    <s v="SLK1"/>
    <x v="0"/>
    <x v="18"/>
    <s v="ACE"/>
    <s v="CNG"/>
    <n v="4"/>
    <n v="8"/>
    <x v="0"/>
    <n v="1000"/>
    <n v="55"/>
    <n v="31"/>
    <s v="PUN01 NC Cluster 36"/>
    <m/>
    <d v="1899-12-30T01:18:00"/>
    <d v="1899-12-30T04:40:36"/>
    <n v="4020"/>
    <d v="1899-12-30T08:14:25"/>
    <d v="1899-12-30T08:15:44"/>
    <n v="4037"/>
    <n v="0"/>
    <n v="36"/>
    <n v="-36"/>
    <n v="17"/>
    <n v="17"/>
    <n v="0"/>
    <n v="0"/>
    <n v="1"/>
    <x v="1"/>
    <n v="0"/>
    <n v="0"/>
    <n v="0"/>
    <n v="0"/>
    <n v="956.45"/>
    <n v="0"/>
    <n v="956.45"/>
    <m/>
    <m/>
  </r>
  <r>
    <n v="176"/>
    <x v="7"/>
    <s v="HINJEWADI"/>
    <s v="SLK1"/>
    <x v="0"/>
    <x v="26"/>
    <s v="ACE"/>
    <s v="CNG"/>
    <n v="4"/>
    <n v="8"/>
    <x v="0"/>
    <n v="1000"/>
    <n v="55"/>
    <n v="31"/>
    <s v="PUN01 NC Cluster 200"/>
    <m/>
    <d v="1899-12-30T02:50:00"/>
    <d v="1899-12-30T04:36:13"/>
    <n v="41044"/>
    <d v="1899-12-30T07:17:23"/>
    <d v="1899-12-30T07:17:34"/>
    <n v="41071"/>
    <n v="61"/>
    <n v="61"/>
    <n v="0"/>
    <n v="27"/>
    <n v="27"/>
    <n v="0"/>
    <n v="0"/>
    <n v="0"/>
    <x v="0"/>
    <n v="0"/>
    <n v="0"/>
    <n v="0"/>
    <n v="0"/>
    <n v="806.45"/>
    <n v="0"/>
    <n v="806.45"/>
    <m/>
    <m/>
  </r>
  <r>
    <n v="177"/>
    <x v="7"/>
    <s v="HINJEWADI"/>
    <s v="SLK1"/>
    <x v="0"/>
    <x v="20"/>
    <s v="BOLERO"/>
    <s v="DIESEL"/>
    <n v="4"/>
    <n v="10"/>
    <x v="2"/>
    <n v="1000"/>
    <n v="55"/>
    <n v="31"/>
    <s v="PUN01 NC Cluster 14"/>
    <m/>
    <d v="1899-12-30T01:23:00"/>
    <d v="1899-12-30T04:58:05"/>
    <n v="38202"/>
    <d v="1899-12-30T08:21:40"/>
    <d v="1899-12-30T08:21:51"/>
    <n v="38220"/>
    <n v="22"/>
    <n v="22"/>
    <n v="0"/>
    <n v="18"/>
    <n v="18"/>
    <n v="0"/>
    <n v="0"/>
    <n v="1"/>
    <x v="1"/>
    <n v="0"/>
    <n v="0"/>
    <n v="0"/>
    <n v="0"/>
    <n v="1085.48"/>
    <n v="0"/>
    <n v="1085.48"/>
    <m/>
    <m/>
  </r>
  <r>
    <n v="178"/>
    <x v="7"/>
    <s v="HINJEWADI"/>
    <s v="SLK1"/>
    <x v="0"/>
    <x v="31"/>
    <s v="BOLERO"/>
    <s v="DIESEL"/>
    <n v="4"/>
    <n v="10"/>
    <x v="2"/>
    <n v="1000"/>
    <n v="55"/>
    <n v="31"/>
    <s v="PUN01 NC Cluster 103"/>
    <m/>
    <d v="1899-12-30T02:40:00"/>
    <d v="1899-12-30T04:50:47"/>
    <n v="60144"/>
    <d v="1899-12-30T07:36:31"/>
    <d v="1899-12-30T07:38:40"/>
    <n v="60167"/>
    <n v="79"/>
    <n v="79"/>
    <n v="0"/>
    <n v="23"/>
    <n v="23"/>
    <n v="0"/>
    <n v="0"/>
    <n v="0"/>
    <x v="0"/>
    <n v="0"/>
    <n v="0"/>
    <n v="0"/>
    <n v="0"/>
    <n v="935.48"/>
    <n v="0"/>
    <n v="935.48"/>
    <m/>
    <m/>
  </r>
  <r>
    <n v="179"/>
    <x v="7"/>
    <s v="HINJEWADI"/>
    <s v="SLK1"/>
    <x v="0"/>
    <x v="21"/>
    <s v="BOLERO"/>
    <s v="DIESEL"/>
    <n v="4"/>
    <n v="10"/>
    <x v="2"/>
    <n v="1000"/>
    <n v="55"/>
    <n v="31"/>
    <s v="PUN01 NC Cluster 175"/>
    <m/>
    <d v="1899-12-30T02:41:00"/>
    <d v="1899-12-30T04:50:48"/>
    <n v="2827"/>
    <d v="1899-12-30T10:57:34"/>
    <m/>
    <n v="2868"/>
    <n v="30"/>
    <n v="82"/>
    <n v="-52"/>
    <n v="41"/>
    <n v="41"/>
    <n v="0"/>
    <n v="0"/>
    <n v="3"/>
    <x v="3"/>
    <n v="0"/>
    <n v="0"/>
    <n v="0"/>
    <n v="0"/>
    <n v="1385.48"/>
    <n v="0"/>
    <n v="1385.48"/>
    <m/>
    <m/>
  </r>
  <r>
    <n v="180"/>
    <x v="7"/>
    <s v="HINJEWADI"/>
    <s v="SLK1"/>
    <x v="0"/>
    <x v="22"/>
    <s v="BOLERO"/>
    <s v="DIESEL"/>
    <n v="4"/>
    <n v="10"/>
    <x v="2"/>
    <n v="1000"/>
    <n v="55"/>
    <n v="31"/>
    <s v="PUN01 NC Cluster 24"/>
    <m/>
    <d v="1899-12-30T02:12:00"/>
    <d v="1899-12-30T04:54:33"/>
    <n v="138846"/>
    <d v="1899-12-30T08:52:20"/>
    <d v="1899-12-30T08:52:35"/>
    <n v="138875"/>
    <n v="61"/>
    <n v="61"/>
    <n v="0"/>
    <n v="29"/>
    <n v="29"/>
    <n v="0"/>
    <n v="0"/>
    <n v="1"/>
    <x v="1"/>
    <n v="0"/>
    <n v="0"/>
    <n v="0"/>
    <n v="0"/>
    <n v="1085.48"/>
    <n v="0"/>
    <n v="1085.48"/>
    <m/>
    <m/>
  </r>
  <r>
    <n v="181"/>
    <x v="8"/>
    <s v="HINJEWADI"/>
    <s v="SLK1"/>
    <x v="0"/>
    <x v="1"/>
    <s v="ACE"/>
    <s v="CNG"/>
    <n v="4"/>
    <n v="8"/>
    <x v="0"/>
    <n v="1000"/>
    <n v="55"/>
    <n v="31"/>
    <s v="PUN01 NC Cluster 190"/>
    <m/>
    <d v="1899-12-30T03:06:00"/>
    <d v="1899-12-30T04:48:55"/>
    <n v="191266"/>
    <d v="1899-12-30T08:41:32"/>
    <d v="1899-12-30T08:41:43"/>
    <n v="191315"/>
    <n v="53"/>
    <n v="53"/>
    <n v="0"/>
    <n v="49"/>
    <n v="49"/>
    <n v="0"/>
    <n v="0"/>
    <n v="1"/>
    <x v="1"/>
    <n v="0"/>
    <n v="0"/>
    <n v="0"/>
    <n v="0"/>
    <n v="956.45"/>
    <n v="0"/>
    <n v="956.45"/>
    <m/>
    <m/>
  </r>
  <r>
    <n v="182"/>
    <x v="8"/>
    <s v="HINJEWADI"/>
    <s v="SLK1"/>
    <x v="0"/>
    <x v="29"/>
    <s v="ACE"/>
    <s v="CNG"/>
    <n v="4"/>
    <n v="8"/>
    <x v="0"/>
    <n v="1000"/>
    <n v="55"/>
    <n v="31"/>
    <s v="PUN01 NC Cluster 100"/>
    <m/>
    <d v="1899-12-30T03:19:00"/>
    <d v="1899-12-30T04:45:27"/>
    <n v="109913"/>
    <d v="1899-12-30T07:17:14"/>
    <d v="1899-12-30T07:17:21"/>
    <n v="109930"/>
    <n v="24"/>
    <n v="24"/>
    <n v="0"/>
    <n v="17"/>
    <n v="17"/>
    <n v="0"/>
    <n v="0"/>
    <n v="0"/>
    <x v="0"/>
    <n v="0"/>
    <n v="0"/>
    <n v="0"/>
    <n v="0"/>
    <n v="806.45"/>
    <n v="0"/>
    <n v="806.45"/>
    <m/>
    <m/>
  </r>
  <r>
    <n v="183"/>
    <x v="8"/>
    <s v="HINJEWADI"/>
    <s v="SLK1"/>
    <x v="0"/>
    <x v="2"/>
    <s v="ACE"/>
    <s v="CNG"/>
    <n v="6"/>
    <n v="8"/>
    <x v="1"/>
    <n v="2000"/>
    <n v="55"/>
    <n v="31"/>
    <s v="PUN01 NC Cluster 229"/>
    <m/>
    <d v="1899-12-30T01:06:00"/>
    <d v="1899-12-30T04:24:35"/>
    <n v="99134"/>
    <d v="1899-12-30T09:02:45"/>
    <d v="1899-12-30T09:02:53"/>
    <n v="99190"/>
    <n v="45"/>
    <n v="45"/>
    <n v="0"/>
    <n v="56"/>
    <n v="56"/>
    <n v="0"/>
    <n v="0"/>
    <n v="1"/>
    <x v="1"/>
    <n v="0"/>
    <n v="0"/>
    <n v="0"/>
    <n v="0"/>
    <n v="1214.52"/>
    <n v="0"/>
    <n v="1214.52"/>
    <m/>
    <m/>
  </r>
  <r>
    <n v="184"/>
    <x v="8"/>
    <s v="HINJEWADI"/>
    <s v="SLK1"/>
    <x v="0"/>
    <x v="30"/>
    <s v="ACE"/>
    <s v="CNG"/>
    <n v="4"/>
    <n v="8"/>
    <x v="0"/>
    <n v="1000"/>
    <n v="55"/>
    <n v="31"/>
    <s v="PUN01 NC Cluster 12"/>
    <m/>
    <d v="1899-12-30T03:19:00"/>
    <d v="1899-12-30T04:45:54"/>
    <n v="37385"/>
    <d v="1899-12-30T08:56:05"/>
    <d v="1899-12-30T08:56:27"/>
    <n v="37405"/>
    <n v="40"/>
    <n v="40"/>
    <n v="0"/>
    <n v="20"/>
    <n v="20"/>
    <n v="0"/>
    <n v="0"/>
    <n v="1"/>
    <x v="1"/>
    <n v="0"/>
    <n v="0"/>
    <n v="0"/>
    <n v="0"/>
    <n v="956.45"/>
    <n v="0"/>
    <n v="956.45"/>
    <m/>
    <m/>
  </r>
  <r>
    <n v="185"/>
    <x v="8"/>
    <s v="HINJEWADI"/>
    <s v="SLK1"/>
    <x v="0"/>
    <x v="4"/>
    <s v="ACE"/>
    <s v="CNG"/>
    <n v="4"/>
    <n v="8"/>
    <x v="0"/>
    <n v="1000"/>
    <n v="55"/>
    <n v="31"/>
    <s v="PUN01 NC Cluster 36"/>
    <m/>
    <d v="1899-12-30T03:07:00"/>
    <d v="1899-12-30T04:31:54"/>
    <n v="11470"/>
    <d v="1899-12-30T09:34:32"/>
    <d v="1899-12-30T09:36:24"/>
    <n v="11486"/>
    <n v="27"/>
    <n v="27"/>
    <n v="0"/>
    <n v="16"/>
    <n v="16"/>
    <n v="0"/>
    <n v="0"/>
    <n v="2"/>
    <x v="2"/>
    <n v="0"/>
    <n v="0"/>
    <n v="0"/>
    <n v="0"/>
    <n v="1106.45"/>
    <n v="0"/>
    <n v="1106.45"/>
    <m/>
    <m/>
  </r>
  <r>
    <n v="186"/>
    <x v="8"/>
    <s v="HINJEWADI"/>
    <s v="SLK1"/>
    <x v="0"/>
    <x v="5"/>
    <s v="ACE"/>
    <s v="CNG"/>
    <n v="4"/>
    <n v="8"/>
    <x v="0"/>
    <n v="1000"/>
    <n v="55"/>
    <n v="31"/>
    <s v="PUN01 NC Cluster 87"/>
    <m/>
    <d v="1899-12-30T02:01:00"/>
    <d v="1899-12-30T04:24:38"/>
    <n v="145218"/>
    <d v="1899-12-30T07:13:09"/>
    <d v="1899-12-30T07:13:18"/>
    <n v="145235"/>
    <n v="31"/>
    <n v="31"/>
    <n v="0"/>
    <n v="17"/>
    <n v="17"/>
    <n v="0"/>
    <n v="0"/>
    <n v="0"/>
    <x v="0"/>
    <n v="0"/>
    <n v="0"/>
    <n v="0"/>
    <n v="0"/>
    <n v="806.45"/>
    <n v="0"/>
    <n v="806.45"/>
    <m/>
    <m/>
  </r>
  <r>
    <n v="187"/>
    <x v="8"/>
    <s v="HINJEWADI"/>
    <s v="SLK1"/>
    <x v="0"/>
    <x v="6"/>
    <s v="ACE"/>
    <s v="CNG"/>
    <n v="4"/>
    <n v="8"/>
    <x v="0"/>
    <n v="1000"/>
    <n v="55"/>
    <n v="31"/>
    <s v="PUN01 NC Cluster 10"/>
    <m/>
    <d v="1899-12-30T01:08:00"/>
    <d v="1899-12-30T04:26:37"/>
    <n v="142571"/>
    <d v="1899-12-30T09:14:21"/>
    <d v="1899-12-30T09:15:12"/>
    <n v="142599"/>
    <n v="34"/>
    <n v="34"/>
    <n v="0"/>
    <n v="28"/>
    <n v="28"/>
    <n v="0"/>
    <n v="0"/>
    <n v="2"/>
    <x v="2"/>
    <n v="0"/>
    <n v="0"/>
    <n v="0"/>
    <n v="0"/>
    <n v="1106.45"/>
    <n v="0"/>
    <n v="1106.45"/>
    <m/>
    <m/>
  </r>
  <r>
    <n v="188"/>
    <x v="8"/>
    <s v="HINJEWADI"/>
    <s v="SLK1"/>
    <x v="0"/>
    <x v="7"/>
    <s v="ACE"/>
    <s v="CNG"/>
    <n v="4"/>
    <n v="8"/>
    <x v="0"/>
    <n v="1000"/>
    <n v="55"/>
    <n v="31"/>
    <s v="PUN01 NC Cluster 11"/>
    <m/>
    <d v="1899-12-30T03:03:00"/>
    <d v="1899-12-30T04:33:41"/>
    <n v="158599"/>
    <d v="1899-12-30T08:50:41"/>
    <d v="1899-12-30T08:51:15"/>
    <n v="158617"/>
    <n v="54"/>
    <n v="54"/>
    <n v="0"/>
    <n v="18"/>
    <n v="18"/>
    <n v="0"/>
    <n v="0"/>
    <n v="1"/>
    <x v="1"/>
    <n v="0"/>
    <n v="0"/>
    <n v="0"/>
    <n v="0"/>
    <n v="956.45"/>
    <n v="0"/>
    <n v="956.45"/>
    <m/>
    <m/>
  </r>
  <r>
    <n v="189"/>
    <x v="8"/>
    <s v="HINJEWADI"/>
    <s v="SLK1"/>
    <x v="0"/>
    <x v="8"/>
    <s v="ACE"/>
    <s v="CNG"/>
    <n v="4"/>
    <n v="8"/>
    <x v="0"/>
    <n v="1000"/>
    <n v="55"/>
    <n v="31"/>
    <s v="PUN01 NC Cluster 37"/>
    <m/>
    <d v="1899-12-30T01:04:00"/>
    <d v="1899-12-30T04:32:09"/>
    <n v="112611"/>
    <d v="1899-12-30T09:42:57"/>
    <d v="1899-12-30T09:44:43"/>
    <n v="112628"/>
    <n v="37"/>
    <n v="37"/>
    <n v="0"/>
    <n v="17"/>
    <n v="17"/>
    <n v="0"/>
    <n v="0"/>
    <n v="2"/>
    <x v="2"/>
    <n v="0"/>
    <n v="0"/>
    <n v="0"/>
    <n v="0"/>
    <n v="1106.45"/>
    <n v="0"/>
    <n v="1106.45"/>
    <m/>
    <m/>
  </r>
  <r>
    <n v="190"/>
    <x v="8"/>
    <s v="HINJEWADI"/>
    <s v="SLK1"/>
    <x v="0"/>
    <x v="23"/>
    <s v="ACE"/>
    <s v="CNG"/>
    <n v="4"/>
    <n v="8"/>
    <x v="0"/>
    <n v="1000"/>
    <n v="55"/>
    <n v="31"/>
    <s v="PUN01 NC Cluster 132"/>
    <m/>
    <d v="1899-12-30T01:07:00"/>
    <d v="1899-12-30T04:41:34"/>
    <n v="77537"/>
    <d v="1899-12-30T08:35:47"/>
    <d v="1899-12-30T08:35:54"/>
    <n v="77569"/>
    <n v="55"/>
    <n v="55"/>
    <n v="0"/>
    <n v="32"/>
    <n v="32"/>
    <n v="0"/>
    <n v="0"/>
    <n v="1"/>
    <x v="1"/>
    <n v="0"/>
    <n v="0"/>
    <n v="0"/>
    <n v="0"/>
    <n v="956.45"/>
    <n v="0"/>
    <n v="956.45"/>
    <m/>
    <m/>
  </r>
  <r>
    <n v="191"/>
    <x v="8"/>
    <s v="HINJEWADI"/>
    <s v="SLK1"/>
    <x v="0"/>
    <x v="9"/>
    <s v="ACE"/>
    <s v="CNG"/>
    <n v="6"/>
    <n v="8"/>
    <x v="1"/>
    <n v="2000"/>
    <n v="55"/>
    <n v="31"/>
    <s v="PUN01 NC Cluster 299"/>
    <m/>
    <d v="1899-12-30T01:08:00"/>
    <d v="1899-12-30T04:28:06"/>
    <n v="47484"/>
    <m/>
    <m/>
    <n v="47555"/>
    <m/>
    <m/>
    <n v="0"/>
    <n v="71"/>
    <n v="71"/>
    <n v="0"/>
    <n v="0"/>
    <n v="0"/>
    <x v="0"/>
    <n v="0"/>
    <n v="0"/>
    <n v="0"/>
    <n v="0"/>
    <n v="1064.52"/>
    <n v="0"/>
    <n v="1064.52"/>
    <m/>
    <m/>
  </r>
  <r>
    <n v="192"/>
    <x v="8"/>
    <s v="HINJEWADI"/>
    <s v="SLK1"/>
    <x v="0"/>
    <x v="25"/>
    <s v="ACE"/>
    <s v="CNG"/>
    <n v="4"/>
    <n v="8"/>
    <x v="0"/>
    <n v="1000"/>
    <n v="55"/>
    <n v="31"/>
    <s v="PUN01 NC Cluster 1"/>
    <m/>
    <d v="1899-12-30T02:46:00"/>
    <d v="1899-12-30T06:37:49"/>
    <n v="117652"/>
    <d v="1899-12-30T06:38:13"/>
    <d v="1899-12-30T06:38:30"/>
    <n v="117652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193"/>
    <x v="8"/>
    <s v="HINJEWADI"/>
    <s v="SLK1"/>
    <x v="0"/>
    <x v="10"/>
    <s v="ACE"/>
    <s v="CNG"/>
    <n v="4"/>
    <n v="8"/>
    <x v="0"/>
    <n v="1000"/>
    <n v="55"/>
    <n v="31"/>
    <s v="PUN01 NC Cluster 24"/>
    <m/>
    <d v="1899-12-30T01:13:00"/>
    <d v="1899-12-30T04:44:51"/>
    <n v="74358"/>
    <d v="1899-12-30T08:11:00"/>
    <d v="1899-12-30T08:26:54"/>
    <n v="74385"/>
    <n v="25"/>
    <n v="25"/>
    <n v="0"/>
    <n v="27"/>
    <n v="27"/>
    <n v="0"/>
    <n v="0"/>
    <n v="1"/>
    <x v="1"/>
    <n v="0"/>
    <n v="0"/>
    <n v="0"/>
    <n v="0"/>
    <n v="956.45"/>
    <n v="0"/>
    <n v="956.45"/>
    <m/>
    <m/>
  </r>
  <r>
    <n v="194"/>
    <x v="8"/>
    <s v="HINJEWADI"/>
    <s v="SLK1"/>
    <x v="0"/>
    <x v="12"/>
    <s v="ACE"/>
    <s v="CNG"/>
    <n v="4"/>
    <n v="8"/>
    <x v="0"/>
    <n v="1000"/>
    <n v="55"/>
    <n v="31"/>
    <s v="PUN01 NC Cluster 43"/>
    <m/>
    <d v="1899-12-30T01:03:00"/>
    <d v="1899-12-30T04:25:33"/>
    <n v="83181"/>
    <d v="1899-12-30T07:52:35"/>
    <d v="1899-12-30T07:52:47"/>
    <n v="83198"/>
    <n v="50"/>
    <n v="50"/>
    <n v="0"/>
    <n v="17"/>
    <n v="17"/>
    <n v="0"/>
    <n v="0"/>
    <n v="0"/>
    <x v="0"/>
    <n v="0"/>
    <n v="0"/>
    <n v="0"/>
    <n v="0"/>
    <n v="806.45"/>
    <n v="0"/>
    <n v="806.45"/>
    <m/>
    <m/>
  </r>
  <r>
    <n v="195"/>
    <x v="8"/>
    <s v="HINJEWADI"/>
    <s v="SLK1"/>
    <x v="0"/>
    <x v="13"/>
    <s v="ACE"/>
    <s v="CNG"/>
    <n v="4"/>
    <n v="8"/>
    <x v="0"/>
    <n v="1000"/>
    <n v="55"/>
    <n v="31"/>
    <s v="PUN01 NC Cluster 136"/>
    <m/>
    <d v="1899-12-30T02:10:00"/>
    <d v="1899-12-30T04:35:47"/>
    <n v="36398"/>
    <d v="1899-12-30T08:06:33"/>
    <d v="1899-12-30T08:06:53"/>
    <n v="36432"/>
    <n v="55"/>
    <n v="55"/>
    <n v="0"/>
    <n v="34"/>
    <n v="34"/>
    <n v="0"/>
    <n v="0"/>
    <n v="1"/>
    <x v="1"/>
    <n v="0"/>
    <n v="0"/>
    <n v="0"/>
    <n v="0"/>
    <n v="956.45"/>
    <n v="0"/>
    <n v="956.45"/>
    <m/>
    <m/>
  </r>
  <r>
    <n v="196"/>
    <x v="8"/>
    <s v="HINJEWADI"/>
    <s v="SLK1"/>
    <x v="0"/>
    <x v="14"/>
    <s v="ACE"/>
    <s v="CNG"/>
    <n v="6"/>
    <n v="8"/>
    <x v="1"/>
    <n v="2000"/>
    <n v="55"/>
    <n v="31"/>
    <s v="PUN01 NC Cluster 303"/>
    <m/>
    <d v="1899-12-30T02:41:00"/>
    <d v="1899-12-30T04:27:49"/>
    <n v="32618"/>
    <d v="1899-12-30T08:27:50"/>
    <d v="1899-12-30T08:27:59"/>
    <n v="32698"/>
    <n v="33"/>
    <n v="33"/>
    <n v="0"/>
    <n v="80"/>
    <n v="80"/>
    <n v="0"/>
    <n v="0"/>
    <n v="0"/>
    <x v="0"/>
    <n v="0"/>
    <n v="0"/>
    <n v="0"/>
    <n v="0"/>
    <n v="1064.52"/>
    <n v="0"/>
    <n v="1064.52"/>
    <m/>
    <m/>
  </r>
  <r>
    <n v="197"/>
    <x v="8"/>
    <s v="HINJEWADI"/>
    <s v="SLK1"/>
    <x v="0"/>
    <x v="15"/>
    <s v="ACE"/>
    <s v="CNG"/>
    <n v="4"/>
    <n v="8"/>
    <x v="0"/>
    <n v="1000"/>
    <n v="55"/>
    <n v="31"/>
    <s v="PUN01 NC Cluster 62"/>
    <m/>
    <d v="1899-12-30T01:04:00"/>
    <d v="1899-12-30T04:27:08"/>
    <n v="37917"/>
    <d v="1899-12-30T07:37:53"/>
    <d v="1899-12-30T07:38:00"/>
    <n v="37944"/>
    <n v="33"/>
    <n v="33"/>
    <n v="0"/>
    <n v="27"/>
    <n v="27"/>
    <n v="0"/>
    <n v="0"/>
    <n v="0"/>
    <x v="0"/>
    <n v="0"/>
    <n v="0"/>
    <n v="0"/>
    <n v="0"/>
    <n v="806.45"/>
    <n v="0"/>
    <n v="806.45"/>
    <m/>
    <m/>
  </r>
  <r>
    <n v="198"/>
    <x v="8"/>
    <s v="HINJEWADI"/>
    <s v="SLK1"/>
    <x v="0"/>
    <x v="17"/>
    <s v="ACE"/>
    <s v="CNG"/>
    <n v="4"/>
    <n v="8"/>
    <x v="0"/>
    <n v="1000"/>
    <n v="55"/>
    <n v="31"/>
    <s v="PUN01 NC Cluster 201"/>
    <m/>
    <d v="1899-12-30T01:53:00"/>
    <d v="1899-12-30T04:28:14"/>
    <n v="6859"/>
    <d v="1899-12-30T09:20:07"/>
    <d v="1899-12-30T09:20:51"/>
    <n v="6901"/>
    <n v="0"/>
    <n v="0"/>
    <n v="0"/>
    <n v="42"/>
    <n v="42"/>
    <n v="0"/>
    <n v="0"/>
    <n v="2"/>
    <x v="2"/>
    <n v="0"/>
    <n v="0"/>
    <n v="0"/>
    <n v="0"/>
    <n v="1106.45"/>
    <n v="0"/>
    <n v="1106.45"/>
    <m/>
    <m/>
  </r>
  <r>
    <n v="199"/>
    <x v="8"/>
    <s v="HINJEWADI"/>
    <s v="SLK1"/>
    <x v="0"/>
    <x v="18"/>
    <s v="ACE"/>
    <s v="CNG"/>
    <n v="4"/>
    <n v="8"/>
    <x v="0"/>
    <n v="1000"/>
    <n v="55"/>
    <n v="31"/>
    <s v="PUN01 NC Cluster 59"/>
    <m/>
    <d v="1899-12-30T01:03:00"/>
    <d v="1899-12-30T04:26:49"/>
    <n v="4161"/>
    <d v="1899-12-30T07:38:36"/>
    <d v="1899-12-30T07:38:42"/>
    <n v="4176"/>
    <n v="29"/>
    <n v="29"/>
    <n v="0"/>
    <n v="15"/>
    <n v="15"/>
    <n v="0"/>
    <n v="0"/>
    <n v="0"/>
    <x v="0"/>
    <n v="0"/>
    <n v="0"/>
    <n v="0"/>
    <n v="0"/>
    <n v="806.45"/>
    <n v="0"/>
    <n v="806.45"/>
    <m/>
    <m/>
  </r>
  <r>
    <n v="200"/>
    <x v="8"/>
    <s v="HINJEWADI"/>
    <s v="SLK1"/>
    <x v="0"/>
    <x v="26"/>
    <s v="ACE"/>
    <s v="CNG"/>
    <n v="4"/>
    <n v="8"/>
    <x v="0"/>
    <n v="1000"/>
    <n v="55"/>
    <n v="31"/>
    <s v="PUN01 NC Cluster 124"/>
    <m/>
    <d v="1899-12-30T02:51:00"/>
    <d v="1899-12-30T04:41:48"/>
    <n v="41116"/>
    <d v="1899-12-30T07:41:14"/>
    <d v="1899-12-30T07:41:26"/>
    <n v="41150"/>
    <n v="50"/>
    <n v="50"/>
    <n v="0"/>
    <n v="34"/>
    <n v="34"/>
    <n v="0"/>
    <n v="0"/>
    <n v="0"/>
    <x v="0"/>
    <n v="0"/>
    <n v="0"/>
    <n v="0"/>
    <n v="0"/>
    <n v="806.45"/>
    <n v="0"/>
    <n v="806.45"/>
    <m/>
    <m/>
  </r>
  <r>
    <n v="201"/>
    <x v="8"/>
    <s v="HINJEWADI"/>
    <s v="SLK1"/>
    <x v="0"/>
    <x v="19"/>
    <s v="BOLERO"/>
    <s v="DIESEL"/>
    <n v="4"/>
    <n v="10"/>
    <x v="2"/>
    <n v="1000"/>
    <n v="55"/>
    <n v="31"/>
    <s v="PUN01 NC Cluster 73A"/>
    <m/>
    <d v="1899-12-30T02:47:00"/>
    <d v="1899-12-30T04:29:05"/>
    <n v="32327"/>
    <d v="1899-12-30T08:33:53"/>
    <d v="1899-12-30T08:34:02"/>
    <n v="32339"/>
    <n v="39"/>
    <n v="39"/>
    <n v="0"/>
    <n v="12"/>
    <n v="12"/>
    <n v="0"/>
    <n v="0"/>
    <n v="1"/>
    <x v="1"/>
    <n v="0"/>
    <n v="0"/>
    <n v="0"/>
    <n v="0"/>
    <n v="1085.48"/>
    <n v="0"/>
    <n v="1085.48"/>
    <m/>
    <m/>
  </r>
  <r>
    <n v="202"/>
    <x v="8"/>
    <s v="HINJEWADI"/>
    <s v="SLK1"/>
    <x v="0"/>
    <x v="20"/>
    <s v="BOLERO"/>
    <s v="DIESEL"/>
    <n v="4"/>
    <n v="10"/>
    <x v="2"/>
    <n v="1000"/>
    <n v="55"/>
    <n v="31"/>
    <s v="PUN01 NC Cluster 13"/>
    <m/>
    <d v="1899-12-30T03:02:00"/>
    <d v="1899-12-30T04:28:24"/>
    <n v="38287"/>
    <d v="1899-12-30T09:22:16"/>
    <d v="1899-12-30T09:25:14"/>
    <n v="38308"/>
    <n v="35"/>
    <n v="35"/>
    <n v="0"/>
    <n v="21"/>
    <n v="21"/>
    <n v="0"/>
    <n v="0"/>
    <n v="2"/>
    <x v="2"/>
    <n v="0"/>
    <n v="0"/>
    <n v="0"/>
    <n v="0"/>
    <n v="1235.48"/>
    <n v="0"/>
    <n v="1235.48"/>
    <m/>
    <m/>
  </r>
  <r>
    <n v="203"/>
    <x v="8"/>
    <s v="HINJEWADI"/>
    <s v="SLK1"/>
    <x v="0"/>
    <x v="31"/>
    <s v="BOLERO"/>
    <s v="DIESEL"/>
    <n v="4"/>
    <n v="10"/>
    <x v="2"/>
    <n v="1000"/>
    <n v="55"/>
    <n v="31"/>
    <s v="PUN01 NC Cluster 135"/>
    <m/>
    <d v="1899-12-30T02:54:00"/>
    <d v="1899-12-30T04:43:07"/>
    <n v="60186"/>
    <d v="1899-12-30T07:49:45"/>
    <d v="1899-12-30T07:49:52"/>
    <n v="60214"/>
    <n v="47"/>
    <n v="47"/>
    <n v="0"/>
    <n v="28"/>
    <n v="28"/>
    <n v="0"/>
    <n v="0"/>
    <n v="0"/>
    <x v="0"/>
    <n v="0"/>
    <n v="0"/>
    <n v="0"/>
    <n v="0"/>
    <n v="935.48"/>
    <n v="0"/>
    <n v="935.48"/>
    <m/>
    <m/>
  </r>
  <r>
    <n v="204"/>
    <x v="8"/>
    <s v="HINJEWADI"/>
    <s v="SLK1"/>
    <x v="0"/>
    <x v="21"/>
    <s v="BOLERO"/>
    <s v="DIESEL"/>
    <n v="4"/>
    <n v="10"/>
    <x v="2"/>
    <n v="1000"/>
    <n v="55"/>
    <n v="31"/>
    <s v="PUN01 NC Cluster 175"/>
    <m/>
    <d v="1899-12-30T02:46:00"/>
    <d v="1899-12-30T04:42:12"/>
    <n v="2888"/>
    <d v="1899-12-30T11:04:30"/>
    <d v="1899-12-30T11:04:39"/>
    <n v="2914"/>
    <n v="23"/>
    <n v="23"/>
    <n v="0"/>
    <n v="26"/>
    <n v="26"/>
    <n v="0"/>
    <n v="0"/>
    <n v="4"/>
    <x v="4"/>
    <n v="0"/>
    <n v="0"/>
    <n v="0"/>
    <n v="0"/>
    <n v="1535.48"/>
    <n v="0"/>
    <n v="1535.48"/>
    <m/>
    <m/>
  </r>
  <r>
    <n v="205"/>
    <x v="8"/>
    <s v="HINJEWADI"/>
    <s v="SLK1"/>
    <x v="0"/>
    <x v="22"/>
    <s v="BOLERO"/>
    <s v="DIESEL"/>
    <n v="4"/>
    <n v="10"/>
    <x v="2"/>
    <n v="1000"/>
    <n v="55"/>
    <n v="31"/>
    <s v="PUN01 NC Cluster 23"/>
    <m/>
    <d v="1899-12-30T02:07:00"/>
    <d v="1899-12-30T07:21:34"/>
    <n v="138901"/>
    <d v="1899-12-30T08:07:36"/>
    <d v="1899-12-30T08:21:27"/>
    <n v="138968"/>
    <n v="13"/>
    <n v="13"/>
    <n v="0"/>
    <n v="67"/>
    <n v="67"/>
    <n v="0"/>
    <n v="0"/>
    <n v="1"/>
    <x v="1"/>
    <n v="0"/>
    <n v="0"/>
    <n v="0"/>
    <n v="0"/>
    <n v="1085.48"/>
    <n v="0"/>
    <n v="1085.48"/>
    <m/>
    <m/>
  </r>
  <r>
    <n v="206"/>
    <x v="9"/>
    <s v="HINJEWADI"/>
    <s v="SLK1"/>
    <x v="0"/>
    <x v="0"/>
    <s v="ACE"/>
    <s v="CNG"/>
    <n v="4"/>
    <n v="8"/>
    <x v="0"/>
    <n v="1000"/>
    <n v="55"/>
    <n v="31"/>
    <s v="PUN01 NC Cluster 59"/>
    <m/>
    <d v="1899-12-30T01:14:00"/>
    <d v="1899-12-30T04:16:48"/>
    <n v="56492"/>
    <d v="1899-12-30T08:33:13"/>
    <d v="1899-12-30T08:33:24"/>
    <n v="56514"/>
    <n v="25"/>
    <n v="25"/>
    <n v="0"/>
    <n v="22"/>
    <n v="22"/>
    <n v="0"/>
    <n v="0"/>
    <n v="1"/>
    <x v="1"/>
    <n v="0"/>
    <n v="0"/>
    <n v="0"/>
    <n v="0"/>
    <n v="956.45"/>
    <n v="0"/>
    <n v="956.45"/>
    <m/>
    <m/>
  </r>
  <r>
    <n v="207"/>
    <x v="9"/>
    <s v="HINJEWADI"/>
    <s v="SLK1"/>
    <x v="0"/>
    <x v="1"/>
    <s v="ACE"/>
    <s v="CNG"/>
    <n v="4"/>
    <n v="8"/>
    <x v="0"/>
    <n v="1000"/>
    <n v="55"/>
    <n v="31"/>
    <s v="PUN01 NC Cluster 73"/>
    <m/>
    <d v="1899-12-30T03:13:00"/>
    <d v="1899-12-30T04:21:51"/>
    <n v="191370"/>
    <d v="1899-12-30T07:21:50"/>
    <d v="1899-12-30T07:21:59"/>
    <n v="191390"/>
    <n v="18"/>
    <n v="18"/>
    <n v="0"/>
    <n v="20"/>
    <n v="20"/>
    <n v="0"/>
    <n v="0"/>
    <n v="0"/>
    <x v="0"/>
    <n v="0"/>
    <n v="0"/>
    <n v="0"/>
    <n v="0"/>
    <n v="806.45"/>
    <n v="0"/>
    <n v="806.45"/>
    <m/>
    <m/>
  </r>
  <r>
    <n v="208"/>
    <x v="9"/>
    <s v="HINJEWADI"/>
    <s v="SLK1"/>
    <x v="0"/>
    <x v="29"/>
    <s v="ACE"/>
    <s v="CNG"/>
    <n v="4"/>
    <n v="8"/>
    <x v="0"/>
    <n v="1000"/>
    <n v="55"/>
    <n v="31"/>
    <s v="PUN01 NC Cluster 128"/>
    <m/>
    <d v="1899-12-30T01:09:00"/>
    <d v="1899-12-30T04:25:17"/>
    <n v="110058"/>
    <d v="1899-12-30T07:56:57"/>
    <d v="1899-12-30T07:57:04"/>
    <n v="110099"/>
    <n v="56"/>
    <n v="56"/>
    <n v="0"/>
    <n v="41"/>
    <n v="41"/>
    <n v="0"/>
    <n v="0"/>
    <n v="0"/>
    <x v="0"/>
    <n v="0"/>
    <n v="0"/>
    <n v="0"/>
    <n v="0"/>
    <n v="806.45"/>
    <n v="0"/>
    <n v="806.45"/>
    <m/>
    <m/>
  </r>
  <r>
    <n v="209"/>
    <x v="9"/>
    <s v="HINJEWADI"/>
    <s v="SLK1"/>
    <x v="0"/>
    <x v="2"/>
    <s v="ACE"/>
    <s v="CNG"/>
    <n v="6"/>
    <n v="8"/>
    <x v="1"/>
    <n v="2000"/>
    <n v="55"/>
    <n v="31"/>
    <s v="PUN01 NC Cluster 230"/>
    <m/>
    <d v="1899-12-30T01:18:00"/>
    <d v="1899-12-30T04:20:38"/>
    <n v="99244"/>
    <d v="1899-12-30T07:21:26"/>
    <d v="1899-12-30T07:21:39"/>
    <n v="99286"/>
    <n v="65"/>
    <n v="65"/>
    <n v="0"/>
    <n v="42"/>
    <n v="42"/>
    <n v="0"/>
    <n v="0"/>
    <n v="0"/>
    <x v="0"/>
    <n v="0"/>
    <n v="0"/>
    <n v="0"/>
    <n v="0"/>
    <n v="1064.52"/>
    <n v="0"/>
    <n v="1064.52"/>
    <m/>
    <m/>
  </r>
  <r>
    <n v="210"/>
    <x v="9"/>
    <s v="HINJEWADI"/>
    <s v="SLK1"/>
    <x v="0"/>
    <x v="3"/>
    <s v="ACE"/>
    <s v="CNG"/>
    <n v="4"/>
    <n v="8"/>
    <x v="0"/>
    <n v="1000"/>
    <n v="55"/>
    <n v="31"/>
    <s v="PUN01 NC Cluster 19"/>
    <m/>
    <d v="1899-12-30T01:27:00"/>
    <d v="1899-12-30T04:32:04"/>
    <n v="83807"/>
    <d v="1899-12-30T07:28:45"/>
    <d v="1899-12-30T07:29:06"/>
    <n v="83828"/>
    <n v="18"/>
    <n v="18"/>
    <n v="0"/>
    <n v="21"/>
    <n v="21"/>
    <n v="0"/>
    <n v="0"/>
    <n v="0"/>
    <x v="0"/>
    <n v="0"/>
    <n v="0"/>
    <n v="0"/>
    <n v="0"/>
    <n v="806.45"/>
    <n v="0"/>
    <n v="806.45"/>
    <m/>
    <m/>
  </r>
  <r>
    <n v="211"/>
    <x v="9"/>
    <s v="HINJEWADI"/>
    <s v="SLK1"/>
    <x v="0"/>
    <x v="30"/>
    <s v="ACE"/>
    <s v="CNG"/>
    <n v="4"/>
    <n v="8"/>
    <x v="0"/>
    <n v="1000"/>
    <n v="55"/>
    <n v="31"/>
    <s v="PUN01 NC Cluster 137"/>
    <m/>
    <d v="1899-12-30T01:09:00"/>
    <d v="1899-12-30T04:22:31"/>
    <n v="37500"/>
    <d v="1899-12-30T07:53:58"/>
    <d v="1899-12-30T07:54:43"/>
    <n v="37533"/>
    <n v="53"/>
    <n v="53"/>
    <n v="0"/>
    <n v="33"/>
    <n v="33"/>
    <n v="0"/>
    <n v="0"/>
    <n v="0"/>
    <x v="0"/>
    <n v="0"/>
    <n v="0"/>
    <n v="0"/>
    <n v="0"/>
    <n v="806.45"/>
    <n v="0"/>
    <n v="806.45"/>
    <m/>
    <m/>
  </r>
  <r>
    <n v="212"/>
    <x v="9"/>
    <s v="HINJEWADI"/>
    <s v="SLK1"/>
    <x v="0"/>
    <x v="4"/>
    <s v="ACE"/>
    <s v="CNG"/>
    <n v="4"/>
    <n v="8"/>
    <x v="0"/>
    <n v="1000"/>
    <n v="55"/>
    <n v="31"/>
    <s v="PUN01 NC Cluster 36"/>
    <m/>
    <d v="1899-12-30T03:02:00"/>
    <d v="1899-12-30T04:19:37"/>
    <n v="11653"/>
    <d v="1899-12-30T09:40:49"/>
    <d v="1899-12-30T09:41:34"/>
    <n v="11672"/>
    <n v="23"/>
    <n v="39"/>
    <n v="-16"/>
    <n v="19"/>
    <n v="19"/>
    <n v="0"/>
    <n v="0"/>
    <n v="2"/>
    <x v="2"/>
    <n v="0"/>
    <n v="0"/>
    <n v="0"/>
    <n v="0"/>
    <n v="1106.45"/>
    <n v="0"/>
    <n v="1106.45"/>
    <m/>
    <m/>
  </r>
  <r>
    <n v="213"/>
    <x v="9"/>
    <s v="HINJEWADI"/>
    <s v="SLK1"/>
    <x v="0"/>
    <x v="5"/>
    <s v="ACE"/>
    <s v="CNG"/>
    <n v="4"/>
    <n v="8"/>
    <x v="0"/>
    <n v="1000"/>
    <n v="55"/>
    <n v="31"/>
    <s v="PUN01 NC Cluster 87"/>
    <m/>
    <d v="1899-12-30T02:52:00"/>
    <d v="1899-12-30T04:17:02"/>
    <n v="145239"/>
    <d v="1899-12-30T07:13:21"/>
    <d v="1899-12-30T07:13:38"/>
    <n v="145256"/>
    <n v="31"/>
    <n v="32"/>
    <n v="-1"/>
    <n v="17"/>
    <n v="17"/>
    <n v="0"/>
    <n v="0"/>
    <n v="0"/>
    <x v="0"/>
    <n v="0"/>
    <n v="0"/>
    <n v="0"/>
    <n v="0"/>
    <n v="806.45"/>
    <n v="0"/>
    <n v="806.45"/>
    <m/>
    <m/>
  </r>
  <r>
    <n v="214"/>
    <x v="9"/>
    <s v="HINJEWADI"/>
    <s v="SLK1"/>
    <x v="0"/>
    <x v="6"/>
    <s v="ACE"/>
    <s v="CNG"/>
    <n v="4"/>
    <n v="8"/>
    <x v="0"/>
    <n v="1000"/>
    <n v="55"/>
    <n v="31"/>
    <s v="PUN01 NC Cluster 10"/>
    <m/>
    <d v="1899-12-30T02:01:00"/>
    <d v="1899-12-30T04:22:25"/>
    <n v="142716"/>
    <d v="1899-12-30T08:58:10"/>
    <d v="1899-12-30T09:03:16"/>
    <n v="142738"/>
    <n v="56"/>
    <n v="56"/>
    <n v="0"/>
    <n v="22"/>
    <n v="22"/>
    <n v="0"/>
    <n v="0"/>
    <n v="1"/>
    <x v="1"/>
    <n v="0"/>
    <n v="0"/>
    <n v="0"/>
    <n v="0"/>
    <n v="956.45"/>
    <n v="0"/>
    <n v="956.45"/>
    <m/>
    <m/>
  </r>
  <r>
    <n v="215"/>
    <x v="9"/>
    <s v="HINJEWADI"/>
    <s v="SLK1"/>
    <x v="0"/>
    <x v="7"/>
    <s v="ACE"/>
    <s v="CNG"/>
    <n v="4"/>
    <n v="8"/>
    <x v="0"/>
    <n v="1000"/>
    <n v="55"/>
    <n v="31"/>
    <s v="PUN01 NC Cluster 1"/>
    <m/>
    <d v="1899-12-30T03:00:00"/>
    <d v="1899-12-30T06:52:29"/>
    <n v="158729"/>
    <d v="1899-12-30T06:52:47"/>
    <d v="1899-12-30T06:54:09"/>
    <n v="158729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216"/>
    <x v="9"/>
    <s v="HINJEWADI"/>
    <s v="SLK1"/>
    <x v="0"/>
    <x v="23"/>
    <s v="ACE"/>
    <s v="CNG"/>
    <n v="4"/>
    <n v="8"/>
    <x v="0"/>
    <n v="1000"/>
    <n v="55"/>
    <n v="31"/>
    <s v="PUN01 NC Cluster 3"/>
    <m/>
    <d v="1899-12-30T03:01:00"/>
    <d v="1899-12-30T04:19:17"/>
    <n v="77701"/>
    <d v="1899-12-30T07:07:48"/>
    <d v="1899-12-30T07:08:19"/>
    <n v="77710"/>
    <n v="39"/>
    <n v="39"/>
    <n v="0"/>
    <n v="9"/>
    <n v="9"/>
    <n v="0"/>
    <n v="0"/>
    <n v="0"/>
    <x v="0"/>
    <n v="0"/>
    <n v="0"/>
    <n v="0"/>
    <n v="0"/>
    <n v="806.45"/>
    <n v="0"/>
    <n v="806.45"/>
    <m/>
    <m/>
  </r>
  <r>
    <n v="217"/>
    <x v="9"/>
    <s v="HINJEWADI"/>
    <s v="SLK1"/>
    <x v="0"/>
    <x v="9"/>
    <s v="ACE"/>
    <s v="CNG"/>
    <n v="6"/>
    <n v="8"/>
    <x v="1"/>
    <n v="2000"/>
    <n v="55"/>
    <n v="31"/>
    <s v="PUN01 NC Cluster 299"/>
    <m/>
    <d v="1899-12-30T03:04:00"/>
    <d v="1899-12-30T04:22:37"/>
    <n v="47587"/>
    <d v="1899-12-30T09:36:42"/>
    <d v="1899-12-30T09:37:38"/>
    <n v="47685"/>
    <n v="35"/>
    <n v="29"/>
    <n v="6"/>
    <n v="98"/>
    <n v="98"/>
    <n v="0"/>
    <n v="0"/>
    <n v="1"/>
    <x v="1"/>
    <n v="1"/>
    <n v="150"/>
    <n v="0"/>
    <n v="0"/>
    <n v="1214.52"/>
    <n v="150"/>
    <n v="1064.52"/>
    <m/>
    <m/>
  </r>
  <r>
    <n v="218"/>
    <x v="9"/>
    <s v="HINJEWADI"/>
    <s v="SLK1"/>
    <x v="0"/>
    <x v="25"/>
    <s v="ACE"/>
    <s v="CNG"/>
    <n v="4"/>
    <n v="8"/>
    <x v="0"/>
    <n v="1000"/>
    <n v="55"/>
    <n v="31"/>
    <s v="PUN01 NC Cluster 200"/>
    <m/>
    <d v="1899-12-30T02:08:00"/>
    <d v="1899-12-30T04:15:41"/>
    <n v="117687"/>
    <d v="1899-12-30T10:51:19"/>
    <d v="1899-12-30T10:52:04"/>
    <n v="117733"/>
    <n v="39"/>
    <n v="66"/>
    <n v="-27"/>
    <n v="46"/>
    <n v="46"/>
    <n v="0"/>
    <n v="0"/>
    <n v="3"/>
    <x v="3"/>
    <n v="0"/>
    <n v="0"/>
    <n v="0"/>
    <n v="0"/>
    <n v="1256.45"/>
    <n v="0"/>
    <n v="1256.45"/>
    <m/>
    <m/>
  </r>
  <r>
    <n v="219"/>
    <x v="9"/>
    <s v="HINJEWADI"/>
    <s v="SLK1"/>
    <x v="0"/>
    <x v="12"/>
    <s v="ACE"/>
    <s v="CNG"/>
    <n v="4"/>
    <n v="8"/>
    <x v="0"/>
    <n v="1000"/>
    <n v="55"/>
    <n v="31"/>
    <s v="PUN01 NC Cluster 42"/>
    <m/>
    <d v="1899-12-30T01:13:00"/>
    <d v="1899-12-30T04:16:06"/>
    <n v="83276"/>
    <d v="1899-12-30T08:20:32"/>
    <d v="1899-12-30T08:23:04"/>
    <n v="83295"/>
    <n v="36"/>
    <n v="36"/>
    <n v="0"/>
    <n v="19"/>
    <n v="19"/>
    <n v="0"/>
    <n v="0"/>
    <n v="1"/>
    <x v="1"/>
    <n v="0"/>
    <n v="0"/>
    <n v="0"/>
    <n v="0"/>
    <n v="956.45"/>
    <n v="0"/>
    <n v="956.45"/>
    <m/>
    <m/>
  </r>
  <r>
    <n v="220"/>
    <x v="9"/>
    <s v="HINJEWADI"/>
    <s v="SLK1"/>
    <x v="0"/>
    <x v="13"/>
    <s v="ACE"/>
    <s v="CNG"/>
    <n v="4"/>
    <n v="8"/>
    <x v="0"/>
    <n v="1000"/>
    <n v="55"/>
    <n v="31"/>
    <s v="PUN01 NC Cluster 124"/>
    <m/>
    <d v="1899-12-30T02:13:00"/>
    <d v="1899-12-30T04:24:51"/>
    <n v="36489"/>
    <d v="1899-12-30T07:57:43"/>
    <d v="1899-12-30T07:57:49"/>
    <n v="36522"/>
    <n v="44"/>
    <n v="44"/>
    <n v="0"/>
    <n v="33"/>
    <n v="33"/>
    <n v="0"/>
    <n v="0"/>
    <n v="0"/>
    <x v="0"/>
    <n v="0"/>
    <n v="0"/>
    <n v="0"/>
    <n v="0"/>
    <n v="806.45"/>
    <n v="0"/>
    <n v="806.45"/>
    <m/>
    <m/>
  </r>
  <r>
    <n v="221"/>
    <x v="9"/>
    <s v="HINJEWADI"/>
    <s v="SLK1"/>
    <x v="0"/>
    <x v="14"/>
    <s v="ACE"/>
    <s v="CNG"/>
    <n v="6"/>
    <n v="8"/>
    <x v="1"/>
    <n v="2000"/>
    <n v="55"/>
    <n v="31"/>
    <s v="PUN01 NC Cluster 303"/>
    <m/>
    <d v="1899-12-30T00:49:00"/>
    <d v="1899-12-30T04:34:27"/>
    <n v="32775"/>
    <d v="1899-12-30T08:00:22"/>
    <d v="1899-12-30T08:00:28"/>
    <n v="32844"/>
    <n v="30"/>
    <n v="30"/>
    <n v="0"/>
    <n v="69"/>
    <n v="69"/>
    <n v="0"/>
    <n v="0"/>
    <n v="0"/>
    <x v="0"/>
    <n v="0"/>
    <n v="0"/>
    <n v="0"/>
    <n v="0"/>
    <n v="1064.52"/>
    <n v="0"/>
    <n v="1064.52"/>
    <m/>
    <m/>
  </r>
  <r>
    <n v="222"/>
    <x v="9"/>
    <s v="HINJEWADI"/>
    <s v="SLK1"/>
    <x v="0"/>
    <x v="15"/>
    <s v="ACE"/>
    <s v="CNG"/>
    <n v="4"/>
    <n v="8"/>
    <x v="0"/>
    <n v="1000"/>
    <n v="55"/>
    <n v="31"/>
    <s v="PUN01 NC Cluster 39"/>
    <m/>
    <d v="1899-12-30T01:14:00"/>
    <d v="1899-12-30T04:19:05"/>
    <n v="38107"/>
    <d v="1899-12-30T09:10:36"/>
    <d v="1899-12-30T09:10:44"/>
    <n v="38128"/>
    <n v="53"/>
    <n v="53"/>
    <n v="0"/>
    <n v="21"/>
    <n v="21"/>
    <n v="0"/>
    <n v="0"/>
    <n v="2"/>
    <x v="2"/>
    <n v="0"/>
    <n v="0"/>
    <n v="0"/>
    <n v="0"/>
    <n v="1106.45"/>
    <n v="0"/>
    <n v="1106.45"/>
    <m/>
    <m/>
  </r>
  <r>
    <n v="223"/>
    <x v="9"/>
    <s v="HINJEWADI"/>
    <s v="SLK1"/>
    <x v="0"/>
    <x v="17"/>
    <s v="ACE"/>
    <s v="CNG"/>
    <n v="4"/>
    <n v="8"/>
    <x v="0"/>
    <n v="1000"/>
    <n v="55"/>
    <n v="31"/>
    <s v="PUN01 NC Cluster 201"/>
    <m/>
    <d v="1899-12-30T01:11:00"/>
    <d v="1899-12-30T04:15:29"/>
    <n v="6939"/>
    <d v="1899-12-30T11:43:12"/>
    <d v="1899-12-30T11:43:36"/>
    <n v="6980"/>
    <n v="20"/>
    <n v="42"/>
    <n v="-22"/>
    <n v="41"/>
    <n v="41"/>
    <n v="0"/>
    <n v="0"/>
    <n v="4"/>
    <x v="4"/>
    <n v="0"/>
    <n v="0"/>
    <n v="0"/>
    <n v="0"/>
    <n v="1406.45"/>
    <n v="0"/>
    <n v="1406.45"/>
    <m/>
    <m/>
  </r>
  <r>
    <n v="224"/>
    <x v="9"/>
    <s v="HINJEWADI"/>
    <s v="SLK1"/>
    <x v="0"/>
    <x v="18"/>
    <s v="ACE"/>
    <s v="CNG"/>
    <n v="4"/>
    <n v="8"/>
    <x v="0"/>
    <n v="1000"/>
    <n v="55"/>
    <n v="31"/>
    <s v="PUN01 NC Cluster 37"/>
    <m/>
    <d v="1899-12-30T01:12:00"/>
    <d v="1899-12-30T04:19:27"/>
    <n v="4244"/>
    <d v="1899-12-30T08:31:34"/>
    <d v="1899-12-30T09:05:43"/>
    <n v="4263"/>
    <n v="16"/>
    <n v="40"/>
    <n v="-24"/>
    <n v="19"/>
    <n v="19"/>
    <n v="0"/>
    <n v="0"/>
    <n v="1"/>
    <x v="1"/>
    <n v="0"/>
    <n v="0"/>
    <n v="0"/>
    <n v="0"/>
    <n v="956.45"/>
    <n v="0"/>
    <n v="956.45"/>
    <m/>
    <m/>
  </r>
  <r>
    <n v="225"/>
    <x v="9"/>
    <s v="HINJEWADI"/>
    <s v="SLK1"/>
    <x v="0"/>
    <x v="26"/>
    <s v="ACE"/>
    <s v="CNG"/>
    <n v="4"/>
    <n v="8"/>
    <x v="0"/>
    <n v="1000"/>
    <n v="55"/>
    <n v="31"/>
    <s v="PUN01 NC Cluster 100"/>
    <m/>
    <d v="1899-12-30T03:22:00"/>
    <d v="1899-12-30T04:29:08"/>
    <n v="41192"/>
    <d v="1899-12-30T07:11:57"/>
    <d v="1899-12-30T07:12:45"/>
    <n v="41217"/>
    <n v="27"/>
    <n v="27"/>
    <n v="0"/>
    <n v="25"/>
    <n v="25"/>
    <n v="0"/>
    <n v="0"/>
    <n v="0"/>
    <x v="0"/>
    <n v="0"/>
    <n v="0"/>
    <n v="0"/>
    <n v="0"/>
    <n v="806.45"/>
    <n v="0"/>
    <n v="806.45"/>
    <m/>
    <m/>
  </r>
  <r>
    <n v="226"/>
    <x v="9"/>
    <s v="HINJEWADI"/>
    <s v="SLK1"/>
    <x v="0"/>
    <x v="19"/>
    <s v="BOLERO"/>
    <s v="DIESEL"/>
    <n v="4"/>
    <n v="10"/>
    <x v="2"/>
    <n v="1000"/>
    <n v="55"/>
    <n v="31"/>
    <s v="PUN01 NC Cluster 72"/>
    <m/>
    <d v="1899-12-30T02:47:00"/>
    <d v="1899-12-30T04:18:22"/>
    <n v="32359"/>
    <d v="1899-12-30T09:10:22"/>
    <d v="1899-12-30T09:11:01"/>
    <n v="32380"/>
    <n v="68"/>
    <n v="68"/>
    <n v="0"/>
    <n v="21"/>
    <n v="21"/>
    <n v="0"/>
    <n v="0"/>
    <n v="2"/>
    <x v="2"/>
    <n v="0"/>
    <n v="0"/>
    <n v="0"/>
    <n v="0"/>
    <n v="1235.48"/>
    <n v="0"/>
    <n v="1235.48"/>
    <m/>
    <m/>
  </r>
  <r>
    <n v="227"/>
    <x v="9"/>
    <s v="HINJEWADI"/>
    <s v="SLK1"/>
    <x v="0"/>
    <x v="20"/>
    <s v="BOLERO"/>
    <s v="DIESEL"/>
    <n v="4"/>
    <n v="10"/>
    <x v="2"/>
    <n v="1000"/>
    <n v="55"/>
    <n v="31"/>
    <s v="PUN01 Cluster 168"/>
    <m/>
    <d v="1899-12-30T01:29:00"/>
    <d v="1899-12-30T04:15:43"/>
    <n v="38383"/>
    <d v="1899-12-30T10:29:52"/>
    <d v="1899-12-30T10:33:01"/>
    <n v="38418"/>
    <n v="34"/>
    <n v="55"/>
    <n v="-21"/>
    <n v="35"/>
    <n v="35"/>
    <n v="0"/>
    <n v="0"/>
    <n v="3"/>
    <x v="3"/>
    <n v="0"/>
    <n v="0"/>
    <n v="0"/>
    <n v="0"/>
    <n v="1385.48"/>
    <n v="0"/>
    <n v="1385.48"/>
    <m/>
    <m/>
  </r>
  <r>
    <n v="228"/>
    <x v="9"/>
    <s v="HINJEWADI"/>
    <s v="SLK1"/>
    <x v="0"/>
    <x v="27"/>
    <s v="BOLERO"/>
    <s v="DIESEL"/>
    <n v="4"/>
    <n v="10"/>
    <x v="2"/>
    <n v="1000"/>
    <n v="55"/>
    <n v="31"/>
    <s v="PUN01 NC Cluster 40"/>
    <m/>
    <d v="1899-12-30T01:11:00"/>
    <d v="1899-12-30T04:17:58"/>
    <n v="19052"/>
    <d v="1899-12-30T08:43:05"/>
    <d v="1899-12-30T08:44:32"/>
    <n v="19074"/>
    <n v="80"/>
    <n v="80"/>
    <n v="0"/>
    <n v="22"/>
    <n v="22"/>
    <n v="0"/>
    <n v="0"/>
    <n v="1"/>
    <x v="1"/>
    <n v="0"/>
    <n v="0"/>
    <n v="0"/>
    <n v="0"/>
    <n v="1085.48"/>
    <n v="0"/>
    <n v="1085.48"/>
    <m/>
    <m/>
  </r>
  <r>
    <n v="229"/>
    <x v="9"/>
    <s v="HINJEWADI"/>
    <s v="SLK1"/>
    <x v="0"/>
    <x v="21"/>
    <s v="BOLERO"/>
    <s v="DIESEL"/>
    <n v="4"/>
    <n v="10"/>
    <x v="2"/>
    <n v="1000"/>
    <n v="55"/>
    <n v="31"/>
    <s v="PUN01 NC Cluster 86"/>
    <m/>
    <d v="1899-12-30T02:47:00"/>
    <d v="1899-12-30T04:21:01"/>
    <n v="2934"/>
    <d v="1899-12-30T07:24:23"/>
    <d v="1899-12-30T07:24:32"/>
    <n v="2952"/>
    <n v="68"/>
    <n v="68"/>
    <n v="0"/>
    <n v="18"/>
    <n v="18"/>
    <n v="0"/>
    <n v="0"/>
    <n v="0"/>
    <x v="0"/>
    <n v="0"/>
    <n v="0"/>
    <n v="0"/>
    <n v="0"/>
    <n v="935.48"/>
    <n v="0"/>
    <n v="935.48"/>
    <m/>
    <m/>
  </r>
  <r>
    <n v="230"/>
    <x v="9"/>
    <s v="HINJEWADI"/>
    <s v="SLK1"/>
    <x v="0"/>
    <x v="22"/>
    <s v="BOLERO"/>
    <s v="DIESEL"/>
    <n v="4"/>
    <n v="10"/>
    <x v="2"/>
    <n v="1000"/>
    <n v="55"/>
    <n v="31"/>
    <s v="PUN01 NC Cluster 102"/>
    <m/>
    <d v="1899-12-30T02:11:00"/>
    <d v="1899-12-30T04:31:08"/>
    <n v="138957"/>
    <d v="1899-12-30T07:54:16"/>
    <d v="1899-12-30T07:54:33"/>
    <n v="138998"/>
    <n v="72"/>
    <n v="72"/>
    <n v="0"/>
    <n v="41"/>
    <n v="41"/>
    <n v="0"/>
    <n v="0"/>
    <n v="0"/>
    <x v="0"/>
    <n v="0"/>
    <n v="0"/>
    <n v="0"/>
    <n v="0"/>
    <n v="935.48"/>
    <n v="0"/>
    <n v="935.48"/>
    <m/>
    <m/>
  </r>
  <r>
    <n v="231"/>
    <x v="10"/>
    <s v="HINJEWADI"/>
    <s v="SLK1"/>
    <x v="0"/>
    <x v="0"/>
    <s v="ACE"/>
    <s v="CNG"/>
    <n v="4"/>
    <n v="8"/>
    <x v="0"/>
    <n v="1000"/>
    <n v="55"/>
    <n v="31"/>
    <s v="PUN01 NC Cluster 1"/>
    <m/>
    <d v="1899-12-30T01:08:00"/>
    <d v="1899-12-30T04:37:39"/>
    <n v="56672"/>
    <d v="1899-12-30T07:43:53"/>
    <d v="1899-12-30T07:44:03"/>
    <n v="56679"/>
    <n v="40"/>
    <n v="40"/>
    <n v="0"/>
    <n v="7"/>
    <n v="7"/>
    <n v="0"/>
    <n v="0"/>
    <n v="0"/>
    <x v="0"/>
    <n v="0"/>
    <n v="0"/>
    <n v="0"/>
    <n v="0"/>
    <n v="806.45"/>
    <n v="0"/>
    <n v="806.45"/>
    <m/>
    <m/>
  </r>
  <r>
    <n v="232"/>
    <x v="10"/>
    <s v="HINJEWADI"/>
    <s v="SLK1"/>
    <x v="0"/>
    <x v="29"/>
    <s v="ACE"/>
    <s v="CNG"/>
    <n v="4"/>
    <n v="8"/>
    <x v="0"/>
    <n v="1000"/>
    <n v="55"/>
    <n v="31"/>
    <s v="PUN01 NC Cluster 2"/>
    <m/>
    <d v="1899-12-30T01:13:00"/>
    <d v="1899-12-30T04:25:00"/>
    <n v="110145"/>
    <d v="1899-12-30T07:45:01"/>
    <d v="1899-12-30T07:45:13"/>
    <n v="110155"/>
    <n v="42"/>
    <n v="42"/>
    <n v="0"/>
    <n v="10"/>
    <n v="10"/>
    <n v="0"/>
    <n v="0"/>
    <n v="0"/>
    <x v="0"/>
    <n v="0"/>
    <n v="0"/>
    <n v="0"/>
    <n v="0"/>
    <n v="806.45"/>
    <n v="0"/>
    <n v="806.45"/>
    <m/>
    <m/>
  </r>
  <r>
    <n v="233"/>
    <x v="10"/>
    <s v="HINJEWADI"/>
    <s v="SLK1"/>
    <x v="0"/>
    <x v="2"/>
    <s v="ACE"/>
    <s v="CNG"/>
    <n v="6"/>
    <n v="8"/>
    <x v="1"/>
    <n v="2000"/>
    <n v="55"/>
    <n v="31"/>
    <s v="PUN01 NC Cluster 228"/>
    <m/>
    <d v="1899-12-30T01:04:00"/>
    <d v="1899-12-30T04:41:10"/>
    <n v="99382"/>
    <d v="1899-12-30T11:05:27"/>
    <d v="1899-12-30T11:05:39"/>
    <n v="99446"/>
    <n v="0"/>
    <n v="50"/>
    <n v="-50"/>
    <n v="64"/>
    <n v="64"/>
    <n v="0"/>
    <n v="0"/>
    <n v="3"/>
    <x v="3"/>
    <n v="0"/>
    <n v="0"/>
    <n v="0"/>
    <n v="0"/>
    <n v="1514.52"/>
    <n v="0"/>
    <n v="1514.52"/>
    <m/>
    <m/>
  </r>
  <r>
    <n v="234"/>
    <x v="10"/>
    <s v="HINJEWADI"/>
    <s v="SLK1"/>
    <x v="0"/>
    <x v="3"/>
    <s v="ACE"/>
    <s v="CNG"/>
    <n v="4"/>
    <n v="8"/>
    <x v="0"/>
    <n v="1000"/>
    <n v="55"/>
    <n v="31"/>
    <s v="PUN01 NC Cluster 97"/>
    <m/>
    <d v="1899-12-30T03:09:00"/>
    <d v="1899-12-30T04:36:51"/>
    <n v="83837"/>
    <d v="1899-12-30T07:54:02"/>
    <d v="1899-12-30T07:54:09"/>
    <n v="83859"/>
    <n v="22"/>
    <n v="22"/>
    <n v="0"/>
    <n v="22"/>
    <n v="22"/>
    <n v="0"/>
    <n v="0"/>
    <n v="0"/>
    <x v="0"/>
    <n v="0"/>
    <n v="0"/>
    <n v="0"/>
    <n v="0"/>
    <n v="806.45"/>
    <n v="0"/>
    <n v="806.45"/>
    <m/>
    <m/>
  </r>
  <r>
    <n v="235"/>
    <x v="10"/>
    <s v="HINJEWADI"/>
    <s v="SLK1"/>
    <x v="0"/>
    <x v="30"/>
    <s v="ACE"/>
    <s v="CNG"/>
    <n v="4"/>
    <n v="8"/>
    <x v="0"/>
    <n v="1000"/>
    <n v="55"/>
    <n v="31"/>
    <s v="PUN01 NC Cluster 18"/>
    <m/>
    <d v="1899-12-30T02:27:00"/>
    <d v="1899-12-30T04:31:01"/>
    <n v="37640"/>
    <d v="1899-12-30T10:09:43"/>
    <d v="1899-12-30T10:09:56"/>
    <n v="37678"/>
    <n v="38"/>
    <n v="38"/>
    <n v="0"/>
    <n v="38"/>
    <n v="38"/>
    <n v="0"/>
    <n v="0"/>
    <n v="3"/>
    <x v="3"/>
    <n v="0"/>
    <n v="0"/>
    <n v="0"/>
    <n v="0"/>
    <n v="1256.45"/>
    <n v="0"/>
    <n v="1256.45"/>
    <m/>
    <m/>
  </r>
  <r>
    <n v="236"/>
    <x v="10"/>
    <s v="HINJEWADI"/>
    <s v="SLK1"/>
    <x v="0"/>
    <x v="4"/>
    <s v="ACE"/>
    <s v="CNG"/>
    <n v="4"/>
    <n v="8"/>
    <x v="0"/>
    <n v="1000"/>
    <n v="55"/>
    <n v="31"/>
    <s v="PUN01 NC Cluster 61"/>
    <m/>
    <d v="1899-12-30T02:58:00"/>
    <d v="1899-12-30T04:42:22"/>
    <n v="11750"/>
    <d v="1899-12-30T10:38:01"/>
    <d v="1899-12-30T10:38:21"/>
    <n v="11788"/>
    <n v="60"/>
    <n v="38"/>
    <n v="22"/>
    <n v="38"/>
    <n v="38"/>
    <n v="0"/>
    <n v="0"/>
    <n v="3"/>
    <x v="3"/>
    <n v="0"/>
    <n v="0"/>
    <n v="0"/>
    <n v="0"/>
    <n v="1256.45"/>
    <n v="0"/>
    <n v="1256.45"/>
    <m/>
    <m/>
  </r>
  <r>
    <n v="237"/>
    <x v="10"/>
    <s v="HINJEWADI"/>
    <s v="SLK1"/>
    <x v="0"/>
    <x v="5"/>
    <s v="ACE"/>
    <s v="CNG"/>
    <n v="4"/>
    <n v="8"/>
    <x v="0"/>
    <n v="1000"/>
    <n v="55"/>
    <n v="31"/>
    <s v="PUN01 NC Cluster 87"/>
    <m/>
    <d v="1899-12-30T02:45:00"/>
    <d v="1899-12-30T04:38:31"/>
    <n v="145260"/>
    <d v="1899-12-30T07:53:44"/>
    <d v="1899-12-30T07:53:50"/>
    <n v="145277"/>
    <n v="29"/>
    <n v="29"/>
    <n v="0"/>
    <n v="17"/>
    <n v="17"/>
    <n v="0"/>
    <n v="0"/>
    <n v="0"/>
    <x v="0"/>
    <n v="0"/>
    <n v="0"/>
    <n v="0"/>
    <n v="0"/>
    <n v="806.45"/>
    <n v="0"/>
    <n v="806.45"/>
    <m/>
    <m/>
  </r>
  <r>
    <n v="238"/>
    <x v="10"/>
    <s v="HINJEWADI"/>
    <s v="SLK1"/>
    <x v="0"/>
    <x v="7"/>
    <s v="ACE"/>
    <s v="CNG"/>
    <n v="4"/>
    <n v="8"/>
    <x v="0"/>
    <n v="1000"/>
    <n v="55"/>
    <n v="31"/>
    <s v="PUN01 NC Cluster 67"/>
    <m/>
    <d v="1899-12-30T03:11:00"/>
    <d v="1899-12-30T04:37:03"/>
    <n v="158922"/>
    <d v="1899-12-30T09:16:36"/>
    <d v="1899-12-30T09:16:51"/>
    <n v="158932"/>
    <n v="30"/>
    <n v="26"/>
    <n v="4"/>
    <n v="10"/>
    <n v="10"/>
    <n v="0"/>
    <n v="0"/>
    <n v="2"/>
    <x v="2"/>
    <n v="0"/>
    <n v="0"/>
    <n v="0"/>
    <n v="0"/>
    <n v="1106.45"/>
    <n v="0"/>
    <n v="1106.45"/>
    <m/>
    <m/>
  </r>
  <r>
    <n v="239"/>
    <x v="10"/>
    <s v="HINJEWADI"/>
    <s v="SLK1"/>
    <x v="0"/>
    <x v="8"/>
    <s v="ACE"/>
    <s v="CNG"/>
    <n v="4"/>
    <n v="8"/>
    <x v="0"/>
    <n v="1000"/>
    <n v="55"/>
    <n v="31"/>
    <s v="PUN01 NC Cluster 39"/>
    <m/>
    <d v="1899-12-30T01:09:00"/>
    <d v="1899-12-30T04:40:45"/>
    <n v="112952"/>
    <d v="1899-12-30T10:24:00"/>
    <d v="1899-12-30T10:24:10"/>
    <n v="112984"/>
    <n v="36"/>
    <n v="29"/>
    <n v="7"/>
    <n v="32"/>
    <n v="32"/>
    <n v="0"/>
    <n v="0"/>
    <n v="3"/>
    <x v="3"/>
    <n v="0"/>
    <n v="0"/>
    <n v="0"/>
    <n v="0"/>
    <n v="1256.45"/>
    <n v="0"/>
    <n v="1256.45"/>
    <m/>
    <m/>
  </r>
  <r>
    <n v="240"/>
    <x v="10"/>
    <s v="HINJEWADI"/>
    <s v="SLK1"/>
    <x v="0"/>
    <x v="24"/>
    <s v="ACE"/>
    <s v="CNG"/>
    <n v="4"/>
    <n v="8"/>
    <x v="0"/>
    <n v="1000"/>
    <n v="55"/>
    <n v="31"/>
    <s v="PUN01 NC Cluster 107"/>
    <m/>
    <d v="1899-12-30T01:30:00"/>
    <d v="1899-12-30T08:02:28"/>
    <n v="87055"/>
    <d v="1899-12-30T08:56:01"/>
    <d v="1899-12-30T08:56:22"/>
    <n v="87055"/>
    <n v="0"/>
    <n v="0"/>
    <n v="0"/>
    <n v="0"/>
    <n v="0"/>
    <n v="0"/>
    <n v="0"/>
    <n v="1"/>
    <x v="1"/>
    <n v="0"/>
    <n v="0"/>
    <n v="0"/>
    <n v="0"/>
    <n v="956.45"/>
    <n v="0"/>
    <n v="956.45"/>
    <m/>
    <m/>
  </r>
  <r>
    <n v="241"/>
    <x v="10"/>
    <s v="HINJEWADI"/>
    <s v="SLK1"/>
    <x v="0"/>
    <x v="12"/>
    <s v="ACE"/>
    <s v="CNG"/>
    <n v="4"/>
    <n v="8"/>
    <x v="0"/>
    <n v="1000"/>
    <n v="55"/>
    <n v="31"/>
    <s v="PUN01 NC Cluster 42"/>
    <m/>
    <d v="1899-12-30T01:09:00"/>
    <d v="1899-12-30T04:40:10"/>
    <n v="83385"/>
    <d v="1899-12-30T08:02:45"/>
    <d v="1899-12-30T08:02:52"/>
    <n v="83405"/>
    <n v="35"/>
    <n v="35"/>
    <n v="0"/>
    <n v="20"/>
    <n v="20"/>
    <n v="0"/>
    <n v="0"/>
    <n v="1"/>
    <x v="1"/>
    <n v="0"/>
    <n v="0"/>
    <n v="0"/>
    <n v="0"/>
    <n v="956.45"/>
    <n v="0"/>
    <n v="956.45"/>
    <m/>
    <m/>
  </r>
  <r>
    <n v="242"/>
    <x v="10"/>
    <s v="HINJEWADI"/>
    <s v="SLK1"/>
    <x v="0"/>
    <x v="13"/>
    <s v="ACE"/>
    <s v="CNG"/>
    <n v="4"/>
    <n v="8"/>
    <x v="0"/>
    <n v="1000"/>
    <n v="55"/>
    <n v="31"/>
    <s v="PUN01 NC Cluster 125"/>
    <m/>
    <d v="1899-12-30T02:12:00"/>
    <d v="1899-12-30T04:26:09"/>
    <n v="36587"/>
    <d v="1899-12-30T07:53:07"/>
    <d v="1899-12-30T07:53:16"/>
    <n v="36617"/>
    <n v="33"/>
    <n v="33"/>
    <n v="0"/>
    <n v="30"/>
    <n v="30"/>
    <n v="0"/>
    <n v="0"/>
    <n v="0"/>
    <x v="0"/>
    <n v="0"/>
    <n v="0"/>
    <n v="0"/>
    <n v="0"/>
    <n v="806.45"/>
    <n v="0"/>
    <n v="806.45"/>
    <m/>
    <m/>
  </r>
  <r>
    <n v="243"/>
    <x v="10"/>
    <s v="HINJEWADI"/>
    <s v="SLK1"/>
    <x v="0"/>
    <x v="14"/>
    <s v="ACE"/>
    <s v="CNG"/>
    <n v="6"/>
    <n v="8"/>
    <x v="1"/>
    <n v="2000"/>
    <n v="55"/>
    <n v="31"/>
    <s v="PUN01 NC Cluster 303"/>
    <m/>
    <d v="1899-12-30T02:32:00"/>
    <d v="1899-12-30T04:37:47"/>
    <n v="32915"/>
    <d v="1899-12-30T07:46:42"/>
    <d v="1899-12-30T07:46:53"/>
    <n v="32986"/>
    <n v="43"/>
    <n v="43"/>
    <n v="0"/>
    <n v="71"/>
    <n v="71"/>
    <n v="0"/>
    <n v="0"/>
    <n v="0"/>
    <x v="0"/>
    <n v="0"/>
    <n v="0"/>
    <n v="0"/>
    <n v="0"/>
    <n v="1064.52"/>
    <n v="0"/>
    <n v="1064.52"/>
    <m/>
    <m/>
  </r>
  <r>
    <n v="244"/>
    <x v="10"/>
    <s v="HINJEWADI"/>
    <s v="SLK1"/>
    <x v="0"/>
    <x v="15"/>
    <s v="ACE"/>
    <s v="CNG"/>
    <n v="4"/>
    <n v="8"/>
    <x v="0"/>
    <n v="1000"/>
    <n v="55"/>
    <n v="31"/>
    <s v="PUN01 NC Cluster 38"/>
    <m/>
    <d v="1899-12-30T02:13:00"/>
    <d v="1899-12-30T04:39:58"/>
    <n v="38199"/>
    <d v="1899-12-30T10:06:53"/>
    <d v="1899-12-30T10:07:07"/>
    <n v="38235"/>
    <n v="10"/>
    <n v="58"/>
    <n v="-48"/>
    <n v="36"/>
    <n v="36"/>
    <n v="0"/>
    <n v="0"/>
    <n v="3"/>
    <x v="3"/>
    <n v="0"/>
    <n v="0"/>
    <n v="0"/>
    <n v="0"/>
    <n v="1256.45"/>
    <n v="0"/>
    <n v="1256.45"/>
    <m/>
    <m/>
  </r>
  <r>
    <n v="245"/>
    <x v="10"/>
    <s v="HINJEWADI"/>
    <s v="SLK1"/>
    <x v="0"/>
    <x v="17"/>
    <s v="ACE"/>
    <s v="CNG"/>
    <n v="4"/>
    <n v="8"/>
    <x v="0"/>
    <n v="1000"/>
    <n v="55"/>
    <n v="31"/>
    <s v="PUN01 NC Cluster 200"/>
    <m/>
    <d v="1899-12-30T01:10:00"/>
    <d v="1899-12-30T04:29:44"/>
    <n v="7013"/>
    <d v="1899-12-30T08:09:29"/>
    <d v="1899-12-30T08:09:37"/>
    <n v="7040"/>
    <n v="55"/>
    <n v="55"/>
    <n v="0"/>
    <n v="27"/>
    <n v="27"/>
    <n v="0"/>
    <n v="0"/>
    <n v="1"/>
    <x v="1"/>
    <n v="0"/>
    <n v="0"/>
    <n v="0"/>
    <n v="0"/>
    <n v="956.45"/>
    <n v="0"/>
    <n v="956.45"/>
    <m/>
    <m/>
  </r>
  <r>
    <n v="246"/>
    <x v="10"/>
    <s v="HINJEWADI"/>
    <s v="SLK1"/>
    <x v="0"/>
    <x v="18"/>
    <s v="ACE"/>
    <s v="CNG"/>
    <n v="4"/>
    <n v="8"/>
    <x v="0"/>
    <n v="1000"/>
    <n v="55"/>
    <n v="31"/>
    <s v="PUN01 NC Cluster 36"/>
    <m/>
    <d v="1899-12-30T02:14:00"/>
    <d v="1899-12-30T04:42:06"/>
    <n v="4423"/>
    <d v="1899-12-30T08:46:54"/>
    <d v="1899-12-30T08:47:04"/>
    <n v="4485"/>
    <n v="41"/>
    <n v="41"/>
    <n v="0"/>
    <n v="62"/>
    <n v="62"/>
    <n v="0"/>
    <n v="0"/>
    <n v="1"/>
    <x v="1"/>
    <n v="0"/>
    <n v="0"/>
    <n v="0"/>
    <n v="0"/>
    <n v="956.45"/>
    <n v="0"/>
    <n v="956.45"/>
    <m/>
    <m/>
  </r>
  <r>
    <n v="247"/>
    <x v="10"/>
    <s v="HINJEWADI"/>
    <s v="SLK1"/>
    <x v="0"/>
    <x v="19"/>
    <s v="BOLERO"/>
    <s v="DIESEL"/>
    <n v="4"/>
    <n v="10"/>
    <x v="2"/>
    <n v="1000"/>
    <n v="55"/>
    <n v="31"/>
    <s v="PUN01 NC Cluster 71"/>
    <m/>
    <d v="1899-12-30T02:58:00"/>
    <d v="1899-12-30T04:39:37"/>
    <n v="32641"/>
    <d v="1899-12-30T09:06:48"/>
    <d v="1899-12-30T09:06:55"/>
    <n v="32653"/>
    <n v="62"/>
    <n v="62"/>
    <n v="0"/>
    <n v="12"/>
    <n v="12"/>
    <n v="0"/>
    <n v="0"/>
    <n v="2"/>
    <x v="2"/>
    <n v="0"/>
    <n v="0"/>
    <n v="0"/>
    <n v="0"/>
    <n v="1235.48"/>
    <n v="0"/>
    <n v="1235.48"/>
    <m/>
    <m/>
  </r>
  <r>
    <n v="248"/>
    <x v="10"/>
    <s v="HINJEWADI"/>
    <s v="SLK1"/>
    <x v="0"/>
    <x v="32"/>
    <s v="BOLERO"/>
    <s v="DIESEL"/>
    <n v="6"/>
    <n v="10"/>
    <x v="3"/>
    <n v="2000"/>
    <n v="55"/>
    <n v="31"/>
    <s v="PUN01 NC Cluster 1"/>
    <m/>
    <d v="1899-12-30T01:09:00"/>
    <d v="1899-12-30T07:56:03"/>
    <n v="11270"/>
    <d v="1899-12-30T07:56:11"/>
    <d v="1899-12-30T07:56:17"/>
    <n v="11270"/>
    <n v="0"/>
    <n v="0"/>
    <n v="0"/>
    <n v="0"/>
    <n v="0"/>
    <n v="0"/>
    <n v="0"/>
    <n v="0"/>
    <x v="0"/>
    <n v="0"/>
    <n v="0"/>
    <n v="0"/>
    <n v="0"/>
    <n v="1225.81"/>
    <n v="0"/>
    <n v="1225.81"/>
    <m/>
    <m/>
  </r>
  <r>
    <n v="249"/>
    <x v="10"/>
    <s v="HINJEWADI"/>
    <s v="SLK1"/>
    <x v="0"/>
    <x v="20"/>
    <s v="BOLERO"/>
    <s v="DIESEL"/>
    <n v="4"/>
    <n v="10"/>
    <x v="2"/>
    <n v="1000"/>
    <n v="55"/>
    <n v="31"/>
    <s v="PUN01 NC Cluster 73"/>
    <m/>
    <d v="1899-12-30T01:20:00"/>
    <d v="1899-12-30T04:36:35"/>
    <n v="38486"/>
    <d v="1899-12-30T07:51:08"/>
    <d v="1899-12-30T07:51:20"/>
    <n v="38507"/>
    <n v="37"/>
    <n v="37"/>
    <n v="0"/>
    <n v="21"/>
    <n v="21"/>
    <n v="0"/>
    <n v="0"/>
    <n v="0"/>
    <x v="0"/>
    <n v="0"/>
    <n v="0"/>
    <n v="0"/>
    <n v="0"/>
    <n v="935.48"/>
    <n v="0"/>
    <n v="935.48"/>
    <m/>
    <m/>
  </r>
  <r>
    <n v="250"/>
    <x v="10"/>
    <s v="HINJEWADI"/>
    <s v="SLK1"/>
    <x v="0"/>
    <x v="31"/>
    <s v="BOLERO"/>
    <s v="DIESEL"/>
    <n v="4"/>
    <n v="10"/>
    <x v="2"/>
    <n v="1000"/>
    <n v="55"/>
    <n v="31"/>
    <s v="PUN01 NC Cluster 17A"/>
    <m/>
    <d v="1899-12-30T02:34:00"/>
    <d v="1899-12-30T04:35:49"/>
    <n v="60281"/>
    <d v="1899-12-30T08:39:40"/>
    <d v="1899-12-30T08:39:49"/>
    <n v="60300"/>
    <n v="31"/>
    <n v="31"/>
    <n v="0"/>
    <n v="19"/>
    <n v="19"/>
    <n v="0"/>
    <n v="0"/>
    <n v="1"/>
    <x v="1"/>
    <n v="0"/>
    <n v="0"/>
    <n v="0"/>
    <n v="0"/>
    <n v="1085.48"/>
    <n v="0"/>
    <n v="1085.48"/>
    <m/>
    <m/>
  </r>
  <r>
    <n v="251"/>
    <x v="10"/>
    <s v="HINJEWADI"/>
    <s v="SLK1"/>
    <x v="0"/>
    <x v="21"/>
    <s v="BOLERO"/>
    <s v="DIESEL"/>
    <n v="4"/>
    <n v="10"/>
    <x v="2"/>
    <n v="1000"/>
    <n v="55"/>
    <n v="31"/>
    <s v="PUN01 NC Cluster 132"/>
    <m/>
    <d v="1899-12-30T02:25:00"/>
    <d v="1899-12-30T04:30:46"/>
    <n v="2971"/>
    <d v="1899-12-30T08:58:04"/>
    <d v="1899-12-30T08:58:13"/>
    <n v="3001"/>
    <n v="51"/>
    <n v="51"/>
    <n v="0"/>
    <n v="30"/>
    <n v="30"/>
    <n v="0"/>
    <n v="0"/>
    <n v="1"/>
    <x v="1"/>
    <n v="0"/>
    <n v="0"/>
    <n v="0"/>
    <n v="0"/>
    <n v="1085.48"/>
    <n v="0"/>
    <n v="1085.48"/>
    <m/>
    <m/>
  </r>
  <r>
    <n v="252"/>
    <x v="11"/>
    <s v="HINJEWADI"/>
    <s v="SLK1"/>
    <x v="0"/>
    <x v="0"/>
    <s v="ACE"/>
    <s v="CNG"/>
    <n v="4"/>
    <n v="8"/>
    <x v="0"/>
    <n v="1000"/>
    <n v="55"/>
    <n v="31"/>
    <s v="PUN01 NC Cluster 1"/>
    <m/>
    <d v="1899-12-30T01:09:00"/>
    <d v="1899-12-30T04:03:12"/>
    <n v="56750"/>
    <d v="1899-12-30T07:13:25"/>
    <d v="1899-12-30T07:14:22"/>
    <n v="56757"/>
    <n v="46"/>
    <n v="46"/>
    <n v="0"/>
    <n v="7"/>
    <n v="7"/>
    <n v="0"/>
    <n v="0"/>
    <n v="0"/>
    <x v="0"/>
    <n v="0"/>
    <n v="0"/>
    <n v="0"/>
    <n v="0"/>
    <n v="806.45"/>
    <n v="0"/>
    <n v="806.45"/>
    <m/>
    <m/>
  </r>
  <r>
    <n v="253"/>
    <x v="11"/>
    <s v="HINJEWADI"/>
    <s v="SLK1"/>
    <x v="0"/>
    <x v="29"/>
    <s v="ACE"/>
    <s v="CNG"/>
    <n v="4"/>
    <n v="8"/>
    <x v="0"/>
    <n v="1000"/>
    <n v="55"/>
    <n v="31"/>
    <s v="PUN01 NC Cluster 7"/>
    <m/>
    <d v="1899-12-30T01:06:00"/>
    <d v="1899-12-30T04:03:20"/>
    <n v="110240"/>
    <d v="1899-12-30T07:18:41"/>
    <d v="1899-12-30T07:18:56"/>
    <n v="110253"/>
    <n v="54"/>
    <n v="54"/>
    <n v="0"/>
    <n v="13"/>
    <n v="13"/>
    <n v="0"/>
    <n v="0"/>
    <n v="0"/>
    <x v="0"/>
    <n v="0"/>
    <n v="0"/>
    <n v="0"/>
    <n v="0"/>
    <n v="806.45"/>
    <n v="0"/>
    <n v="806.45"/>
    <m/>
    <m/>
  </r>
  <r>
    <n v="254"/>
    <x v="11"/>
    <s v="HINJEWADI"/>
    <s v="SLK1"/>
    <x v="0"/>
    <x v="2"/>
    <s v="ACE"/>
    <s v="CNG"/>
    <n v="6"/>
    <n v="8"/>
    <x v="1"/>
    <n v="2000"/>
    <n v="55"/>
    <n v="31"/>
    <s v="PUN01 NC Cluster 238"/>
    <m/>
    <d v="1899-12-30T00:58:00"/>
    <d v="1899-12-30T04:17:45"/>
    <n v="99491"/>
    <d v="1899-12-30T08:46:45"/>
    <d v="1899-12-30T08:50:38"/>
    <n v="99537"/>
    <n v="24"/>
    <n v="71"/>
    <n v="-47"/>
    <n v="46"/>
    <n v="46"/>
    <n v="0"/>
    <n v="0"/>
    <n v="0"/>
    <x v="0"/>
    <n v="0"/>
    <n v="0"/>
    <n v="0"/>
    <n v="0"/>
    <n v="1064.52"/>
    <n v="0"/>
    <n v="1064.52"/>
    <m/>
    <m/>
  </r>
  <r>
    <n v="255"/>
    <x v="11"/>
    <s v="HINJEWADI"/>
    <s v="SLK1"/>
    <x v="0"/>
    <x v="3"/>
    <s v="ACE"/>
    <s v="CNG"/>
    <n v="4"/>
    <n v="8"/>
    <x v="0"/>
    <n v="1000"/>
    <n v="55"/>
    <n v="31"/>
    <s v="PUN01 NC Cluster 37"/>
    <m/>
    <d v="1899-12-30T03:08:00"/>
    <d v="1899-12-30T04:07:15"/>
    <n v="83882"/>
    <d v="1899-12-30T08:37:27"/>
    <d v="1899-12-30T08:37:39"/>
    <n v="83897"/>
    <n v="43"/>
    <n v="43"/>
    <n v="0"/>
    <n v="15"/>
    <n v="15"/>
    <n v="0"/>
    <n v="0"/>
    <n v="1"/>
    <x v="1"/>
    <n v="0"/>
    <n v="0"/>
    <n v="0"/>
    <n v="0"/>
    <n v="956.45"/>
    <n v="0"/>
    <n v="956.45"/>
    <m/>
    <m/>
  </r>
  <r>
    <n v="256"/>
    <x v="11"/>
    <s v="HINJEWADI"/>
    <s v="SLK1"/>
    <x v="0"/>
    <x v="30"/>
    <s v="ACE"/>
    <s v="CNG"/>
    <n v="4"/>
    <n v="8"/>
    <x v="0"/>
    <n v="1000"/>
    <n v="55"/>
    <n v="31"/>
    <s v="PUN01 NC Cluster 182"/>
    <m/>
    <d v="1899-12-30T01:06:00"/>
    <d v="1899-12-30T04:02:08"/>
    <n v="37769"/>
    <d v="1899-12-30T08:19:20"/>
    <d v="1899-12-30T08:19:26"/>
    <n v="37809"/>
    <n v="59"/>
    <n v="59"/>
    <n v="0"/>
    <n v="40"/>
    <n v="40"/>
    <n v="0"/>
    <n v="0"/>
    <n v="1"/>
    <x v="1"/>
    <n v="0"/>
    <n v="0"/>
    <n v="0"/>
    <n v="0"/>
    <n v="956.45"/>
    <n v="0"/>
    <n v="956.45"/>
    <m/>
    <m/>
  </r>
  <r>
    <n v="257"/>
    <x v="11"/>
    <s v="HINJEWADI"/>
    <s v="SLK1"/>
    <x v="0"/>
    <x v="4"/>
    <s v="ACE"/>
    <s v="CNG"/>
    <n v="4"/>
    <n v="8"/>
    <x v="0"/>
    <n v="1000"/>
    <n v="55"/>
    <n v="31"/>
    <s v="PUN01 NC Cluster 61"/>
    <m/>
    <d v="1899-12-30T02:56:00"/>
    <d v="1899-12-30T04:06:08"/>
    <n v="11875"/>
    <d v="1899-12-30T07:15:07"/>
    <d v="1899-12-30T07:16:06"/>
    <n v="11898"/>
    <n v="35"/>
    <n v="35"/>
    <n v="0"/>
    <n v="23"/>
    <n v="23"/>
    <n v="0"/>
    <n v="0"/>
    <n v="0"/>
    <x v="0"/>
    <n v="0"/>
    <n v="0"/>
    <n v="0"/>
    <n v="0"/>
    <n v="806.45"/>
    <n v="0"/>
    <n v="806.45"/>
    <m/>
    <m/>
  </r>
  <r>
    <n v="258"/>
    <x v="11"/>
    <s v="HINJEWADI"/>
    <s v="SLK1"/>
    <x v="0"/>
    <x v="5"/>
    <s v="ACE"/>
    <s v="CNG"/>
    <n v="4"/>
    <n v="8"/>
    <x v="0"/>
    <n v="1000"/>
    <n v="55"/>
    <n v="31"/>
    <s v="PUN01 NC Cluster 87"/>
    <m/>
    <d v="1899-12-30T02:30:00"/>
    <d v="1899-12-30T04:03:27"/>
    <n v="145281"/>
    <d v="1899-12-30T07:14:56"/>
    <d v="1899-12-30T07:15:59"/>
    <n v="145299"/>
    <n v="33"/>
    <n v="33"/>
    <n v="0"/>
    <n v="18"/>
    <n v="18"/>
    <n v="0"/>
    <n v="0"/>
    <n v="0"/>
    <x v="0"/>
    <n v="0"/>
    <n v="0"/>
    <n v="0"/>
    <n v="0"/>
    <n v="806.45"/>
    <n v="0"/>
    <n v="806.45"/>
    <m/>
    <m/>
  </r>
  <r>
    <n v="259"/>
    <x v="11"/>
    <s v="HINJEWADI"/>
    <s v="SLK1"/>
    <x v="0"/>
    <x v="6"/>
    <s v="ACE"/>
    <s v="CNG"/>
    <n v="4"/>
    <n v="8"/>
    <x v="0"/>
    <n v="1000"/>
    <n v="55"/>
    <n v="31"/>
    <s v="PUN01 NC Cluster 10"/>
    <m/>
    <d v="1899-12-30T01:05:00"/>
    <d v="1899-12-30T04:17:22"/>
    <n v="143361"/>
    <d v="1899-12-30T07:13:10"/>
    <d v="1899-12-30T07:14:28"/>
    <n v="143383"/>
    <n v="40"/>
    <n v="40"/>
    <n v="0"/>
    <n v="22"/>
    <n v="22"/>
    <n v="0"/>
    <n v="0"/>
    <n v="0"/>
    <x v="0"/>
    <n v="0"/>
    <n v="0"/>
    <n v="0"/>
    <n v="0"/>
    <n v="806.45"/>
    <n v="0"/>
    <n v="806.45"/>
    <m/>
    <m/>
  </r>
  <r>
    <n v="260"/>
    <x v="11"/>
    <s v="HINJEWADI"/>
    <s v="SLK1"/>
    <x v="0"/>
    <x v="7"/>
    <s v="ACE"/>
    <s v="CNG"/>
    <n v="4"/>
    <n v="8"/>
    <x v="0"/>
    <n v="1000"/>
    <n v="55"/>
    <n v="31"/>
    <s v="PUN01 NC Cluster 113"/>
    <m/>
    <d v="1899-12-30T03:21:00"/>
    <d v="1899-12-30T04:23:57"/>
    <n v="159053"/>
    <d v="1899-12-30T08:22:19"/>
    <d v="1899-12-30T08:22:45"/>
    <n v="159087"/>
    <n v="0"/>
    <n v="0"/>
    <n v="0"/>
    <n v="34"/>
    <n v="34"/>
    <n v="0"/>
    <n v="0"/>
    <n v="1"/>
    <x v="1"/>
    <n v="0"/>
    <n v="0"/>
    <n v="0"/>
    <n v="0"/>
    <n v="956.45"/>
    <n v="0"/>
    <n v="956.45"/>
    <m/>
    <m/>
  </r>
  <r>
    <n v="261"/>
    <x v="11"/>
    <s v="HINJEWADI"/>
    <s v="SLK1"/>
    <x v="0"/>
    <x v="8"/>
    <s v="ACE"/>
    <s v="CNG"/>
    <n v="4"/>
    <n v="8"/>
    <x v="0"/>
    <n v="1000"/>
    <n v="55"/>
    <n v="31"/>
    <s v="PUN01 NC Cluster 36"/>
    <m/>
    <d v="1899-12-30T01:12:00"/>
    <d v="1899-12-30T04:05:13"/>
    <n v="112994"/>
    <d v="1899-12-30T07:26:19"/>
    <d v="1899-12-30T07:26:29"/>
    <n v="113011"/>
    <n v="34"/>
    <n v="34"/>
    <n v="0"/>
    <n v="17"/>
    <n v="17"/>
    <n v="0"/>
    <n v="0"/>
    <n v="0"/>
    <x v="0"/>
    <n v="0"/>
    <n v="0"/>
    <n v="0"/>
    <n v="0"/>
    <n v="806.45"/>
    <n v="0"/>
    <n v="806.45"/>
    <m/>
    <m/>
  </r>
  <r>
    <n v="262"/>
    <x v="11"/>
    <s v="HINJEWADI"/>
    <s v="SLK1"/>
    <x v="0"/>
    <x v="9"/>
    <s v="ACE"/>
    <s v="CNG"/>
    <n v="6"/>
    <n v="8"/>
    <x v="1"/>
    <n v="2000"/>
    <n v="55"/>
    <n v="31"/>
    <s v="PUN01 NC Cluster 300"/>
    <m/>
    <d v="1899-12-30T01:05:00"/>
    <d v="1899-12-30T04:15:47"/>
    <n v="47680"/>
    <d v="1899-12-30T08:53:24"/>
    <d v="1899-12-30T08:53:40"/>
    <n v="47772"/>
    <n v="48"/>
    <n v="48"/>
    <n v="0"/>
    <n v="92"/>
    <n v="92"/>
    <n v="0"/>
    <n v="0"/>
    <n v="0"/>
    <x v="0"/>
    <n v="0"/>
    <n v="0"/>
    <n v="0"/>
    <n v="0"/>
    <n v="1064.52"/>
    <n v="0"/>
    <n v="1064.52"/>
    <m/>
    <m/>
  </r>
  <r>
    <n v="263"/>
    <x v="11"/>
    <s v="HINJEWADI"/>
    <s v="SLK1"/>
    <x v="0"/>
    <x v="10"/>
    <s v="ACE"/>
    <s v="CNG"/>
    <n v="4"/>
    <n v="8"/>
    <x v="0"/>
    <n v="1000"/>
    <n v="55"/>
    <n v="31"/>
    <s v="PUN01 NC Cluster 100"/>
    <m/>
    <d v="1899-12-30T03:04:00"/>
    <d v="1899-12-30T04:07:49"/>
    <n v="3510"/>
    <d v="1899-12-30T07:15:20"/>
    <d v="1899-12-30T07:17:51"/>
    <n v="3521"/>
    <n v="26"/>
    <n v="26"/>
    <n v="0"/>
    <n v="11"/>
    <n v="11"/>
    <n v="0"/>
    <n v="0"/>
    <n v="0"/>
    <x v="0"/>
    <n v="0"/>
    <n v="0"/>
    <n v="0"/>
    <n v="0"/>
    <n v="806.45"/>
    <n v="0"/>
    <n v="806.45"/>
    <m/>
    <m/>
  </r>
  <r>
    <n v="264"/>
    <x v="11"/>
    <s v="HINJEWADI"/>
    <s v="SLK1"/>
    <x v="0"/>
    <x v="12"/>
    <s v="ACE"/>
    <s v="CNG"/>
    <n v="4"/>
    <n v="8"/>
    <x v="0"/>
    <n v="1000"/>
    <n v="55"/>
    <n v="31"/>
    <s v="PUN01 NC Cluster 62"/>
    <m/>
    <d v="1899-12-30T01:11:00"/>
    <d v="1899-12-30T04:03:46"/>
    <n v="83513"/>
    <d v="1899-12-30T07:14:42"/>
    <d v="1899-12-30T07:15:53"/>
    <n v="83537"/>
    <n v="32"/>
    <n v="32"/>
    <n v="0"/>
    <n v="24"/>
    <n v="24"/>
    <n v="0"/>
    <n v="0"/>
    <n v="0"/>
    <x v="0"/>
    <n v="0"/>
    <n v="0"/>
    <n v="0"/>
    <n v="0"/>
    <n v="806.45"/>
    <n v="0"/>
    <n v="806.45"/>
    <m/>
    <m/>
  </r>
  <r>
    <n v="265"/>
    <x v="11"/>
    <s v="HINJEWADI"/>
    <s v="SLK1"/>
    <x v="0"/>
    <x v="13"/>
    <s v="ACE"/>
    <s v="CNG"/>
    <n v="4"/>
    <n v="8"/>
    <x v="0"/>
    <n v="1000"/>
    <n v="55"/>
    <n v="31"/>
    <s v="PUN01 NC Cluster 136"/>
    <m/>
    <d v="1899-12-30T02:13:00"/>
    <d v="1899-12-30T04:12:09"/>
    <n v="36661"/>
    <d v="1899-12-30T07:30:09"/>
    <d v="1899-12-30T07:30:21"/>
    <n v="36691"/>
    <n v="52"/>
    <n v="52"/>
    <n v="0"/>
    <n v="30"/>
    <n v="30"/>
    <n v="0"/>
    <n v="0"/>
    <n v="0"/>
    <x v="0"/>
    <n v="0"/>
    <n v="0"/>
    <n v="0"/>
    <n v="0"/>
    <n v="806.45"/>
    <n v="0"/>
    <n v="806.45"/>
    <m/>
    <m/>
  </r>
  <r>
    <n v="266"/>
    <x v="11"/>
    <s v="HINJEWADI"/>
    <s v="SLK1"/>
    <x v="0"/>
    <x v="14"/>
    <s v="ACE"/>
    <s v="CNG"/>
    <n v="6"/>
    <n v="8"/>
    <x v="1"/>
    <n v="2000"/>
    <n v="55"/>
    <n v="31"/>
    <s v="PUN01 NC Cluster 303"/>
    <m/>
    <d v="1899-12-30T02:00:00"/>
    <d v="1899-12-30T04:18:46"/>
    <n v="33190"/>
    <d v="1899-12-30T08:02:22"/>
    <d v="1899-12-30T08:02:41"/>
    <n v="33269"/>
    <n v="32"/>
    <n v="32"/>
    <n v="0"/>
    <n v="79"/>
    <n v="79"/>
    <n v="0"/>
    <n v="0"/>
    <n v="0"/>
    <x v="0"/>
    <n v="0"/>
    <n v="0"/>
    <n v="0"/>
    <n v="0"/>
    <n v="1064.52"/>
    <n v="0"/>
    <n v="1064.52"/>
    <m/>
    <m/>
  </r>
  <r>
    <n v="267"/>
    <x v="11"/>
    <s v="HINJEWADI"/>
    <s v="SLK1"/>
    <x v="0"/>
    <x v="15"/>
    <s v="ACE"/>
    <s v="CNG"/>
    <n v="4"/>
    <n v="8"/>
    <x v="0"/>
    <n v="1000"/>
    <n v="55"/>
    <n v="31"/>
    <s v="PUN01 NC Cluster 40"/>
    <m/>
    <d v="1899-12-30T02:56:00"/>
    <d v="1899-12-30T04:05:49"/>
    <n v="38355"/>
    <d v="1899-12-30T07:20:26"/>
    <d v="1899-12-30T07:20:36"/>
    <n v="38374"/>
    <n v="45"/>
    <n v="45"/>
    <n v="0"/>
    <n v="19"/>
    <n v="19"/>
    <n v="0"/>
    <n v="0"/>
    <n v="0"/>
    <x v="0"/>
    <n v="0"/>
    <n v="0"/>
    <n v="0"/>
    <n v="0"/>
    <n v="806.45"/>
    <n v="0"/>
    <n v="806.45"/>
    <m/>
    <m/>
  </r>
  <r>
    <n v="268"/>
    <x v="11"/>
    <s v="HINJEWADI"/>
    <s v="SLK1"/>
    <x v="0"/>
    <x v="17"/>
    <s v="ACE"/>
    <s v="CNG"/>
    <n v="4"/>
    <n v="8"/>
    <x v="0"/>
    <n v="1000"/>
    <n v="55"/>
    <n v="31"/>
    <s v="PUN01 NC Cluster 200"/>
    <m/>
    <d v="1899-12-30T01:13:00"/>
    <d v="1899-12-30T04:02:29"/>
    <n v="7074"/>
    <d v="1899-12-30T09:04:06"/>
    <d v="1899-12-30T09:04:12"/>
    <n v="7117"/>
    <n v="63"/>
    <n v="63"/>
    <n v="0"/>
    <n v="43"/>
    <n v="43"/>
    <n v="0"/>
    <n v="0"/>
    <n v="2"/>
    <x v="2"/>
    <n v="0"/>
    <n v="0"/>
    <n v="0"/>
    <n v="0"/>
    <n v="1106.45"/>
    <n v="0"/>
    <n v="1106.45"/>
    <m/>
    <m/>
  </r>
  <r>
    <n v="269"/>
    <x v="11"/>
    <s v="HINJEWADI"/>
    <s v="SLK1"/>
    <x v="0"/>
    <x v="18"/>
    <s v="ACE"/>
    <s v="CNG"/>
    <n v="4"/>
    <n v="8"/>
    <x v="0"/>
    <n v="1000"/>
    <n v="55"/>
    <n v="31"/>
    <s v="PUN01 NC Cluster 39"/>
    <m/>
    <d v="1899-12-30T02:57:00"/>
    <d v="1899-12-30T04:06:43"/>
    <n v="4626"/>
    <d v="1899-12-30T07:23:33"/>
    <d v="1899-12-30T07:24:29"/>
    <n v="4647"/>
    <n v="45"/>
    <n v="45"/>
    <n v="0"/>
    <n v="21"/>
    <n v="21"/>
    <n v="0"/>
    <n v="0"/>
    <n v="0"/>
    <x v="0"/>
    <n v="0"/>
    <n v="0"/>
    <n v="0"/>
    <n v="0"/>
    <n v="806.45"/>
    <n v="0"/>
    <n v="806.45"/>
    <m/>
    <m/>
  </r>
  <r>
    <n v="270"/>
    <x v="11"/>
    <s v="HINJEWADI"/>
    <s v="SLK1"/>
    <x v="0"/>
    <x v="26"/>
    <s v="ACE"/>
    <s v="CNG"/>
    <n v="4"/>
    <n v="8"/>
    <x v="0"/>
    <n v="1000"/>
    <n v="55"/>
    <n v="31"/>
    <s v="PUN01 NC Cluster 125"/>
    <m/>
    <d v="1899-12-30T02:01:00"/>
    <d v="1899-12-30T04:11:50"/>
    <n v="41332"/>
    <d v="1899-12-30T07:49:42"/>
    <d v="1899-12-30T07:49:55"/>
    <n v="41361"/>
    <n v="36"/>
    <n v="36"/>
    <n v="0"/>
    <n v="29"/>
    <n v="29"/>
    <n v="0"/>
    <n v="0"/>
    <n v="0"/>
    <x v="0"/>
    <n v="0"/>
    <n v="0"/>
    <n v="0"/>
    <n v="0"/>
    <n v="806.45"/>
    <n v="0"/>
    <n v="806.45"/>
    <m/>
    <m/>
  </r>
  <r>
    <n v="271"/>
    <x v="11"/>
    <s v="HINJEWADI"/>
    <s v="SLK1"/>
    <x v="0"/>
    <x v="20"/>
    <s v="BOLERO"/>
    <s v="DIESEL"/>
    <n v="4"/>
    <n v="10"/>
    <x v="2"/>
    <n v="1000"/>
    <n v="55"/>
    <n v="31"/>
    <s v="PUN01 NC Cluster 99"/>
    <m/>
    <d v="1899-12-30T01:23:00"/>
    <d v="1899-12-30T04:14:29"/>
    <n v="38577"/>
    <d v="1899-12-30T07:49:01"/>
    <d v="1899-12-30T07:49:06"/>
    <n v="38606"/>
    <n v="66"/>
    <n v="66"/>
    <n v="0"/>
    <n v="29"/>
    <n v="29"/>
    <n v="0"/>
    <n v="0"/>
    <n v="0"/>
    <x v="0"/>
    <n v="0"/>
    <n v="0"/>
    <n v="0"/>
    <n v="0"/>
    <n v="935.48"/>
    <n v="0"/>
    <n v="935.48"/>
    <m/>
    <m/>
  </r>
  <r>
    <n v="272"/>
    <x v="11"/>
    <s v="HINJEWADI"/>
    <s v="SLK1"/>
    <x v="0"/>
    <x v="21"/>
    <s v="BOLERO"/>
    <s v="DIESEL"/>
    <n v="4"/>
    <n v="10"/>
    <x v="2"/>
    <n v="1000"/>
    <n v="55"/>
    <n v="31"/>
    <s v="PUN01 NC Cluster 175"/>
    <m/>
    <d v="1899-12-30T02:47:00"/>
    <d v="1899-12-30T04:15:43"/>
    <n v="3022"/>
    <d v="1899-12-30T08:02:55"/>
    <d v="1899-12-30T08:03:00"/>
    <n v="3060"/>
    <n v="60"/>
    <n v="60"/>
    <n v="0"/>
    <n v="38"/>
    <n v="38"/>
    <n v="0"/>
    <n v="0"/>
    <n v="1"/>
    <x v="1"/>
    <n v="0"/>
    <n v="0"/>
    <n v="0"/>
    <n v="0"/>
    <n v="1085.48"/>
    <n v="0"/>
    <n v="1085.48"/>
    <m/>
    <m/>
  </r>
  <r>
    <n v="273"/>
    <x v="11"/>
    <s v="HINJEWADI"/>
    <s v="SLK1"/>
    <x v="0"/>
    <x v="22"/>
    <s v="BOLERO"/>
    <s v="DIESEL"/>
    <n v="4"/>
    <n v="10"/>
    <x v="2"/>
    <n v="1000"/>
    <n v="55"/>
    <n v="31"/>
    <s v="PUN01 NC Cluster 134"/>
    <m/>
    <d v="1899-12-30T02:01:00"/>
    <d v="1899-12-30T04:04:04"/>
    <n v="139024"/>
    <d v="1899-12-30T08:15:21"/>
    <d v="1899-12-30T08:15:28"/>
    <n v="139056"/>
    <n v="70"/>
    <n v="70"/>
    <n v="0"/>
    <n v="32"/>
    <n v="32"/>
    <n v="0"/>
    <n v="0"/>
    <n v="1"/>
    <x v="1"/>
    <n v="0"/>
    <n v="0"/>
    <n v="0"/>
    <n v="0"/>
    <n v="1085.48"/>
    <n v="0"/>
    <n v="1085.48"/>
    <m/>
    <m/>
  </r>
  <r>
    <n v="274"/>
    <x v="12"/>
    <s v="HINJEWADI"/>
    <s v="SLK1"/>
    <x v="0"/>
    <x v="0"/>
    <s v="ACE"/>
    <s v="CNG"/>
    <n v="4"/>
    <n v="8"/>
    <x v="0"/>
    <n v="1000"/>
    <n v="55"/>
    <n v="31"/>
    <s v="PUN01 NC Cluster 1"/>
    <m/>
    <d v="1899-12-30T01:04:00"/>
    <d v="1899-12-30T04:15:29"/>
    <n v="56807"/>
    <d v="1899-12-30T07:09:17"/>
    <d v="1899-12-30T07:09:24"/>
    <n v="56816"/>
    <n v="50"/>
    <n v="30"/>
    <n v="20"/>
    <n v="9"/>
    <n v="9"/>
    <n v="0"/>
    <n v="0"/>
    <n v="0"/>
    <x v="0"/>
    <n v="0"/>
    <n v="0"/>
    <n v="0"/>
    <n v="0"/>
    <n v="806.45"/>
    <n v="0"/>
    <n v="806.45"/>
    <m/>
    <m/>
  </r>
  <r>
    <n v="275"/>
    <x v="12"/>
    <s v="HINJEWADI"/>
    <s v="SLK1"/>
    <x v="0"/>
    <x v="29"/>
    <s v="ACE"/>
    <s v="CNG"/>
    <n v="4"/>
    <n v="8"/>
    <x v="0"/>
    <n v="1000"/>
    <n v="55"/>
    <n v="31"/>
    <s v="PUN01 NC Cluster 4"/>
    <m/>
    <d v="1899-12-30T00:57:00"/>
    <d v="1899-12-30T04:26:24"/>
    <n v="110300"/>
    <d v="1899-12-30T07:11:10"/>
    <d v="1899-12-30T07:11:18"/>
    <n v="110312"/>
    <n v="24"/>
    <n v="24"/>
    <n v="0"/>
    <n v="12"/>
    <n v="12"/>
    <n v="0"/>
    <n v="0"/>
    <n v="0"/>
    <x v="0"/>
    <n v="0"/>
    <n v="0"/>
    <n v="0"/>
    <n v="0"/>
    <n v="806.45"/>
    <n v="0"/>
    <n v="806.45"/>
    <m/>
    <m/>
  </r>
  <r>
    <n v="276"/>
    <x v="12"/>
    <s v="HINJEWADI"/>
    <s v="SLK1"/>
    <x v="0"/>
    <x v="2"/>
    <s v="ACE"/>
    <s v="CNG"/>
    <n v="6"/>
    <n v="8"/>
    <x v="1"/>
    <n v="2000"/>
    <n v="55"/>
    <n v="31"/>
    <s v="PUN01 NC Cluster 229"/>
    <m/>
    <d v="1899-12-30T01:20:00"/>
    <d v="1899-12-30T04:10:16"/>
    <n v="99746"/>
    <d v="1899-12-30T07:52:26"/>
    <d v="1899-12-30T07:52:39"/>
    <n v="99788"/>
    <n v="84"/>
    <n v="84"/>
    <n v="0"/>
    <n v="42"/>
    <n v="42"/>
    <n v="0"/>
    <n v="0"/>
    <n v="0"/>
    <x v="0"/>
    <n v="0"/>
    <n v="0"/>
    <n v="0"/>
    <n v="0"/>
    <n v="1064.52"/>
    <n v="0"/>
    <n v="1064.52"/>
    <m/>
    <m/>
  </r>
  <r>
    <n v="277"/>
    <x v="12"/>
    <s v="HINJEWADI"/>
    <s v="SLK1"/>
    <x v="0"/>
    <x v="30"/>
    <s v="ACE"/>
    <s v="CNG"/>
    <n v="4"/>
    <n v="8"/>
    <x v="0"/>
    <n v="1000"/>
    <n v="55"/>
    <n v="31"/>
    <s v="PUN01 NC Cluster 2"/>
    <m/>
    <d v="1899-12-30T00:57:00"/>
    <d v="1899-12-30T04:25:52"/>
    <n v="37840"/>
    <d v="1899-12-30T06:47:02"/>
    <d v="1899-12-30T06:47:10"/>
    <n v="37851"/>
    <n v="50"/>
    <n v="50"/>
    <n v="0"/>
    <n v="11"/>
    <n v="11"/>
    <n v="0"/>
    <n v="0"/>
    <n v="0"/>
    <x v="0"/>
    <n v="0"/>
    <n v="0"/>
    <n v="0"/>
    <n v="0"/>
    <n v="806.45"/>
    <n v="0"/>
    <n v="806.45"/>
    <m/>
    <m/>
  </r>
  <r>
    <n v="278"/>
    <x v="12"/>
    <s v="HINJEWADI"/>
    <s v="SLK1"/>
    <x v="0"/>
    <x v="4"/>
    <s v="ACE"/>
    <s v="CNG"/>
    <n v="4"/>
    <n v="8"/>
    <x v="0"/>
    <n v="1000"/>
    <n v="55"/>
    <n v="31"/>
    <s v="PUN01 NC Cluster 62"/>
    <m/>
    <d v="1899-12-30T01:06:00"/>
    <d v="1899-12-30T04:13:35"/>
    <n v="11908"/>
    <d v="1899-12-30T07:36:39"/>
    <d v="1899-12-30T07:36:46"/>
    <n v="11930"/>
    <n v="52"/>
    <n v="52"/>
    <n v="0"/>
    <n v="22"/>
    <n v="22"/>
    <n v="0"/>
    <n v="0"/>
    <n v="0"/>
    <x v="0"/>
    <n v="0"/>
    <n v="0"/>
    <n v="0"/>
    <n v="0"/>
    <n v="806.45"/>
    <n v="0"/>
    <n v="806.45"/>
    <m/>
    <m/>
  </r>
  <r>
    <n v="279"/>
    <x v="12"/>
    <s v="HINJEWADI"/>
    <s v="SLK1"/>
    <x v="0"/>
    <x v="5"/>
    <s v="ACE"/>
    <s v="CNG"/>
    <n v="4"/>
    <n v="8"/>
    <x v="0"/>
    <n v="1000"/>
    <n v="55"/>
    <n v="31"/>
    <s v="PUN01 NC Cluster 87"/>
    <m/>
    <d v="1899-12-30T02:18:00"/>
    <d v="1899-12-30T04:11:58"/>
    <n v="145304"/>
    <d v="1899-12-30T07:10:36"/>
    <d v="1899-12-30T07:10:46"/>
    <n v="145322"/>
    <n v="31"/>
    <n v="31"/>
    <n v="0"/>
    <n v="18"/>
    <n v="18"/>
    <n v="0"/>
    <n v="0"/>
    <n v="0"/>
    <x v="0"/>
    <n v="0"/>
    <n v="0"/>
    <n v="0"/>
    <n v="0"/>
    <n v="806.45"/>
    <n v="0"/>
    <n v="806.45"/>
    <m/>
    <m/>
  </r>
  <r>
    <n v="280"/>
    <x v="12"/>
    <s v="HINJEWADI"/>
    <s v="SLK1"/>
    <x v="0"/>
    <x v="6"/>
    <s v="ACE"/>
    <s v="CNG"/>
    <n v="4"/>
    <n v="8"/>
    <x v="0"/>
    <n v="1000"/>
    <n v="55"/>
    <n v="31"/>
    <s v="PUN01 NC Cluster 19"/>
    <m/>
    <d v="1899-12-30T01:02:00"/>
    <d v="1899-12-30T04:10:47"/>
    <n v="143618"/>
    <d v="1899-12-30T08:23:11"/>
    <d v="1899-12-30T08:23:20"/>
    <n v="143641"/>
    <n v="55"/>
    <n v="56"/>
    <n v="-1"/>
    <n v="23"/>
    <n v="23"/>
    <n v="0"/>
    <n v="0"/>
    <n v="1"/>
    <x v="1"/>
    <n v="0"/>
    <n v="0"/>
    <n v="0"/>
    <n v="0"/>
    <n v="956.45"/>
    <n v="0"/>
    <n v="956.45"/>
    <m/>
    <m/>
  </r>
  <r>
    <n v="281"/>
    <x v="12"/>
    <s v="HINJEWADI"/>
    <s v="SLK1"/>
    <x v="0"/>
    <x v="8"/>
    <s v="ACE"/>
    <s v="CNG"/>
    <n v="4"/>
    <n v="8"/>
    <x v="0"/>
    <n v="1000"/>
    <n v="55"/>
    <n v="31"/>
    <s v="PUN01 NC Cluster 38"/>
    <m/>
    <d v="1899-12-30T01:05:00"/>
    <d v="1899-12-30T04:11:39"/>
    <n v="113078"/>
    <d v="1899-12-30T07:28:09"/>
    <d v="1899-12-30T07:28:15"/>
    <n v="113094"/>
    <n v="49"/>
    <n v="49"/>
    <n v="0"/>
    <n v="16"/>
    <n v="16"/>
    <n v="0"/>
    <n v="0"/>
    <n v="0"/>
    <x v="0"/>
    <n v="0"/>
    <n v="0"/>
    <n v="0"/>
    <n v="0"/>
    <n v="806.45"/>
    <n v="0"/>
    <n v="806.45"/>
    <m/>
    <m/>
  </r>
  <r>
    <n v="282"/>
    <x v="12"/>
    <s v="HINJEWADI"/>
    <s v="SLK1"/>
    <x v="0"/>
    <x v="23"/>
    <s v="ACE"/>
    <s v="CNG"/>
    <n v="4"/>
    <n v="8"/>
    <x v="0"/>
    <n v="1000"/>
    <n v="55"/>
    <n v="31"/>
    <s v="PUN01 NC Cluster 6"/>
    <m/>
    <d v="1899-12-30T01:24:00"/>
    <d v="1899-12-30T04:27:46"/>
    <n v="77929"/>
    <d v="1899-12-30T07:04:12"/>
    <d v="1899-12-30T07:04:22"/>
    <n v="77938"/>
    <n v="26"/>
    <n v="26"/>
    <n v="0"/>
    <n v="9"/>
    <n v="9"/>
    <n v="0"/>
    <n v="0"/>
    <n v="0"/>
    <x v="0"/>
    <n v="0"/>
    <n v="0"/>
    <n v="0"/>
    <n v="0"/>
    <n v="806.45"/>
    <n v="0"/>
    <n v="806.45"/>
    <m/>
    <m/>
  </r>
  <r>
    <n v="283"/>
    <x v="12"/>
    <s v="HINJEWADI"/>
    <s v="SLK1"/>
    <x v="0"/>
    <x v="9"/>
    <s v="ACE"/>
    <s v="CNG"/>
    <n v="6"/>
    <n v="8"/>
    <x v="1"/>
    <n v="2000"/>
    <n v="55"/>
    <n v="31"/>
    <s v="PUN01 NC Cluster 299"/>
    <m/>
    <d v="1899-12-30T02:51:00"/>
    <d v="1899-12-30T04:14:55"/>
    <n v="47780"/>
    <m/>
    <m/>
    <n v="47780"/>
    <m/>
    <n v="51"/>
    <n v="-51"/>
    <n v="0"/>
    <n v="0"/>
    <n v="0"/>
    <n v="0"/>
    <n v="0"/>
    <x v="0"/>
    <n v="0"/>
    <n v="0"/>
    <n v="0"/>
    <n v="0"/>
    <n v="1064.52"/>
    <n v="0"/>
    <n v="1064.52"/>
    <m/>
    <m/>
  </r>
  <r>
    <n v="284"/>
    <x v="12"/>
    <s v="HINJEWADI"/>
    <s v="SLK1"/>
    <x v="0"/>
    <x v="24"/>
    <s v="ACE"/>
    <s v="CNG"/>
    <n v="4"/>
    <n v="8"/>
    <x v="0"/>
    <n v="1000"/>
    <n v="55"/>
    <n v="31"/>
    <s v="PUN01 NC Cluster 132"/>
    <m/>
    <d v="1899-12-30T01:08:00"/>
    <d v="1899-12-30T04:23:17"/>
    <n v="87452"/>
    <m/>
    <m/>
    <n v="87452"/>
    <m/>
    <n v="0"/>
    <n v="0"/>
    <n v="0"/>
    <n v="0"/>
    <n v="0"/>
    <n v="0"/>
    <n v="0"/>
    <x v="0"/>
    <n v="0"/>
    <n v="0"/>
    <n v="0"/>
    <n v="0"/>
    <n v="806.45"/>
    <n v="0"/>
    <n v="806.45"/>
    <m/>
    <m/>
  </r>
  <r>
    <n v="285"/>
    <x v="12"/>
    <s v="HINJEWADI"/>
    <s v="SLK1"/>
    <x v="0"/>
    <x v="25"/>
    <s v="ACE"/>
    <s v="CNG"/>
    <n v="4"/>
    <n v="8"/>
    <x v="0"/>
    <n v="1000"/>
    <n v="55"/>
    <n v="31"/>
    <s v="PUN01 NC Cluster 199"/>
    <m/>
    <d v="1899-12-30T02:31:00"/>
    <d v="1899-12-30T04:28:46"/>
    <n v="118305"/>
    <m/>
    <m/>
    <n v="118305"/>
    <m/>
    <n v="15"/>
    <n v="-15"/>
    <n v="0"/>
    <n v="0"/>
    <n v="0"/>
    <n v="0"/>
    <n v="0"/>
    <x v="0"/>
    <n v="0"/>
    <n v="0"/>
    <n v="0"/>
    <n v="0"/>
    <n v="806.45"/>
    <n v="0"/>
    <n v="806.45"/>
    <m/>
    <m/>
  </r>
  <r>
    <n v="286"/>
    <x v="12"/>
    <s v="HINJEWADI"/>
    <s v="SLK1"/>
    <x v="0"/>
    <x v="12"/>
    <s v="ACE"/>
    <s v="CNG"/>
    <n v="4"/>
    <n v="8"/>
    <x v="0"/>
    <n v="1000"/>
    <n v="55"/>
    <n v="31"/>
    <s v="PUN01 NC Cluster 43"/>
    <m/>
    <d v="1899-12-30T01:04:00"/>
    <d v="1899-12-30T04:11:22"/>
    <n v="83623"/>
    <d v="1899-12-30T07:28:31"/>
    <d v="1899-12-30T07:28:36"/>
    <n v="83641"/>
    <n v="42"/>
    <n v="42"/>
    <n v="0"/>
    <n v="18"/>
    <n v="18"/>
    <n v="0"/>
    <n v="0"/>
    <n v="0"/>
    <x v="0"/>
    <n v="0"/>
    <n v="0"/>
    <n v="0"/>
    <n v="0"/>
    <n v="806.45"/>
    <n v="0"/>
    <n v="806.45"/>
    <m/>
    <m/>
  </r>
  <r>
    <n v="287"/>
    <x v="12"/>
    <s v="HINJEWADI"/>
    <s v="SLK1"/>
    <x v="0"/>
    <x v="14"/>
    <s v="ACE"/>
    <s v="CNG"/>
    <n v="6"/>
    <n v="8"/>
    <x v="1"/>
    <n v="2000"/>
    <n v="55"/>
    <n v="31"/>
    <s v="PUN01 NC Cluster 303"/>
    <m/>
    <d v="1899-12-30T01:13:00"/>
    <d v="1899-12-30T04:14:40"/>
    <n v="33319"/>
    <d v="1899-12-30T08:32:42"/>
    <d v="1899-12-30T08:32:47"/>
    <n v="33400"/>
    <n v="32"/>
    <n v="32"/>
    <n v="0"/>
    <n v="81"/>
    <n v="81"/>
    <n v="0"/>
    <n v="0"/>
    <n v="0"/>
    <x v="0"/>
    <n v="0"/>
    <n v="0"/>
    <n v="0"/>
    <n v="0"/>
    <n v="1064.52"/>
    <n v="0"/>
    <n v="1064.52"/>
    <m/>
    <m/>
  </r>
  <r>
    <n v="288"/>
    <x v="12"/>
    <s v="HINJEWADI"/>
    <s v="SLK1"/>
    <x v="0"/>
    <x v="15"/>
    <s v="ACE"/>
    <s v="CNG"/>
    <n v="4"/>
    <n v="8"/>
    <x v="0"/>
    <n v="1000"/>
    <n v="55"/>
    <n v="31"/>
    <s v="PUN01 NC Cluster 37"/>
    <m/>
    <d v="1899-12-30T01:05:00"/>
    <d v="1899-12-30T04:13:52"/>
    <n v="38384"/>
    <d v="1899-12-30T07:34:02"/>
    <d v="1899-12-30T07:34:11"/>
    <n v="38399"/>
    <n v="28"/>
    <n v="38"/>
    <n v="-10"/>
    <n v="15"/>
    <n v="15"/>
    <n v="0"/>
    <n v="0"/>
    <n v="0"/>
    <x v="0"/>
    <n v="0"/>
    <n v="0"/>
    <n v="0"/>
    <n v="0"/>
    <n v="806.45"/>
    <n v="0"/>
    <n v="806.45"/>
    <m/>
    <m/>
  </r>
  <r>
    <n v="289"/>
    <x v="12"/>
    <s v="HINJEWADI"/>
    <s v="SLK1"/>
    <x v="0"/>
    <x v="17"/>
    <s v="ACE"/>
    <s v="CNG"/>
    <n v="4"/>
    <n v="8"/>
    <x v="0"/>
    <n v="1000"/>
    <n v="55"/>
    <n v="31"/>
    <s v="PUN01 NC Cluster 201"/>
    <m/>
    <d v="1899-12-30T01:08:00"/>
    <d v="1899-12-30T04:28:32"/>
    <n v="7154"/>
    <d v="1899-12-30T08:11:07"/>
    <d v="1899-12-30T08:11:14"/>
    <n v="7186"/>
    <n v="40"/>
    <n v="40"/>
    <n v="0"/>
    <n v="32"/>
    <n v="32"/>
    <n v="0"/>
    <n v="0"/>
    <n v="1"/>
    <x v="1"/>
    <n v="0"/>
    <n v="0"/>
    <n v="0"/>
    <n v="0"/>
    <n v="956.45"/>
    <n v="0"/>
    <n v="956.45"/>
    <m/>
    <m/>
  </r>
  <r>
    <n v="290"/>
    <x v="12"/>
    <s v="HINJEWADI"/>
    <s v="SLK1"/>
    <x v="0"/>
    <x v="18"/>
    <s v="ACE"/>
    <s v="CNG"/>
    <n v="4"/>
    <n v="8"/>
    <x v="0"/>
    <n v="1000"/>
    <n v="55"/>
    <n v="31"/>
    <s v="PUN01 NC Cluster 35"/>
    <m/>
    <d v="1899-12-30T01:05:00"/>
    <d v="1899-12-30T04:13:07"/>
    <n v="4687"/>
    <d v="1899-12-30T07:28:59"/>
    <d v="1899-12-30T07:29:14"/>
    <n v="4705"/>
    <n v="42"/>
    <n v="36"/>
    <n v="6"/>
    <n v="18"/>
    <n v="18"/>
    <n v="0"/>
    <n v="0"/>
    <n v="0"/>
    <x v="0"/>
    <n v="0"/>
    <n v="0"/>
    <n v="0"/>
    <n v="0"/>
    <n v="806.45"/>
    <n v="0"/>
    <n v="806.45"/>
    <m/>
    <m/>
  </r>
  <r>
    <n v="291"/>
    <x v="12"/>
    <s v="HINJEWADI"/>
    <s v="SLK1"/>
    <x v="0"/>
    <x v="26"/>
    <s v="ACE"/>
    <s v="CNG"/>
    <n v="4"/>
    <n v="8"/>
    <x v="0"/>
    <n v="1000"/>
    <n v="55"/>
    <n v="31"/>
    <s v="PUN01 NC Cluster 60"/>
    <m/>
    <d v="1899-12-30T02:48:00"/>
    <d v="1899-12-30T04:19:24"/>
    <n v="41381"/>
    <d v="1899-12-30T07:53:51"/>
    <d v="1899-12-30T07:54:09"/>
    <n v="41395"/>
    <n v="31"/>
    <n v="31"/>
    <n v="0"/>
    <n v="14"/>
    <n v="14"/>
    <n v="0"/>
    <n v="0"/>
    <n v="0"/>
    <x v="0"/>
    <n v="0"/>
    <n v="0"/>
    <n v="0"/>
    <n v="0"/>
    <n v="806.45"/>
    <n v="0"/>
    <n v="806.45"/>
    <m/>
    <m/>
  </r>
  <r>
    <n v="292"/>
    <x v="12"/>
    <s v="HINJEWADI"/>
    <s v="SLK1"/>
    <x v="0"/>
    <x v="19"/>
    <s v="BOLERO"/>
    <s v="DIESEL"/>
    <n v="4"/>
    <n v="10"/>
    <x v="2"/>
    <n v="1000"/>
    <n v="55"/>
    <n v="31"/>
    <s v="PUN01 NC Cluster 72"/>
    <m/>
    <d v="1899-12-30T02:39:00"/>
    <d v="1899-12-30T04:29:57"/>
    <n v="32839"/>
    <d v="1899-12-30T08:29:28"/>
    <d v="1899-12-30T08:31:02"/>
    <n v="32848"/>
    <n v="43"/>
    <n v="43"/>
    <n v="0"/>
    <n v="9"/>
    <n v="9"/>
    <n v="0"/>
    <n v="0"/>
    <n v="1"/>
    <x v="1"/>
    <n v="0"/>
    <n v="0"/>
    <n v="0"/>
    <n v="0"/>
    <n v="1085.48"/>
    <n v="0"/>
    <n v="1085.48"/>
    <m/>
    <m/>
  </r>
  <r>
    <n v="293"/>
    <x v="12"/>
    <s v="HINJEWADI"/>
    <s v="SLK1"/>
    <x v="0"/>
    <x v="20"/>
    <s v="BOLERO"/>
    <s v="DIESEL"/>
    <n v="4"/>
    <n v="10"/>
    <x v="2"/>
    <n v="1000"/>
    <n v="55"/>
    <n v="31"/>
    <s v="PUN01 NC Cluster 121"/>
    <m/>
    <d v="1899-12-30T01:11:00"/>
    <d v="1899-12-30T04:23:25"/>
    <n v="38677"/>
    <d v="1899-12-30T08:35:29"/>
    <d v="1899-12-30T08:35:35"/>
    <n v="38722"/>
    <n v="30"/>
    <n v="30"/>
    <n v="0"/>
    <n v="45"/>
    <n v="45"/>
    <n v="0"/>
    <n v="0"/>
    <n v="1"/>
    <x v="1"/>
    <n v="0"/>
    <n v="0"/>
    <n v="0"/>
    <n v="0"/>
    <n v="1085.48"/>
    <n v="0"/>
    <n v="1085.48"/>
    <m/>
    <m/>
  </r>
  <r>
    <n v="294"/>
    <x v="12"/>
    <s v="HINJEWADI"/>
    <s v="SLK1"/>
    <x v="0"/>
    <x v="31"/>
    <s v="BOLERO"/>
    <s v="DIESEL"/>
    <n v="4"/>
    <n v="10"/>
    <x v="2"/>
    <n v="1000"/>
    <n v="55"/>
    <n v="31"/>
    <s v="PUN01 NC Cluster 112"/>
    <m/>
    <d v="1899-12-30T02:14:00"/>
    <d v="1899-12-30T04:20:33"/>
    <n v="60420"/>
    <d v="1899-12-30T07:29:28"/>
    <d v="1899-12-30T07:29:36"/>
    <n v="60453"/>
    <n v="55"/>
    <n v="55"/>
    <n v="0"/>
    <n v="33"/>
    <n v="33"/>
    <n v="0"/>
    <n v="0"/>
    <n v="0"/>
    <x v="0"/>
    <n v="0"/>
    <n v="0"/>
    <n v="0"/>
    <n v="0"/>
    <n v="935.48"/>
    <n v="0"/>
    <n v="935.48"/>
    <m/>
    <m/>
  </r>
  <r>
    <n v="295"/>
    <x v="12"/>
    <s v="HINJEWADI"/>
    <s v="SLK1"/>
    <x v="0"/>
    <x v="21"/>
    <s v="BOLERO"/>
    <s v="DIESEL"/>
    <n v="4"/>
    <n v="10"/>
    <x v="2"/>
    <n v="1000"/>
    <n v="55"/>
    <n v="31"/>
    <s v="PUN01 NC Cluster 168"/>
    <m/>
    <d v="1899-12-30T02:58:00"/>
    <d v="1899-12-30T04:16:53"/>
    <n v="3079"/>
    <d v="1899-12-30T08:43:15"/>
    <d v="1899-12-30T08:43:23"/>
    <n v="3121"/>
    <n v="65"/>
    <n v="65"/>
    <n v="0"/>
    <n v="42"/>
    <n v="42"/>
    <n v="0"/>
    <n v="0"/>
    <n v="1"/>
    <x v="1"/>
    <n v="0"/>
    <n v="0"/>
    <n v="0"/>
    <n v="0"/>
    <n v="1085.48"/>
    <n v="0"/>
    <n v="1085.48"/>
    <m/>
    <m/>
  </r>
  <r>
    <n v="296"/>
    <x v="12"/>
    <s v="HINJEWADI"/>
    <s v="SLK1"/>
    <x v="0"/>
    <x v="22"/>
    <s v="BOLERO"/>
    <s v="DIESEL"/>
    <n v="4"/>
    <n v="10"/>
    <x v="2"/>
    <n v="1000"/>
    <n v="55"/>
    <n v="31"/>
    <s v="PUN01 NC Cluster 73"/>
    <m/>
    <d v="1899-12-30T01:59:00"/>
    <d v="1899-12-30T04:20:11"/>
    <n v="139086"/>
    <d v="1899-12-30T07:37:14"/>
    <d v="1899-12-30T07:37:30"/>
    <n v="139108"/>
    <n v="39"/>
    <n v="39"/>
    <n v="0"/>
    <n v="22"/>
    <n v="22"/>
    <n v="0"/>
    <n v="0"/>
    <n v="0"/>
    <x v="0"/>
    <n v="0"/>
    <n v="0"/>
    <n v="0"/>
    <n v="0"/>
    <n v="935.48"/>
    <n v="0"/>
    <n v="935.48"/>
    <m/>
    <m/>
  </r>
  <r>
    <n v="297"/>
    <x v="13"/>
    <s v="HINJEWADI"/>
    <s v="SLK1"/>
    <x v="0"/>
    <x v="0"/>
    <s v="ACE"/>
    <s v="CNG"/>
    <n v="4"/>
    <n v="8"/>
    <x v="0"/>
    <n v="1000"/>
    <n v="55"/>
    <n v="31"/>
    <s v="PUN01 NC Cluster 1"/>
    <m/>
    <d v="1899-12-30T01:00:00"/>
    <d v="1899-12-30T04:01:47"/>
    <n v="56914"/>
    <d v="1899-12-30T07:11:00"/>
    <d v="1899-12-30T07:11:09"/>
    <n v="56920"/>
    <n v="45"/>
    <n v="39"/>
    <n v="6"/>
    <n v="6"/>
    <n v="6"/>
    <n v="0"/>
    <n v="0"/>
    <n v="0"/>
    <x v="0"/>
    <n v="0"/>
    <n v="0"/>
    <n v="0"/>
    <n v="0"/>
    <n v="806.45"/>
    <n v="0"/>
    <n v="806.45"/>
    <m/>
    <m/>
  </r>
  <r>
    <n v="298"/>
    <x v="13"/>
    <s v="HINJEWADI"/>
    <s v="SLK1"/>
    <x v="0"/>
    <x v="29"/>
    <s v="ACE"/>
    <s v="CNG"/>
    <n v="4"/>
    <n v="8"/>
    <x v="0"/>
    <n v="1000"/>
    <n v="55"/>
    <n v="31"/>
    <s v="PUN01 NC Cluster 126"/>
    <m/>
    <d v="1899-12-30T01:03:00"/>
    <d v="1899-12-30T04:12:12"/>
    <n v="110368"/>
    <d v="1899-12-30T07:22:53"/>
    <d v="1899-12-30T07:25:26"/>
    <n v="110405"/>
    <n v="38"/>
    <n v="32"/>
    <n v="6"/>
    <n v="37"/>
    <n v="37"/>
    <n v="0"/>
    <n v="0"/>
    <n v="0"/>
    <x v="0"/>
    <n v="0"/>
    <n v="0"/>
    <n v="0"/>
    <n v="0"/>
    <n v="806.45"/>
    <n v="0"/>
    <n v="806.45"/>
    <m/>
    <m/>
  </r>
  <r>
    <n v="299"/>
    <x v="13"/>
    <s v="HINJEWADI"/>
    <s v="SLK1"/>
    <x v="0"/>
    <x v="2"/>
    <s v="ACE"/>
    <s v="CNG"/>
    <n v="6"/>
    <n v="8"/>
    <x v="1"/>
    <n v="2000"/>
    <n v="55"/>
    <n v="31"/>
    <s v="PUN01 NC Cluster 230"/>
    <m/>
    <d v="1899-12-30T00:59:00"/>
    <d v="1899-12-30T04:14:02"/>
    <n v="99881"/>
    <d v="1899-12-30T08:06:36"/>
    <d v="1899-12-30T08:07:05"/>
    <n v="99938"/>
    <n v="70"/>
    <n v="52"/>
    <n v="18"/>
    <n v="57"/>
    <n v="57"/>
    <n v="0"/>
    <n v="0"/>
    <n v="0"/>
    <x v="0"/>
    <n v="0"/>
    <n v="0"/>
    <n v="0"/>
    <n v="0"/>
    <n v="1064.52"/>
    <n v="0"/>
    <n v="1064.52"/>
    <m/>
    <m/>
  </r>
  <r>
    <n v="300"/>
    <x v="13"/>
    <s v="HINJEWADI"/>
    <s v="SLK1"/>
    <x v="0"/>
    <x v="30"/>
    <s v="ACE"/>
    <s v="CNG"/>
    <n v="4"/>
    <n v="8"/>
    <x v="0"/>
    <n v="1000"/>
    <n v="55"/>
    <n v="31"/>
    <s v="PUN01 NC Cluster 2"/>
    <m/>
    <d v="1899-12-30T00:59:00"/>
    <d v="1899-12-30T04:11:18"/>
    <n v="37980"/>
    <d v="1899-12-30T07:12:34"/>
    <d v="1899-12-30T07:12:42"/>
    <n v="37990"/>
    <n v="53"/>
    <n v="53"/>
    <n v="0"/>
    <n v="10"/>
    <n v="10"/>
    <n v="0"/>
    <n v="0"/>
    <n v="0"/>
    <x v="0"/>
    <n v="0"/>
    <n v="0"/>
    <n v="0"/>
    <n v="0"/>
    <n v="806.45"/>
    <n v="0"/>
    <n v="806.45"/>
    <m/>
    <m/>
  </r>
  <r>
    <n v="301"/>
    <x v="13"/>
    <s v="HINJEWADI"/>
    <s v="SLK1"/>
    <x v="0"/>
    <x v="4"/>
    <s v="ACE"/>
    <s v="CNG"/>
    <n v="4"/>
    <n v="8"/>
    <x v="0"/>
    <n v="1000"/>
    <n v="55"/>
    <n v="31"/>
    <s v="PUN01 NC Cluster 36"/>
    <m/>
    <d v="1899-12-30T02:26:00"/>
    <d v="1899-12-30T04:09:25"/>
    <n v="12089"/>
    <d v="1899-12-30T08:26:42"/>
    <d v="1899-12-30T08:26:58"/>
    <n v="12107"/>
    <n v="34"/>
    <n v="42"/>
    <n v="-8"/>
    <n v="18"/>
    <n v="18"/>
    <n v="0"/>
    <n v="0"/>
    <n v="1"/>
    <x v="1"/>
    <n v="0"/>
    <n v="0"/>
    <n v="0"/>
    <n v="0"/>
    <n v="956.45"/>
    <n v="0"/>
    <n v="956.45"/>
    <m/>
    <m/>
  </r>
  <r>
    <n v="302"/>
    <x v="13"/>
    <s v="HINJEWADI"/>
    <s v="SLK1"/>
    <x v="0"/>
    <x v="28"/>
    <s v="ACE"/>
    <s v="CNG"/>
    <n v="4"/>
    <n v="8"/>
    <x v="0"/>
    <n v="1000"/>
    <n v="55"/>
    <n v="31"/>
    <s v="PUN01 NC Cluster 75"/>
    <m/>
    <d v="1899-12-30T02:01:00"/>
    <d v="1899-12-30T04:04:14"/>
    <n v="15041"/>
    <d v="1899-12-30T08:15:06"/>
    <d v="1899-12-30T08:15:12"/>
    <n v="15070"/>
    <n v="37"/>
    <n v="48"/>
    <n v="-11"/>
    <n v="29"/>
    <n v="29"/>
    <n v="0"/>
    <n v="0"/>
    <n v="1"/>
    <x v="1"/>
    <n v="0"/>
    <n v="0"/>
    <n v="0"/>
    <n v="0"/>
    <n v="956.45"/>
    <n v="0"/>
    <n v="956.45"/>
    <m/>
    <m/>
  </r>
  <r>
    <n v="303"/>
    <x v="13"/>
    <s v="HINJEWADI"/>
    <s v="SLK1"/>
    <x v="0"/>
    <x v="6"/>
    <s v="ACE"/>
    <s v="CNG"/>
    <n v="4"/>
    <n v="8"/>
    <x v="0"/>
    <n v="1000"/>
    <n v="55"/>
    <n v="31"/>
    <s v="PUN01 NC Cluster 10"/>
    <m/>
    <d v="1899-12-30T01:29:00"/>
    <d v="1899-12-30T04:10:18"/>
    <n v="143846"/>
    <d v="1899-12-30T07:12:59"/>
    <d v="1899-12-30T07:13:08"/>
    <n v="143872"/>
    <n v="30"/>
    <n v="55"/>
    <n v="-25"/>
    <n v="26"/>
    <n v="26"/>
    <n v="0"/>
    <n v="0"/>
    <n v="0"/>
    <x v="0"/>
    <n v="0"/>
    <n v="0"/>
    <n v="0"/>
    <n v="0"/>
    <n v="806.45"/>
    <n v="0"/>
    <n v="806.45"/>
    <m/>
    <m/>
  </r>
  <r>
    <n v="304"/>
    <x v="13"/>
    <s v="HINJEWADI"/>
    <s v="SLK1"/>
    <x v="0"/>
    <x v="7"/>
    <s v="ACE"/>
    <s v="CNG"/>
    <n v="4"/>
    <n v="8"/>
    <x v="0"/>
    <n v="1000"/>
    <n v="55"/>
    <n v="31"/>
    <s v="PUN01 NC Cluster 61"/>
    <m/>
    <d v="1899-12-30T03:06:00"/>
    <d v="1899-12-30T04:08:51"/>
    <n v="159206"/>
    <d v="1899-12-30T07:35:21"/>
    <d v="1899-12-30T07:35:44"/>
    <n v="159234"/>
    <n v="38"/>
    <n v="33"/>
    <n v="5"/>
    <n v="28"/>
    <n v="28"/>
    <n v="0"/>
    <n v="0"/>
    <n v="0"/>
    <x v="0"/>
    <n v="0"/>
    <n v="0"/>
    <n v="0"/>
    <n v="0"/>
    <n v="806.45"/>
    <n v="0"/>
    <n v="806.45"/>
    <m/>
    <m/>
  </r>
  <r>
    <n v="305"/>
    <x v="13"/>
    <s v="HINJEWADI"/>
    <s v="SLK1"/>
    <x v="0"/>
    <x v="8"/>
    <s v="ACE"/>
    <s v="CNG"/>
    <n v="4"/>
    <n v="8"/>
    <x v="0"/>
    <n v="1000"/>
    <n v="55"/>
    <n v="31"/>
    <s v="PUN01 NC Cluster 40"/>
    <m/>
    <d v="1899-12-30T01:04:00"/>
    <d v="1899-12-30T04:02:19"/>
    <n v="113141"/>
    <d v="1899-12-30T07:24:32"/>
    <d v="1899-12-30T07:24:43"/>
    <n v="113156"/>
    <n v="40"/>
    <n v="49"/>
    <n v="-9"/>
    <n v="15"/>
    <n v="15"/>
    <n v="0"/>
    <n v="0"/>
    <n v="0"/>
    <x v="0"/>
    <n v="0"/>
    <n v="0"/>
    <n v="0"/>
    <n v="0"/>
    <n v="806.45"/>
    <n v="0"/>
    <n v="806.45"/>
    <m/>
    <m/>
  </r>
  <r>
    <n v="306"/>
    <x v="13"/>
    <s v="HINJEWADI"/>
    <s v="SLK1"/>
    <x v="0"/>
    <x v="23"/>
    <s v="ACE"/>
    <s v="CNG"/>
    <n v="4"/>
    <n v="8"/>
    <x v="0"/>
    <n v="1000"/>
    <n v="55"/>
    <n v="31"/>
    <s v="PUN01 NC Cluster 124"/>
    <m/>
    <d v="1899-12-30T02:59:00"/>
    <d v="1899-12-30T04:12:37"/>
    <n v="77995"/>
    <d v="1899-12-30T07:11:59"/>
    <d v="1899-12-30T07:12:07"/>
    <n v="78022"/>
    <n v="42"/>
    <n v="42"/>
    <n v="0"/>
    <n v="27"/>
    <n v="27"/>
    <n v="0"/>
    <n v="0"/>
    <n v="0"/>
    <x v="0"/>
    <n v="0"/>
    <n v="0"/>
    <n v="0"/>
    <n v="0"/>
    <n v="806.45"/>
    <n v="0"/>
    <n v="806.45"/>
    <m/>
    <m/>
  </r>
  <r>
    <n v="307"/>
    <x v="13"/>
    <s v="HINJEWADI"/>
    <s v="SLK1"/>
    <x v="0"/>
    <x v="9"/>
    <s v="ACE"/>
    <s v="CNG"/>
    <n v="6"/>
    <n v="8"/>
    <x v="1"/>
    <n v="2000"/>
    <n v="55"/>
    <n v="31"/>
    <s v="PUN01 NC Cluster 230"/>
    <m/>
    <d v="1899-12-30T03:20:00"/>
    <d v="1899-12-30T04:41:23"/>
    <n v="47872"/>
    <d v="1899-12-30T08:28:14"/>
    <d v="1899-12-30T08:31:45"/>
    <n v="47962"/>
    <n v="0"/>
    <n v="0"/>
    <n v="0"/>
    <n v="90"/>
    <n v="90"/>
    <n v="0"/>
    <n v="0"/>
    <n v="0"/>
    <x v="0"/>
    <n v="1"/>
    <n v="150"/>
    <n v="0"/>
    <n v="0"/>
    <n v="1064.52"/>
    <n v="150"/>
    <n v="914.52"/>
    <m/>
    <m/>
  </r>
  <r>
    <n v="308"/>
    <x v="13"/>
    <s v="HINJEWADI"/>
    <s v="SLK1"/>
    <x v="0"/>
    <x v="25"/>
    <s v="ACE"/>
    <s v="CNG"/>
    <n v="4"/>
    <n v="8"/>
    <x v="0"/>
    <n v="1000"/>
    <n v="55"/>
    <n v="31"/>
    <s v="PUN01 NC Cluster 35"/>
    <m/>
    <d v="1899-12-30T02:59:00"/>
    <d v="1899-12-30T04:19:21"/>
    <n v="18399"/>
    <d v="1899-12-30T08:27:44"/>
    <d v="1899-12-30T08:29:59"/>
    <n v="18415"/>
    <n v="0"/>
    <n v="0"/>
    <n v="0"/>
    <n v="16"/>
    <n v="16"/>
    <n v="0"/>
    <n v="0"/>
    <n v="1"/>
    <x v="1"/>
    <n v="0"/>
    <n v="0"/>
    <n v="0"/>
    <n v="0"/>
    <n v="956.45"/>
    <n v="0"/>
    <n v="956.45"/>
    <m/>
    <m/>
  </r>
  <r>
    <n v="309"/>
    <x v="13"/>
    <s v="HINJEWADI"/>
    <s v="SLK1"/>
    <x v="0"/>
    <x v="12"/>
    <s v="ACE"/>
    <s v="CNG"/>
    <n v="4"/>
    <n v="8"/>
    <x v="0"/>
    <n v="1000"/>
    <n v="55"/>
    <n v="31"/>
    <s v="PUN01 NC Cluster 62"/>
    <m/>
    <d v="1899-12-30T01:03:00"/>
    <d v="1899-12-30T04:04:29"/>
    <n v="83726"/>
    <d v="1899-12-30T07:23:40"/>
    <d v="1899-12-30T07:23:58"/>
    <n v="83747"/>
    <n v="38"/>
    <n v="30"/>
    <n v="8"/>
    <n v="21"/>
    <n v="21"/>
    <n v="0"/>
    <n v="0"/>
    <n v="0"/>
    <x v="0"/>
    <n v="0"/>
    <n v="0"/>
    <n v="0"/>
    <n v="0"/>
    <n v="806.45"/>
    <n v="0"/>
    <n v="806.45"/>
    <m/>
    <m/>
  </r>
  <r>
    <n v="310"/>
    <x v="13"/>
    <s v="HINJEWADI"/>
    <s v="SLK1"/>
    <x v="0"/>
    <x v="13"/>
    <s v="ACE"/>
    <s v="CNG"/>
    <n v="4"/>
    <n v="8"/>
    <x v="0"/>
    <n v="1000"/>
    <n v="55"/>
    <n v="31"/>
    <s v="PUN01 NC Cluster 140"/>
    <m/>
    <d v="1899-12-30T02:09:00"/>
    <d v="1899-12-30T04:12:40"/>
    <n v="36772"/>
    <d v="1899-12-30T07:21:29"/>
    <d v="1899-12-30T07:25:43"/>
    <n v="36799"/>
    <n v="35"/>
    <n v="61"/>
    <n v="-26"/>
    <n v="27"/>
    <n v="27"/>
    <n v="0"/>
    <n v="0"/>
    <n v="0"/>
    <x v="0"/>
    <n v="0"/>
    <n v="0"/>
    <n v="0"/>
    <n v="0"/>
    <n v="806.45"/>
    <n v="0"/>
    <n v="806.45"/>
    <m/>
    <m/>
  </r>
  <r>
    <n v="311"/>
    <x v="13"/>
    <s v="HINJEWADI"/>
    <s v="SLK1"/>
    <x v="0"/>
    <x v="14"/>
    <s v="ACE"/>
    <s v="CNG"/>
    <n v="6"/>
    <n v="8"/>
    <x v="1"/>
    <n v="2000"/>
    <n v="55"/>
    <n v="31"/>
    <s v="PUN01 NC Cluster 303"/>
    <m/>
    <d v="1899-12-30T02:05:00"/>
    <d v="1899-12-30T04:09:58"/>
    <n v="33476"/>
    <d v="1899-12-30T07:14:27"/>
    <d v="1899-12-30T07:14:35"/>
    <n v="33552"/>
    <n v="32"/>
    <n v="33"/>
    <n v="-1"/>
    <n v="76"/>
    <n v="76"/>
    <n v="0"/>
    <n v="0"/>
    <n v="0"/>
    <x v="0"/>
    <n v="0"/>
    <n v="0"/>
    <n v="0"/>
    <n v="0"/>
    <n v="1064.52"/>
    <n v="0"/>
    <n v="1064.52"/>
    <m/>
    <m/>
  </r>
  <r>
    <n v="312"/>
    <x v="13"/>
    <s v="HINJEWADI"/>
    <s v="SLK1"/>
    <x v="0"/>
    <x v="15"/>
    <s v="ACE"/>
    <s v="CNG"/>
    <n v="4"/>
    <n v="8"/>
    <x v="0"/>
    <n v="1000"/>
    <n v="55"/>
    <n v="31"/>
    <s v="PUN01 NC Cluster 37"/>
    <m/>
    <d v="1899-12-30T01:04:00"/>
    <d v="1899-12-30T04:08:05"/>
    <n v="38517"/>
    <d v="1899-12-30T07:23:14"/>
    <d v="1899-12-30T07:23:25"/>
    <n v="38533"/>
    <n v="40"/>
    <n v="37"/>
    <n v="3"/>
    <n v="16"/>
    <n v="16"/>
    <n v="0"/>
    <n v="0"/>
    <n v="0"/>
    <x v="0"/>
    <n v="0"/>
    <n v="0"/>
    <n v="0"/>
    <n v="0"/>
    <n v="806.45"/>
    <n v="0"/>
    <n v="806.45"/>
    <m/>
    <m/>
  </r>
  <r>
    <n v="313"/>
    <x v="13"/>
    <s v="HINJEWADI"/>
    <s v="SLK1"/>
    <x v="0"/>
    <x v="17"/>
    <s v="ACE"/>
    <s v="CNG"/>
    <n v="4"/>
    <n v="8"/>
    <x v="0"/>
    <n v="1000"/>
    <n v="55"/>
    <n v="31"/>
    <s v="PUN01 NC Cluster 199"/>
    <m/>
    <d v="1899-12-30T02:50:00"/>
    <d v="1899-12-30T04:05:24"/>
    <n v="7299"/>
    <d v="1899-12-30T10:09:26"/>
    <d v="1899-12-30T10:09:41"/>
    <n v="7325"/>
    <n v="1"/>
    <n v="13"/>
    <n v="-12"/>
    <n v="26"/>
    <n v="26"/>
    <n v="0"/>
    <n v="0"/>
    <n v="3"/>
    <x v="3"/>
    <n v="0"/>
    <n v="0"/>
    <n v="0"/>
    <n v="0"/>
    <n v="1256.45"/>
    <n v="0"/>
    <n v="1256.45"/>
    <m/>
    <m/>
  </r>
  <r>
    <n v="314"/>
    <x v="13"/>
    <s v="HINJEWADI"/>
    <s v="SLK1"/>
    <x v="0"/>
    <x v="18"/>
    <s v="ACE"/>
    <s v="CNG"/>
    <n v="4"/>
    <n v="8"/>
    <x v="0"/>
    <n v="1000"/>
    <n v="55"/>
    <n v="31"/>
    <s v="PUN01 NC Cluster 42"/>
    <m/>
    <d v="1899-12-30T01:04:00"/>
    <d v="1899-12-30T04:06:04"/>
    <n v="4791"/>
    <d v="1899-12-30T07:24:10"/>
    <d v="1899-12-30T07:24:19"/>
    <n v="4815"/>
    <n v="36"/>
    <n v="48"/>
    <n v="-12"/>
    <n v="24"/>
    <n v="24"/>
    <n v="0"/>
    <n v="0"/>
    <n v="0"/>
    <x v="0"/>
    <n v="0"/>
    <n v="0"/>
    <n v="0"/>
    <n v="0"/>
    <n v="806.45"/>
    <n v="0"/>
    <n v="806.45"/>
    <m/>
    <m/>
  </r>
  <r>
    <n v="315"/>
    <x v="13"/>
    <s v="HINJEWADI"/>
    <s v="SLK1"/>
    <x v="0"/>
    <x v="19"/>
    <s v="BOLERO"/>
    <s v="DIESEL"/>
    <n v="4"/>
    <n v="10"/>
    <x v="2"/>
    <n v="1000"/>
    <n v="55"/>
    <n v="31"/>
    <s v="PUN01 NC Cluster 71"/>
    <m/>
    <d v="1899-12-30T02:45:00"/>
    <d v="1899-12-30T04:10:02"/>
    <n v="32867"/>
    <d v="1899-12-30T08:18:48"/>
    <d v="1899-12-30T08:26:20"/>
    <n v="32880"/>
    <n v="40"/>
    <n v="38"/>
    <n v="2"/>
    <n v="13"/>
    <n v="13"/>
    <n v="0"/>
    <n v="0"/>
    <n v="1"/>
    <x v="1"/>
    <n v="0"/>
    <n v="0"/>
    <n v="0"/>
    <n v="0"/>
    <n v="1085.48"/>
    <n v="0"/>
    <n v="1085.48"/>
    <m/>
    <m/>
  </r>
  <r>
    <n v="316"/>
    <x v="13"/>
    <s v="HINJEWADI"/>
    <s v="SLK1"/>
    <x v="0"/>
    <x v="20"/>
    <s v="BOLERO"/>
    <s v="DIESEL"/>
    <n v="4"/>
    <n v="10"/>
    <x v="2"/>
    <n v="1000"/>
    <n v="55"/>
    <n v="31"/>
    <s v="PUN01 NC Cluster 11"/>
    <m/>
    <d v="1899-12-30T02:00:00"/>
    <d v="1899-12-30T04:05:43"/>
    <n v="38789"/>
    <d v="1899-12-30T07:48:45"/>
    <d v="1899-12-30T07:54:07"/>
    <n v="38817"/>
    <n v="53"/>
    <n v="51"/>
    <n v="2"/>
    <n v="28"/>
    <n v="28"/>
    <n v="0"/>
    <n v="0"/>
    <n v="0"/>
    <x v="0"/>
    <n v="0"/>
    <n v="0"/>
    <n v="0"/>
    <n v="0"/>
    <n v="935.48"/>
    <n v="0"/>
    <n v="935.48"/>
    <m/>
    <m/>
  </r>
  <r>
    <n v="317"/>
    <x v="13"/>
    <s v="HINJEWADI"/>
    <s v="SLK1"/>
    <x v="0"/>
    <x v="31"/>
    <s v="BOLERO"/>
    <s v="DIESEL"/>
    <n v="4"/>
    <n v="10"/>
    <x v="2"/>
    <n v="1000"/>
    <n v="55"/>
    <n v="31"/>
    <s v="PUN01 NC Cluster 149"/>
    <m/>
    <d v="1899-12-30T02:39:00"/>
    <d v="1899-12-30T04:15:06"/>
    <n v="60537"/>
    <d v="1899-12-30T07:10:18"/>
    <d v="1899-12-30T07:10:37"/>
    <n v="60572"/>
    <n v="75"/>
    <n v="88"/>
    <n v="-13"/>
    <n v="35"/>
    <n v="35"/>
    <n v="0"/>
    <n v="0"/>
    <n v="0"/>
    <x v="0"/>
    <n v="0"/>
    <n v="0"/>
    <n v="0"/>
    <n v="0"/>
    <n v="935.48"/>
    <n v="0"/>
    <n v="935.48"/>
    <m/>
    <m/>
  </r>
  <r>
    <n v="318"/>
    <x v="13"/>
    <s v="HINJEWADI"/>
    <s v="SLK1"/>
    <x v="0"/>
    <x v="21"/>
    <s v="BOLERO"/>
    <s v="DIESEL"/>
    <n v="4"/>
    <n v="10"/>
    <x v="2"/>
    <n v="1000"/>
    <n v="55"/>
    <n v="31"/>
    <s v="PUN01 NC Cluster 135"/>
    <m/>
    <d v="1899-12-30T02:52:00"/>
    <d v="1899-12-30T04:10:50"/>
    <n v="3141"/>
    <d v="1899-12-30T07:16:05"/>
    <d v="1899-12-30T07:16:15"/>
    <n v="3169"/>
    <n v="58"/>
    <n v="58"/>
    <n v="0"/>
    <n v="28"/>
    <n v="28"/>
    <n v="0"/>
    <n v="0"/>
    <n v="0"/>
    <x v="0"/>
    <n v="0"/>
    <n v="0"/>
    <n v="0"/>
    <n v="0"/>
    <n v="935.48"/>
    <n v="0"/>
    <n v="935.48"/>
    <m/>
    <m/>
  </r>
  <r>
    <n v="319"/>
    <x v="13"/>
    <s v="HINJEWADI"/>
    <s v="SLK1"/>
    <x v="0"/>
    <x v="22"/>
    <s v="BOLERO"/>
    <s v="DIESEL"/>
    <n v="4"/>
    <n v="10"/>
    <x v="2"/>
    <n v="1000"/>
    <n v="55"/>
    <n v="31"/>
    <s v="PUN01 NC Cluster 132"/>
    <m/>
    <d v="1899-12-30T02:04:00"/>
    <d v="1899-12-30T04:10:18"/>
    <n v="139138"/>
    <d v="1899-12-30T07:50:44"/>
    <d v="1899-12-30T07:51:00"/>
    <n v="139171"/>
    <n v="34"/>
    <n v="43"/>
    <n v="-9"/>
    <n v="33"/>
    <n v="33"/>
    <n v="0"/>
    <n v="0"/>
    <n v="0"/>
    <x v="0"/>
    <n v="0"/>
    <n v="0"/>
    <n v="0"/>
    <n v="0"/>
    <n v="935.48"/>
    <n v="0"/>
    <n v="935.48"/>
    <m/>
    <m/>
  </r>
  <r>
    <n v="320"/>
    <x v="14"/>
    <s v="HINJEWADI"/>
    <s v="SLK1"/>
    <x v="0"/>
    <x v="0"/>
    <s v="ACE"/>
    <s v="CNG"/>
    <n v="4"/>
    <n v="8"/>
    <x v="0"/>
    <n v="1000"/>
    <n v="55"/>
    <n v="31"/>
    <s v="PUN01 NC Cluster 1"/>
    <m/>
    <d v="1899-12-30T01:03:00"/>
    <d v="1899-12-30T04:25:20"/>
    <n v="57057"/>
    <d v="1899-12-30T06:59:56"/>
    <d v="1899-12-30T07:00:12"/>
    <n v="57063"/>
    <n v="40"/>
    <n v="40"/>
    <n v="0"/>
    <n v="6"/>
    <n v="6"/>
    <n v="0"/>
    <n v="0"/>
    <n v="0"/>
    <x v="0"/>
    <n v="0"/>
    <n v="0"/>
    <n v="0"/>
    <n v="0"/>
    <n v="806.45"/>
    <n v="0"/>
    <n v="806.45"/>
    <m/>
    <m/>
  </r>
  <r>
    <n v="321"/>
    <x v="14"/>
    <s v="HINJEWADI"/>
    <s v="SLK1"/>
    <x v="0"/>
    <x v="29"/>
    <s v="ACE"/>
    <s v="CNG"/>
    <n v="4"/>
    <n v="8"/>
    <x v="0"/>
    <n v="1000"/>
    <n v="55"/>
    <n v="31"/>
    <s v="PUN01 NC Cluster 5"/>
    <m/>
    <d v="1899-12-30T01:14:00"/>
    <d v="1899-12-30T04:22:45"/>
    <n v="110452"/>
    <d v="1899-12-30T07:04:36"/>
    <d v="1899-12-30T07:05:01"/>
    <n v="110464"/>
    <n v="29"/>
    <n v="29"/>
    <n v="0"/>
    <n v="12"/>
    <n v="12"/>
    <n v="0"/>
    <n v="0"/>
    <n v="0"/>
    <x v="0"/>
    <n v="0"/>
    <n v="0"/>
    <n v="0"/>
    <n v="0"/>
    <n v="806.45"/>
    <n v="0"/>
    <n v="806.45"/>
    <m/>
    <m/>
  </r>
  <r>
    <n v="322"/>
    <x v="14"/>
    <s v="HINJEWADI"/>
    <s v="SLK1"/>
    <x v="0"/>
    <x v="2"/>
    <s v="ACE"/>
    <s v="CNG"/>
    <n v="6"/>
    <n v="8"/>
    <x v="1"/>
    <n v="2000"/>
    <n v="55"/>
    <n v="31"/>
    <s v="PUN01 NC Cluster 229"/>
    <m/>
    <d v="1899-12-30T01:07:00"/>
    <d v="1899-12-30T04:23:03"/>
    <n v="100044"/>
    <m/>
    <m/>
    <n v="100044"/>
    <m/>
    <n v="83"/>
    <n v="-83"/>
    <n v="0"/>
    <n v="0"/>
    <n v="0"/>
    <n v="0"/>
    <n v="0"/>
    <x v="0"/>
    <n v="0"/>
    <n v="0"/>
    <n v="0"/>
    <n v="0"/>
    <n v="1064.52"/>
    <n v="0"/>
    <n v="1064.52"/>
    <m/>
    <m/>
  </r>
  <r>
    <n v="323"/>
    <x v="14"/>
    <s v="HINJEWADI"/>
    <s v="SLK1"/>
    <x v="0"/>
    <x v="3"/>
    <s v="ACE"/>
    <s v="CNG"/>
    <n v="4"/>
    <n v="8"/>
    <x v="0"/>
    <n v="1000"/>
    <n v="55"/>
    <n v="31"/>
    <s v="PUN01 NC Cluster 135"/>
    <m/>
    <d v="1899-12-30T03:08:00"/>
    <d v="1899-12-30T04:28:19"/>
    <n v="83995"/>
    <d v="1899-12-30T07:52:02"/>
    <d v="1899-12-30T07:56:41"/>
    <n v="84027"/>
    <n v="60"/>
    <n v="60"/>
    <n v="0"/>
    <n v="32"/>
    <n v="32"/>
    <n v="0"/>
    <n v="0"/>
    <n v="0"/>
    <x v="0"/>
    <n v="0"/>
    <n v="0"/>
    <n v="0"/>
    <n v="0"/>
    <n v="806.45"/>
    <n v="0"/>
    <n v="806.45"/>
    <m/>
    <m/>
  </r>
  <r>
    <n v="324"/>
    <x v="14"/>
    <s v="HINJEWADI"/>
    <s v="SLK1"/>
    <x v="0"/>
    <x v="30"/>
    <s v="ACE"/>
    <s v="CNG"/>
    <n v="4"/>
    <n v="8"/>
    <x v="0"/>
    <n v="1000"/>
    <n v="55"/>
    <n v="31"/>
    <s v="PUN01 NC Cluster 142"/>
    <m/>
    <d v="1899-12-30T01:05:00"/>
    <d v="1899-12-30T04:12:12"/>
    <n v="38097"/>
    <d v="1899-12-30T07:45:12"/>
    <d v="1899-12-30T07:45:22"/>
    <n v="38121"/>
    <n v="36"/>
    <n v="39"/>
    <n v="-3"/>
    <n v="24"/>
    <n v="24"/>
    <n v="0"/>
    <n v="0"/>
    <n v="0"/>
    <x v="0"/>
    <n v="0"/>
    <n v="0"/>
    <n v="0"/>
    <n v="0"/>
    <n v="806.45"/>
    <n v="0"/>
    <n v="806.45"/>
    <m/>
    <m/>
  </r>
  <r>
    <n v="325"/>
    <x v="14"/>
    <s v="HINJEWADI"/>
    <s v="SLK1"/>
    <x v="0"/>
    <x v="4"/>
    <s v="ACE"/>
    <s v="CNG"/>
    <n v="4"/>
    <n v="8"/>
    <x v="0"/>
    <n v="1000"/>
    <n v="55"/>
    <n v="31"/>
    <s v="PUN01 NC Cluster 1"/>
    <m/>
    <d v="1899-12-30T02:59:00"/>
    <d v="1899-12-30T07:03:56"/>
    <n v="12249"/>
    <d v="1899-12-30T07:05:12"/>
    <d v="1899-12-30T07:05:18"/>
    <n v="12249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326"/>
    <x v="14"/>
    <s v="HINJEWADI"/>
    <s v="SLK1"/>
    <x v="0"/>
    <x v="5"/>
    <s v="ACE"/>
    <s v="CNG"/>
    <n v="4"/>
    <n v="8"/>
    <x v="0"/>
    <n v="1000"/>
    <n v="55"/>
    <n v="31"/>
    <s v="PUN01 NC Cluster 87"/>
    <m/>
    <d v="1899-12-30T02:36:00"/>
    <d v="1899-12-30T04:21:26"/>
    <n v="145327"/>
    <d v="1899-12-30T07:49:42"/>
    <d v="1899-12-30T07:49:53"/>
    <n v="145345"/>
    <n v="31"/>
    <n v="31"/>
    <n v="0"/>
    <n v="18"/>
    <n v="18"/>
    <n v="0"/>
    <n v="0"/>
    <n v="0"/>
    <x v="0"/>
    <n v="0"/>
    <n v="0"/>
    <n v="0"/>
    <n v="0"/>
    <n v="806.45"/>
    <n v="0"/>
    <n v="806.45"/>
    <m/>
    <m/>
  </r>
  <r>
    <n v="327"/>
    <x v="14"/>
    <s v="HINJEWADI"/>
    <s v="SLK1"/>
    <x v="0"/>
    <x v="33"/>
    <s v="ACE"/>
    <s v="CNG"/>
    <n v="4"/>
    <n v="8"/>
    <x v="0"/>
    <n v="1000"/>
    <n v="55"/>
    <n v="31"/>
    <s v="PUN01 NC Cluster 13"/>
    <m/>
    <d v="1899-12-30T02:09:00"/>
    <d v="1899-12-30T04:28:05"/>
    <n v="165301"/>
    <d v="1899-12-30T08:32:07"/>
    <d v="1899-12-30T08:32:52"/>
    <n v="165320"/>
    <n v="38"/>
    <n v="33"/>
    <n v="5"/>
    <n v="19"/>
    <n v="19"/>
    <n v="0"/>
    <n v="0"/>
    <n v="1"/>
    <x v="1"/>
    <n v="0"/>
    <n v="0"/>
    <n v="0"/>
    <n v="0"/>
    <n v="956.45"/>
    <n v="0"/>
    <n v="956.45"/>
    <m/>
    <m/>
  </r>
  <r>
    <n v="328"/>
    <x v="14"/>
    <s v="HINJEWADI"/>
    <s v="SLK1"/>
    <x v="0"/>
    <x v="6"/>
    <s v="ACE"/>
    <s v="CNG"/>
    <n v="4"/>
    <n v="8"/>
    <x v="0"/>
    <n v="1000"/>
    <n v="55"/>
    <n v="31"/>
    <s v="PUN01 NC Cluster 10"/>
    <m/>
    <d v="1899-12-30T02:55:00"/>
    <d v="1899-12-30T04:38:49"/>
    <n v="143972"/>
    <d v="1899-12-30T08:31:50"/>
    <d v="1899-12-30T08:33:06"/>
    <n v="143998"/>
    <n v="39"/>
    <n v="48"/>
    <n v="-9"/>
    <n v="26"/>
    <n v="26"/>
    <n v="0"/>
    <n v="0"/>
    <n v="1"/>
    <x v="1"/>
    <n v="0"/>
    <n v="0"/>
    <n v="0"/>
    <n v="0"/>
    <n v="956.45"/>
    <n v="0"/>
    <n v="956.45"/>
    <m/>
    <m/>
  </r>
  <r>
    <n v="329"/>
    <x v="14"/>
    <s v="HINJEWADI"/>
    <s v="SLK1"/>
    <x v="0"/>
    <x v="7"/>
    <s v="ACE"/>
    <s v="CNG"/>
    <n v="4"/>
    <n v="8"/>
    <x v="0"/>
    <n v="1000"/>
    <n v="55"/>
    <n v="31"/>
    <s v="PUN01 NC Cluster 61"/>
    <m/>
    <d v="1899-12-30T01:27:00"/>
    <d v="1899-12-30T04:17:15"/>
    <n v="159336"/>
    <d v="1899-12-30T08:55:43"/>
    <d v="1899-12-30T08:55:53"/>
    <n v="159359"/>
    <n v="38"/>
    <n v="38"/>
    <n v="0"/>
    <n v="23"/>
    <n v="23"/>
    <n v="0"/>
    <n v="0"/>
    <n v="1"/>
    <x v="1"/>
    <n v="0"/>
    <n v="0"/>
    <n v="0"/>
    <n v="0"/>
    <n v="956.45"/>
    <n v="0"/>
    <n v="956.45"/>
    <m/>
    <m/>
  </r>
  <r>
    <n v="330"/>
    <x v="14"/>
    <s v="HINJEWADI"/>
    <s v="SLK1"/>
    <x v="0"/>
    <x v="8"/>
    <s v="ACE"/>
    <s v="CNG"/>
    <n v="4"/>
    <n v="8"/>
    <x v="0"/>
    <n v="1000"/>
    <n v="55"/>
    <n v="31"/>
    <s v="PUN01 NC Cluster 128"/>
    <m/>
    <d v="1899-12-30T01:08:00"/>
    <d v="1899-12-30T04:43:58"/>
    <n v="113247"/>
    <d v="1899-12-30T07:56:11"/>
    <d v="1899-12-30T07:56:18"/>
    <n v="113265"/>
    <n v="37"/>
    <n v="39"/>
    <n v="-2"/>
    <n v="18"/>
    <n v="18"/>
    <n v="0"/>
    <n v="0"/>
    <n v="0"/>
    <x v="0"/>
    <n v="0"/>
    <n v="0"/>
    <n v="0"/>
    <n v="0"/>
    <n v="806.45"/>
    <n v="0"/>
    <n v="806.45"/>
    <m/>
    <m/>
  </r>
  <r>
    <n v="331"/>
    <x v="14"/>
    <s v="HINJEWADI"/>
    <s v="SLK1"/>
    <x v="0"/>
    <x v="23"/>
    <s v="ACE"/>
    <s v="CNG"/>
    <n v="4"/>
    <n v="8"/>
    <x v="0"/>
    <n v="1000"/>
    <n v="55"/>
    <n v="31"/>
    <s v="PUN01 NC Cluster 168"/>
    <m/>
    <d v="1899-12-30T02:58:00"/>
    <d v="1899-12-30T04:30:10"/>
    <n v="78145"/>
    <d v="1899-12-30T08:55:22"/>
    <d v="1899-12-30T08:55:30"/>
    <n v="78174"/>
    <n v="57"/>
    <n v="57"/>
    <n v="0"/>
    <n v="29"/>
    <n v="29"/>
    <n v="0"/>
    <n v="0"/>
    <n v="1"/>
    <x v="1"/>
    <n v="0"/>
    <n v="0"/>
    <n v="0"/>
    <n v="0"/>
    <n v="956.45"/>
    <n v="0"/>
    <n v="956.45"/>
    <m/>
    <m/>
  </r>
  <r>
    <n v="332"/>
    <x v="14"/>
    <s v="HINJEWADI"/>
    <s v="SLK1"/>
    <x v="0"/>
    <x v="34"/>
    <s v="ACE"/>
    <s v="CNG"/>
    <n v="4"/>
    <n v="8"/>
    <x v="0"/>
    <n v="1000"/>
    <n v="55"/>
    <n v="31"/>
    <s v="PUN01 NC Cluster 40"/>
    <m/>
    <d v="1899-12-30T01:57:00"/>
    <d v="1899-12-30T04:20:13"/>
    <n v="88848"/>
    <d v="1899-12-30T08:00:19"/>
    <d v="1899-12-30T08:00:27"/>
    <n v="88863"/>
    <n v="45"/>
    <n v="45"/>
    <n v="0"/>
    <n v="15"/>
    <n v="15"/>
    <n v="0"/>
    <n v="0"/>
    <n v="0"/>
    <x v="0"/>
    <n v="0"/>
    <n v="0"/>
    <n v="0"/>
    <n v="0"/>
    <n v="806.45"/>
    <n v="0"/>
    <n v="806.45"/>
    <m/>
    <m/>
  </r>
  <r>
    <n v="333"/>
    <x v="14"/>
    <s v="HINJEWADI"/>
    <s v="SLK1"/>
    <x v="0"/>
    <x v="24"/>
    <s v="ACE"/>
    <s v="CNG"/>
    <n v="4"/>
    <n v="8"/>
    <x v="0"/>
    <n v="1000"/>
    <n v="55"/>
    <n v="31"/>
    <s v="PUN01 NC Cluster 59"/>
    <m/>
    <d v="1899-12-30T01:06:00"/>
    <d v="1899-12-30T04:22:37"/>
    <n v="87569"/>
    <d v="1899-12-30T08:10:02"/>
    <d v="1899-12-30T08:10:08"/>
    <n v="87587"/>
    <n v="29"/>
    <n v="29"/>
    <n v="0"/>
    <n v="18"/>
    <n v="18"/>
    <n v="0"/>
    <n v="0"/>
    <n v="1"/>
    <x v="1"/>
    <n v="0"/>
    <n v="0"/>
    <n v="0"/>
    <n v="0"/>
    <n v="956.45"/>
    <n v="0"/>
    <n v="956.45"/>
    <m/>
    <m/>
  </r>
  <r>
    <n v="334"/>
    <x v="14"/>
    <s v="HINJEWADI"/>
    <s v="SLK1"/>
    <x v="0"/>
    <x v="35"/>
    <s v="ACE"/>
    <s v="CNG"/>
    <n v="4"/>
    <n v="8"/>
    <x v="0"/>
    <n v="1000"/>
    <n v="55"/>
    <n v="31"/>
    <s v="PUN01 NC Cluster 126"/>
    <m/>
    <d v="1899-12-30T02:12:00"/>
    <d v="1899-12-30T04:13:57"/>
    <n v="44503"/>
    <d v="1899-12-30T07:11:08"/>
    <d v="1899-12-30T07:11:16"/>
    <n v="44540"/>
    <n v="32"/>
    <n v="32"/>
    <n v="0"/>
    <n v="37"/>
    <n v="37"/>
    <n v="0"/>
    <n v="0"/>
    <n v="0"/>
    <x v="0"/>
    <n v="0"/>
    <n v="0"/>
    <n v="0"/>
    <n v="0"/>
    <n v="806.45"/>
    <n v="0"/>
    <n v="806.45"/>
    <m/>
    <m/>
  </r>
  <r>
    <n v="335"/>
    <x v="14"/>
    <s v="HINJEWADI"/>
    <s v="SLK1"/>
    <x v="0"/>
    <x v="12"/>
    <s v="ACE"/>
    <s v="CNG"/>
    <n v="4"/>
    <n v="8"/>
    <x v="0"/>
    <n v="1000"/>
    <n v="55"/>
    <n v="31"/>
    <s v="PUN01 NC Cluster 35"/>
    <m/>
    <d v="1899-12-30T01:05:00"/>
    <d v="1899-12-30T04:22:53"/>
    <n v="83845"/>
    <d v="1899-12-30T07:50:04"/>
    <d v="1899-12-30T07:50:13"/>
    <n v="83862"/>
    <n v="35"/>
    <n v="35"/>
    <n v="0"/>
    <n v="17"/>
    <n v="17"/>
    <n v="0"/>
    <n v="0"/>
    <n v="0"/>
    <x v="0"/>
    <n v="0"/>
    <n v="0"/>
    <n v="0"/>
    <n v="0"/>
    <n v="806.45"/>
    <n v="0"/>
    <n v="806.45"/>
    <m/>
    <m/>
  </r>
  <r>
    <n v="336"/>
    <x v="14"/>
    <s v="HINJEWADI"/>
    <s v="SLK1"/>
    <x v="0"/>
    <x v="13"/>
    <s v="ACE"/>
    <s v="CNG"/>
    <n v="4"/>
    <n v="8"/>
    <x v="0"/>
    <n v="1000"/>
    <n v="55"/>
    <n v="31"/>
    <s v="PUN01 NC Cluster 125A"/>
    <m/>
    <d v="1899-12-30T02:11:00"/>
    <d v="1899-12-30T04:27:23"/>
    <n v="36852"/>
    <d v="1899-12-30T07:47:45"/>
    <d v="1899-12-30T07:47:55"/>
    <n v="36883"/>
    <n v="41"/>
    <n v="41"/>
    <n v="0"/>
    <n v="31"/>
    <n v="31"/>
    <n v="0"/>
    <n v="0"/>
    <n v="0"/>
    <x v="0"/>
    <n v="0"/>
    <n v="0"/>
    <n v="0"/>
    <n v="0"/>
    <n v="806.45"/>
    <n v="0"/>
    <n v="806.45"/>
    <m/>
    <m/>
  </r>
  <r>
    <n v="337"/>
    <x v="14"/>
    <s v="HINJEWADI"/>
    <s v="SLK1"/>
    <x v="0"/>
    <x v="14"/>
    <s v="ACE"/>
    <s v="CNG"/>
    <n v="6"/>
    <n v="8"/>
    <x v="1"/>
    <n v="2000"/>
    <n v="55"/>
    <n v="31"/>
    <s v="PUN01 NC Cluster 303"/>
    <m/>
    <d v="1899-12-30T03:13:00"/>
    <d v="1899-12-30T04:29:24"/>
    <n v="33623"/>
    <d v="1899-12-30T09:36:57"/>
    <d v="1899-12-30T09:37:21"/>
    <n v="33698"/>
    <n v="50"/>
    <n v="45"/>
    <n v="5"/>
    <n v="75"/>
    <n v="75"/>
    <n v="0"/>
    <n v="0"/>
    <n v="1"/>
    <x v="1"/>
    <n v="1"/>
    <n v="150"/>
    <n v="0"/>
    <n v="0"/>
    <n v="1214.52"/>
    <n v="150"/>
    <n v="1064.52"/>
    <m/>
    <m/>
  </r>
  <r>
    <n v="338"/>
    <x v="14"/>
    <s v="HINJEWADI"/>
    <s v="SLK1"/>
    <x v="0"/>
    <x v="15"/>
    <s v="ACE"/>
    <s v="CNG"/>
    <n v="4"/>
    <n v="8"/>
    <x v="0"/>
    <n v="1000"/>
    <n v="55"/>
    <n v="31"/>
    <s v="PUN01 NC Cluster 37"/>
    <m/>
    <d v="1899-12-30T01:04:00"/>
    <d v="1899-12-30T04:27:44"/>
    <n v="38653"/>
    <d v="1899-12-30T07:53:29"/>
    <d v="1899-12-30T07:53:44"/>
    <n v="38675"/>
    <n v="39"/>
    <n v="39"/>
    <n v="0"/>
    <n v="22"/>
    <n v="22"/>
    <n v="0"/>
    <n v="0"/>
    <n v="0"/>
    <x v="0"/>
    <n v="0"/>
    <n v="0"/>
    <n v="0"/>
    <n v="0"/>
    <n v="806.45"/>
    <n v="0"/>
    <n v="806.45"/>
    <m/>
    <m/>
  </r>
  <r>
    <n v="339"/>
    <x v="14"/>
    <s v="HINJEWADI"/>
    <s v="SLK1"/>
    <x v="0"/>
    <x v="17"/>
    <s v="ACE"/>
    <s v="CNG"/>
    <n v="4"/>
    <n v="8"/>
    <x v="0"/>
    <n v="1000"/>
    <n v="55"/>
    <n v="31"/>
    <s v="PUN01 NC Cluster 201"/>
    <m/>
    <d v="1899-12-30T01:04:00"/>
    <d v="1899-12-30T04:21:32"/>
    <n v="7362"/>
    <d v="1899-12-30T07:44:52"/>
    <d v="1899-12-30T07:44:59"/>
    <n v="7399"/>
    <n v="29"/>
    <n v="38"/>
    <n v="-9"/>
    <n v="37"/>
    <n v="37"/>
    <n v="0"/>
    <n v="0"/>
    <n v="0"/>
    <x v="0"/>
    <n v="0"/>
    <n v="0"/>
    <n v="0"/>
    <n v="0"/>
    <n v="806.45"/>
    <n v="0"/>
    <n v="806.45"/>
    <m/>
    <m/>
  </r>
  <r>
    <n v="340"/>
    <x v="14"/>
    <s v="HINJEWADI"/>
    <s v="SLK1"/>
    <x v="0"/>
    <x v="18"/>
    <s v="ACE"/>
    <s v="CNG"/>
    <n v="4"/>
    <n v="8"/>
    <x v="0"/>
    <n v="1000"/>
    <n v="55"/>
    <n v="31"/>
    <s v="PUN01 NC Cluster 38"/>
    <m/>
    <d v="1899-12-30T01:07:00"/>
    <d v="1899-12-30T04:23:10"/>
    <n v="4946"/>
    <d v="1899-12-30T08:12:26"/>
    <d v="1899-12-30T08:12:34"/>
    <n v="4962"/>
    <n v="52"/>
    <n v="52"/>
    <n v="0"/>
    <n v="16"/>
    <n v="16"/>
    <n v="0"/>
    <n v="0"/>
    <n v="1"/>
    <x v="1"/>
    <n v="0"/>
    <n v="0"/>
    <n v="0"/>
    <n v="0"/>
    <n v="956.45"/>
    <n v="0"/>
    <n v="956.45"/>
    <m/>
    <m/>
  </r>
  <r>
    <n v="341"/>
    <x v="14"/>
    <s v="HINJEWADI"/>
    <s v="SLK1"/>
    <x v="0"/>
    <x v="26"/>
    <s v="ACE"/>
    <s v="CNG"/>
    <n v="4"/>
    <n v="8"/>
    <x v="0"/>
    <n v="1000"/>
    <n v="55"/>
    <n v="31"/>
    <s v="PUN01 NC Cluster 136"/>
    <m/>
    <d v="1899-12-30T02:33:00"/>
    <d v="1899-12-30T04:29:46"/>
    <n v="41451"/>
    <d v="1899-12-30T07:18:33"/>
    <d v="1899-12-30T07:18:53"/>
    <n v="41481"/>
    <n v="46"/>
    <n v="67"/>
    <n v="-21"/>
    <n v="30"/>
    <n v="30"/>
    <n v="0"/>
    <n v="0"/>
    <n v="0"/>
    <x v="0"/>
    <n v="0"/>
    <n v="0"/>
    <n v="0"/>
    <n v="0"/>
    <n v="806.45"/>
    <n v="0"/>
    <n v="806.45"/>
    <m/>
    <m/>
  </r>
  <r>
    <n v="342"/>
    <x v="14"/>
    <s v="HINJEWADI"/>
    <s v="SLK1"/>
    <x v="0"/>
    <x v="20"/>
    <s v="BOLERO"/>
    <s v="DIESEL"/>
    <n v="4"/>
    <n v="10"/>
    <x v="2"/>
    <n v="1000"/>
    <n v="55"/>
    <n v="31"/>
    <s v="PUN01 NC Cluster 38"/>
    <m/>
    <d v="1899-12-30T01:41:00"/>
    <d v="1899-12-30T07:01:27"/>
    <n v="38887"/>
    <d v="1899-12-30T07:28:55"/>
    <d v="1899-12-30T07:29:05"/>
    <n v="38902"/>
    <n v="0"/>
    <n v="0"/>
    <n v="0"/>
    <n v="15"/>
    <n v="15"/>
    <n v="0"/>
    <n v="0"/>
    <n v="0"/>
    <x v="0"/>
    <n v="0"/>
    <n v="0"/>
    <n v="0"/>
    <n v="0"/>
    <n v="935.48"/>
    <n v="0"/>
    <n v="935.48"/>
    <m/>
    <m/>
  </r>
  <r>
    <n v="343"/>
    <x v="14"/>
    <s v="HINJEWADI"/>
    <s v="SLK1"/>
    <x v="0"/>
    <x v="31"/>
    <s v="BOLERO"/>
    <s v="DIESEL"/>
    <n v="4"/>
    <n v="10"/>
    <x v="2"/>
    <n v="1000"/>
    <n v="55"/>
    <n v="31"/>
    <s v="PUN01 NC Cluster 25"/>
    <m/>
    <d v="1899-12-30T02:31:00"/>
    <d v="1899-12-30T04:33:15"/>
    <n v="60641"/>
    <d v="1899-12-30T08:32:32"/>
    <d v="1899-12-30T08:32:41"/>
    <n v="60667"/>
    <n v="49"/>
    <n v="49"/>
    <n v="0"/>
    <n v="26"/>
    <n v="26"/>
    <n v="0"/>
    <n v="0"/>
    <n v="1"/>
    <x v="1"/>
    <n v="0"/>
    <n v="0"/>
    <n v="0"/>
    <n v="0"/>
    <n v="1085.48"/>
    <n v="0"/>
    <n v="1085.48"/>
    <m/>
    <m/>
  </r>
  <r>
    <n v="344"/>
    <x v="14"/>
    <s v="HINJEWADI"/>
    <s v="SLK1"/>
    <x v="0"/>
    <x v="21"/>
    <s v="BOLERO"/>
    <s v="DIESEL"/>
    <n v="4"/>
    <n v="10"/>
    <x v="2"/>
    <n v="1000"/>
    <n v="55"/>
    <n v="31"/>
    <s v="PUN01 Cluster 133"/>
    <m/>
    <d v="1899-12-30T02:32:00"/>
    <d v="1899-12-30T04:31:12"/>
    <n v="3189"/>
    <d v="1899-12-30T07:33:50"/>
    <d v="1899-12-30T07:33:58"/>
    <n v="3226"/>
    <n v="75"/>
    <n v="75"/>
    <n v="0"/>
    <n v="37"/>
    <n v="37"/>
    <n v="0"/>
    <n v="0"/>
    <n v="0"/>
    <x v="0"/>
    <n v="0"/>
    <n v="0"/>
    <n v="0"/>
    <n v="0"/>
    <n v="935.48"/>
    <n v="0"/>
    <n v="935.48"/>
    <m/>
    <m/>
  </r>
  <r>
    <n v="345"/>
    <x v="14"/>
    <s v="HINJEWADI"/>
    <s v="SLK1"/>
    <x v="0"/>
    <x v="22"/>
    <s v="BOLERO"/>
    <s v="DIESEL"/>
    <n v="4"/>
    <n v="10"/>
    <x v="2"/>
    <n v="1000"/>
    <n v="55"/>
    <n v="31"/>
    <s v="PUN01 NC Cluster 139"/>
    <m/>
    <d v="1899-12-30T02:05:00"/>
    <d v="1899-12-30T04:28:03"/>
    <n v="139202"/>
    <d v="1899-12-30T07:26:58"/>
    <d v="1899-12-30T07:27:15"/>
    <n v="139226"/>
    <n v="50"/>
    <n v="61"/>
    <n v="-11"/>
    <n v="24"/>
    <n v="24"/>
    <n v="0"/>
    <n v="0"/>
    <n v="0"/>
    <x v="0"/>
    <n v="0"/>
    <n v="0"/>
    <n v="0"/>
    <n v="0"/>
    <n v="935.48"/>
    <n v="0"/>
    <n v="935.48"/>
    <m/>
    <m/>
  </r>
  <r>
    <n v="346"/>
    <x v="14"/>
    <s v="HINJEWADI"/>
    <s v="SLK1"/>
    <x v="0"/>
    <x v="36"/>
    <s v="ACE"/>
    <s v="CNG"/>
    <n v="4"/>
    <n v="8"/>
    <x v="0"/>
    <n v="1000"/>
    <n v="55"/>
    <n v="31"/>
    <s v="PUN01 NC Cluster 12"/>
    <m/>
    <d v="1899-12-30T01:10:00"/>
    <d v="1899-12-30T04:20:18"/>
    <n v="115383"/>
    <d v="1899-12-30T07:32:04"/>
    <d v="1899-12-30T07:32:25"/>
    <n v="115407"/>
    <n v="55"/>
    <n v="55"/>
    <n v="0"/>
    <n v="24"/>
    <n v="24"/>
    <n v="0"/>
    <n v="0"/>
    <n v="0"/>
    <x v="0"/>
    <n v="0"/>
    <n v="0"/>
    <n v="0"/>
    <n v="0"/>
    <n v="806.45"/>
    <n v="0"/>
    <n v="806.45"/>
    <m/>
    <m/>
  </r>
  <r>
    <n v="347"/>
    <x v="15"/>
    <s v="HINJEWADI"/>
    <s v="SLK1"/>
    <x v="0"/>
    <x v="0"/>
    <s v="ACE"/>
    <s v="CNG"/>
    <n v="4"/>
    <n v="8"/>
    <x v="0"/>
    <n v="1000"/>
    <n v="55"/>
    <n v="31"/>
    <s v="PUN01 NC Cluster 1"/>
    <m/>
    <d v="1899-12-30T01:16:00"/>
    <d v="1899-12-30T03:46:37"/>
    <n v="57221"/>
    <d v="1899-12-30T07:01:01"/>
    <d v="1899-12-30T07:01:14"/>
    <n v="57229"/>
    <n v="40"/>
    <n v="41"/>
    <n v="-1"/>
    <n v="8"/>
    <n v="8"/>
    <n v="0"/>
    <n v="0"/>
    <n v="0"/>
    <x v="0"/>
    <n v="0"/>
    <n v="0"/>
    <n v="0"/>
    <n v="0"/>
    <n v="806.45"/>
    <n v="0"/>
    <n v="806.45"/>
    <m/>
    <m/>
  </r>
  <r>
    <n v="348"/>
    <x v="15"/>
    <s v="HINJEWADI"/>
    <s v="SLK1"/>
    <x v="0"/>
    <x v="3"/>
    <s v="ACE"/>
    <s v="CNG"/>
    <n v="4"/>
    <n v="8"/>
    <x v="0"/>
    <n v="1000"/>
    <n v="55"/>
    <n v="31"/>
    <s v="PUN01 NC Cluster 13"/>
    <m/>
    <d v="1899-12-30T02:58:00"/>
    <d v="1899-12-30T03:52:22"/>
    <n v="84048"/>
    <d v="1899-12-30T08:09:50"/>
    <d v="1899-12-30T08:09:57"/>
    <n v="84074"/>
    <n v="30"/>
    <n v="32"/>
    <n v="-2"/>
    <n v="26"/>
    <n v="26"/>
    <n v="0"/>
    <n v="0"/>
    <n v="1"/>
    <x v="1"/>
    <n v="0"/>
    <n v="0"/>
    <n v="0"/>
    <n v="0"/>
    <n v="956.45"/>
    <n v="0"/>
    <n v="956.45"/>
    <m/>
    <m/>
  </r>
  <r>
    <n v="349"/>
    <x v="15"/>
    <s v="HINJEWADI"/>
    <s v="SLK1"/>
    <x v="0"/>
    <x v="30"/>
    <s v="ACE"/>
    <s v="CNG"/>
    <n v="4"/>
    <n v="8"/>
    <x v="0"/>
    <n v="1000"/>
    <n v="55"/>
    <n v="31"/>
    <s v="PUN01 NC Cluster 106"/>
    <m/>
    <d v="1899-12-30T01:15:00"/>
    <d v="1899-12-30T03:55:02"/>
    <n v="38217"/>
    <d v="1899-12-30T07:58:32"/>
    <d v="1899-12-30T07:59:15"/>
    <n v="38241"/>
    <n v="30"/>
    <n v="40"/>
    <n v="-10"/>
    <n v="24"/>
    <n v="24"/>
    <n v="0"/>
    <n v="0"/>
    <n v="0"/>
    <x v="0"/>
    <n v="0"/>
    <n v="0"/>
    <n v="0"/>
    <n v="0"/>
    <n v="806.45"/>
    <n v="0"/>
    <n v="806.45"/>
    <m/>
    <m/>
  </r>
  <r>
    <n v="350"/>
    <x v="15"/>
    <s v="HINJEWADI"/>
    <s v="SLK1"/>
    <x v="0"/>
    <x v="4"/>
    <s v="ACE"/>
    <s v="CNG"/>
    <n v="4"/>
    <n v="8"/>
    <x v="0"/>
    <n v="1000"/>
    <n v="55"/>
    <n v="31"/>
    <s v="PUN01 NC Cluster 36"/>
    <m/>
    <d v="1899-12-30T01:18:00"/>
    <d v="1899-12-30T03:44:54"/>
    <n v="12444"/>
    <d v="1899-12-30T07:05:51"/>
    <d v="1899-12-30T07:06:00"/>
    <n v="12465"/>
    <n v="27"/>
    <n v="34"/>
    <n v="-7"/>
    <n v="21"/>
    <n v="21"/>
    <n v="0"/>
    <n v="0"/>
    <n v="0"/>
    <x v="0"/>
    <n v="0"/>
    <n v="0"/>
    <n v="0"/>
    <n v="0"/>
    <n v="806.45"/>
    <n v="0"/>
    <n v="806.45"/>
    <m/>
    <m/>
  </r>
  <r>
    <n v="351"/>
    <x v="15"/>
    <s v="HINJEWADI"/>
    <s v="SLK1"/>
    <x v="0"/>
    <x v="28"/>
    <s v="ACE"/>
    <s v="CNG"/>
    <n v="4"/>
    <n v="8"/>
    <x v="0"/>
    <n v="1000"/>
    <n v="55"/>
    <n v="31"/>
    <s v="PUN01 NC Cluster 72"/>
    <m/>
    <d v="1899-12-30T01:50:00"/>
    <d v="1899-12-30T03:47:22"/>
    <n v="15325"/>
    <d v="1899-12-30T07:53:59"/>
    <d v="1899-12-30T07:54:08"/>
    <n v="15346"/>
    <n v="30"/>
    <n v="44"/>
    <n v="-14"/>
    <n v="21"/>
    <n v="21"/>
    <n v="0"/>
    <n v="0"/>
    <n v="0"/>
    <x v="0"/>
    <n v="0"/>
    <n v="0"/>
    <n v="0"/>
    <n v="0"/>
    <n v="806.45"/>
    <n v="0"/>
    <n v="806.45"/>
    <m/>
    <m/>
  </r>
  <r>
    <n v="352"/>
    <x v="15"/>
    <s v="HINJEWADI"/>
    <s v="SLK1"/>
    <x v="0"/>
    <x v="5"/>
    <s v="ACE"/>
    <s v="CNG"/>
    <n v="4"/>
    <n v="8"/>
    <x v="0"/>
    <n v="1000"/>
    <n v="55"/>
    <n v="31"/>
    <s v="PUN01 NC Cluster 87"/>
    <m/>
    <d v="1899-12-30T02:17:00"/>
    <d v="1899-12-30T03:42:36"/>
    <n v="145350"/>
    <d v="1899-12-30T07:02:58"/>
    <d v="1899-12-30T07:03:07"/>
    <n v="145367"/>
    <n v="26"/>
    <n v="32"/>
    <n v="-6"/>
    <n v="17"/>
    <n v="17"/>
    <n v="0"/>
    <n v="0"/>
    <n v="0"/>
    <x v="0"/>
    <n v="0"/>
    <n v="0"/>
    <n v="0"/>
    <n v="0"/>
    <n v="806.45"/>
    <n v="0"/>
    <n v="806.45"/>
    <m/>
    <m/>
  </r>
  <r>
    <n v="353"/>
    <x v="15"/>
    <s v="HINJEWADI"/>
    <s v="SLK1"/>
    <x v="0"/>
    <x v="36"/>
    <s v="ACE"/>
    <s v="CNG"/>
    <n v="4"/>
    <n v="8"/>
    <x v="0"/>
    <n v="1000"/>
    <n v="55"/>
    <n v="31"/>
    <s v="PUN01 NC Cluster 12"/>
    <m/>
    <d v="1899-12-30T01:12:00"/>
    <d v="1899-12-30T03:50:36"/>
    <n v="115466"/>
    <d v="1899-12-30T07:00:29"/>
    <d v="1899-12-30T07:00:42"/>
    <n v="115486"/>
    <n v="34"/>
    <n v="49"/>
    <n v="-15"/>
    <n v="20"/>
    <n v="20"/>
    <n v="0"/>
    <n v="0"/>
    <n v="0"/>
    <x v="0"/>
    <n v="0"/>
    <n v="0"/>
    <n v="0"/>
    <n v="0"/>
    <n v="806.45"/>
    <n v="0"/>
    <n v="806.45"/>
    <m/>
    <m/>
  </r>
  <r>
    <n v="354"/>
    <x v="15"/>
    <s v="HINJEWADI"/>
    <s v="SLK1"/>
    <x v="0"/>
    <x v="6"/>
    <s v="ACE"/>
    <s v="CNG"/>
    <n v="4"/>
    <n v="8"/>
    <x v="0"/>
    <n v="1000"/>
    <n v="55"/>
    <n v="31"/>
    <s v="PUN01 NC Cluster 10"/>
    <m/>
    <d v="1899-12-30T01:13:00"/>
    <d v="1899-12-30T03:46:50"/>
    <n v="144121"/>
    <d v="1899-12-30T07:47:29"/>
    <d v="1899-12-30T07:47:39"/>
    <n v="144147"/>
    <n v="35"/>
    <n v="37"/>
    <n v="-2"/>
    <n v="26"/>
    <n v="26"/>
    <n v="0"/>
    <n v="0"/>
    <n v="0"/>
    <x v="0"/>
    <n v="0"/>
    <n v="0"/>
    <n v="0"/>
    <n v="0"/>
    <n v="806.45"/>
    <n v="0"/>
    <n v="806.45"/>
    <m/>
    <m/>
  </r>
  <r>
    <n v="355"/>
    <x v="15"/>
    <s v="HINJEWADI"/>
    <s v="SLK1"/>
    <x v="0"/>
    <x v="8"/>
    <s v="ACE"/>
    <s v="CNG"/>
    <n v="4"/>
    <n v="8"/>
    <x v="0"/>
    <n v="1000"/>
    <n v="55"/>
    <n v="31"/>
    <s v="PUN01 NC Cluster 40"/>
    <m/>
    <d v="1899-12-30T01:19:00"/>
    <d v="1899-12-30T03:46:16"/>
    <n v="113394"/>
    <d v="1899-12-30T07:11:53"/>
    <d v="1899-12-30T07:12:07"/>
    <n v="113414"/>
    <n v="38"/>
    <n v="48"/>
    <n v="-10"/>
    <n v="20"/>
    <n v="20"/>
    <n v="0"/>
    <n v="0"/>
    <n v="0"/>
    <x v="0"/>
    <n v="0"/>
    <n v="0"/>
    <n v="0"/>
    <n v="0"/>
    <n v="806.45"/>
    <n v="0"/>
    <n v="806.45"/>
    <m/>
    <m/>
  </r>
  <r>
    <n v="356"/>
    <x v="15"/>
    <s v="HINJEWADI"/>
    <s v="SLK1"/>
    <x v="0"/>
    <x v="23"/>
    <s v="ACE"/>
    <s v="CNG"/>
    <n v="4"/>
    <n v="8"/>
    <x v="0"/>
    <n v="1000"/>
    <n v="55"/>
    <n v="31"/>
    <s v="PUN01 NC Cluster 191"/>
    <m/>
    <d v="1899-12-30T01:16:00"/>
    <d v="1899-12-30T04:03:36"/>
    <n v="78199"/>
    <d v="1899-12-30T07:30:18"/>
    <d v="1899-12-30T07:30:27"/>
    <n v="78235"/>
    <n v="35"/>
    <n v="44"/>
    <n v="-9"/>
    <n v="36"/>
    <n v="36"/>
    <n v="0"/>
    <n v="0"/>
    <n v="0"/>
    <x v="0"/>
    <n v="0"/>
    <n v="0"/>
    <n v="0"/>
    <n v="0"/>
    <n v="806.45"/>
    <n v="0"/>
    <n v="806.45"/>
    <m/>
    <m/>
  </r>
  <r>
    <n v="357"/>
    <x v="15"/>
    <s v="HINJEWADI"/>
    <s v="SLK1"/>
    <x v="0"/>
    <x v="34"/>
    <s v="ACE"/>
    <s v="CNG"/>
    <n v="4"/>
    <n v="8"/>
    <x v="0"/>
    <n v="1000"/>
    <n v="55"/>
    <n v="31"/>
    <s v="PUN01 NC Cluster 15"/>
    <m/>
    <d v="1899-12-30T02:06:00"/>
    <d v="1899-12-30T04:13:34"/>
    <n v="88968"/>
    <m/>
    <m/>
    <n v="88968"/>
    <m/>
    <n v="0"/>
    <n v="0"/>
    <n v="0"/>
    <n v="0"/>
    <n v="0"/>
    <n v="0"/>
    <n v="0"/>
    <x v="0"/>
    <n v="0"/>
    <n v="0"/>
    <n v="0"/>
    <n v="0"/>
    <n v="806.45"/>
    <n v="0"/>
    <n v="806.45"/>
    <m/>
    <m/>
  </r>
  <r>
    <n v="358"/>
    <x v="15"/>
    <s v="HINJEWADI"/>
    <s v="SLK1"/>
    <x v="0"/>
    <x v="9"/>
    <s v="ACE"/>
    <s v="CNG"/>
    <n v="6"/>
    <n v="8"/>
    <x v="1"/>
    <n v="2000"/>
    <n v="55"/>
    <n v="31"/>
    <s v="PUN01 NC Cluster 300"/>
    <m/>
    <d v="1899-12-30T02:37:00"/>
    <d v="1899-12-30T03:48:56"/>
    <n v="48028"/>
    <d v="1899-12-30T08:00:18"/>
    <d v="1899-12-30T08:00:54"/>
    <n v="48125"/>
    <n v="27"/>
    <n v="58"/>
    <n v="-31"/>
    <n v="97"/>
    <n v="97"/>
    <n v="0"/>
    <n v="0"/>
    <n v="0"/>
    <x v="0"/>
    <n v="0"/>
    <n v="0"/>
    <n v="0"/>
    <n v="0"/>
    <n v="1064.52"/>
    <n v="0"/>
    <n v="1064.52"/>
    <m/>
    <m/>
  </r>
  <r>
    <n v="359"/>
    <x v="15"/>
    <s v="HINJEWADI"/>
    <s v="SLK1"/>
    <x v="0"/>
    <x v="37"/>
    <s v="ACE"/>
    <s v="CNG"/>
    <n v="4"/>
    <n v="8"/>
    <x v="0"/>
    <n v="1000"/>
    <n v="55"/>
    <n v="31"/>
    <s v="PUN01 NC Cluster 93"/>
    <m/>
    <d v="1899-12-30T01:10:00"/>
    <d v="1899-12-30T04:18:39"/>
    <n v="66157"/>
    <d v="1899-12-30T08:21:38"/>
    <d v="1899-12-30T08:21:48"/>
    <n v="66169"/>
    <n v="28"/>
    <n v="36"/>
    <n v="-8"/>
    <n v="12"/>
    <n v="12"/>
    <n v="0"/>
    <n v="0"/>
    <n v="1"/>
    <x v="1"/>
    <n v="0"/>
    <n v="0"/>
    <n v="0"/>
    <n v="0"/>
    <n v="956.45"/>
    <n v="0"/>
    <n v="956.45"/>
    <m/>
    <m/>
  </r>
  <r>
    <n v="360"/>
    <x v="15"/>
    <s v="HINJEWADI"/>
    <s v="SLK1"/>
    <x v="0"/>
    <x v="12"/>
    <s v="ACE"/>
    <s v="CNG"/>
    <n v="4"/>
    <n v="8"/>
    <x v="0"/>
    <n v="1000"/>
    <n v="55"/>
    <n v="31"/>
    <s v="PUN01 NC Cluster 42"/>
    <m/>
    <d v="1899-12-30T01:17:00"/>
    <d v="1899-12-30T03:43:34"/>
    <n v="83969"/>
    <d v="1899-12-30T06:59:23"/>
    <d v="1899-12-30T07:00:12"/>
    <n v="83986"/>
    <n v="37"/>
    <n v="48"/>
    <n v="-11"/>
    <n v="17"/>
    <n v="17"/>
    <n v="0"/>
    <n v="0"/>
    <n v="0"/>
    <x v="0"/>
    <n v="0"/>
    <n v="0"/>
    <n v="0"/>
    <n v="0"/>
    <n v="806.45"/>
    <n v="0"/>
    <n v="806.45"/>
    <m/>
    <m/>
  </r>
  <r>
    <n v="361"/>
    <x v="15"/>
    <s v="HINJEWADI"/>
    <s v="SLK1"/>
    <x v="0"/>
    <x v="13"/>
    <s v="ACE"/>
    <s v="CNG"/>
    <n v="4"/>
    <n v="8"/>
    <x v="0"/>
    <n v="1000"/>
    <n v="55"/>
    <n v="31"/>
    <s v="PUN01 NC Cluster 149"/>
    <m/>
    <d v="1899-12-30T02:11:00"/>
    <d v="1899-12-30T03:57:23"/>
    <n v="36930"/>
    <d v="1899-12-30T07:13:27"/>
    <d v="1899-12-30T07:13:36"/>
    <n v="36959"/>
    <n v="40"/>
    <n v="42"/>
    <n v="-2"/>
    <n v="29"/>
    <n v="29"/>
    <n v="0"/>
    <n v="0"/>
    <n v="0"/>
    <x v="0"/>
    <n v="0"/>
    <n v="0"/>
    <n v="0"/>
    <n v="0"/>
    <n v="806.45"/>
    <n v="0"/>
    <n v="806.45"/>
    <m/>
    <m/>
  </r>
  <r>
    <n v="362"/>
    <x v="15"/>
    <s v="HINJEWADI"/>
    <s v="SLK1"/>
    <x v="0"/>
    <x v="14"/>
    <s v="ACE"/>
    <s v="CNG"/>
    <n v="6"/>
    <n v="8"/>
    <x v="1"/>
    <n v="2000"/>
    <n v="55"/>
    <n v="31"/>
    <s v="PUN01 NC Cluster 303"/>
    <m/>
    <d v="1899-12-30T01:11:00"/>
    <d v="1899-12-30T03:49:48"/>
    <n v="33765"/>
    <d v="1899-12-30T08:17:12"/>
    <d v="1899-12-30T08:17:43"/>
    <n v="33837"/>
    <n v="29"/>
    <n v="37"/>
    <n v="-8"/>
    <n v="72"/>
    <n v="72"/>
    <n v="0"/>
    <n v="0"/>
    <n v="0"/>
    <x v="0"/>
    <n v="0"/>
    <n v="0"/>
    <n v="0"/>
    <n v="0"/>
    <n v="1064.52"/>
    <n v="0"/>
    <n v="1064.52"/>
    <m/>
    <m/>
  </r>
  <r>
    <n v="363"/>
    <x v="15"/>
    <s v="HINJEWADI"/>
    <s v="SLK1"/>
    <x v="0"/>
    <x v="15"/>
    <s v="ACE"/>
    <s v="CNG"/>
    <n v="4"/>
    <n v="8"/>
    <x v="0"/>
    <n v="1000"/>
    <n v="55"/>
    <n v="31"/>
    <s v="PUN01 NC Cluster 37"/>
    <m/>
    <d v="1899-12-30T01:18:00"/>
    <d v="1899-12-30T03:46:54"/>
    <n v="38759"/>
    <d v="1899-12-30T07:03:41"/>
    <d v="1899-12-30T07:03:50"/>
    <n v="38773"/>
    <n v="38"/>
    <n v="38"/>
    <n v="0"/>
    <n v="14"/>
    <n v="14"/>
    <n v="0"/>
    <n v="0"/>
    <n v="0"/>
    <x v="0"/>
    <n v="0"/>
    <n v="0"/>
    <n v="0"/>
    <n v="0"/>
    <n v="806.45"/>
    <n v="0"/>
    <n v="806.45"/>
    <m/>
    <m/>
  </r>
  <r>
    <n v="364"/>
    <x v="15"/>
    <s v="HINJEWADI"/>
    <s v="SLK1"/>
    <x v="0"/>
    <x v="17"/>
    <s v="ACE"/>
    <s v="CNG"/>
    <n v="4"/>
    <n v="8"/>
    <x v="0"/>
    <n v="1000"/>
    <n v="55"/>
    <n v="31"/>
    <s v="PUN01 NC Cluster 201"/>
    <m/>
    <d v="1899-12-30T01:20:00"/>
    <d v="1899-12-30T03:41:18"/>
    <n v="7436"/>
    <d v="1899-12-30T07:15:01"/>
    <d v="1899-12-30T07:15:09"/>
    <n v="7466"/>
    <n v="38"/>
    <n v="33"/>
    <n v="5"/>
    <n v="30"/>
    <n v="30"/>
    <n v="0"/>
    <n v="0"/>
    <n v="0"/>
    <x v="0"/>
    <n v="0"/>
    <n v="0"/>
    <n v="0"/>
    <n v="0"/>
    <n v="806.45"/>
    <n v="0"/>
    <n v="806.45"/>
    <m/>
    <m/>
  </r>
  <r>
    <n v="365"/>
    <x v="15"/>
    <s v="HINJEWADI"/>
    <s v="SLK1"/>
    <x v="0"/>
    <x v="18"/>
    <s v="ACE"/>
    <s v="CNG"/>
    <n v="4"/>
    <n v="8"/>
    <x v="0"/>
    <n v="1000"/>
    <n v="55"/>
    <n v="31"/>
    <s v="PUN01 NC Cluster 38"/>
    <m/>
    <d v="1899-12-30T01:16:00"/>
    <d v="1899-12-30T03:42:21"/>
    <n v="5104"/>
    <d v="1899-12-30T07:04:07"/>
    <d v="1899-12-30T07:04:13"/>
    <n v="5120"/>
    <n v="40"/>
    <n v="48"/>
    <n v="-8"/>
    <n v="16"/>
    <n v="16"/>
    <n v="0"/>
    <n v="0"/>
    <n v="0"/>
    <x v="0"/>
    <n v="0"/>
    <n v="0"/>
    <n v="0"/>
    <n v="0"/>
    <n v="806.45"/>
    <n v="0"/>
    <n v="806.45"/>
    <m/>
    <m/>
  </r>
  <r>
    <n v="366"/>
    <x v="15"/>
    <s v="HINJEWADI"/>
    <s v="SLK1"/>
    <x v="0"/>
    <x v="26"/>
    <s v="ACE"/>
    <s v="CNG"/>
    <n v="4"/>
    <n v="8"/>
    <x v="0"/>
    <n v="1000"/>
    <n v="55"/>
    <n v="31"/>
    <s v="PUN01 NC Cluster 23"/>
    <m/>
    <d v="1899-12-30T02:45:00"/>
    <d v="1899-12-30T04:07:44"/>
    <n v="41524"/>
    <d v="1899-12-30T07:37:01"/>
    <d v="1899-12-30T07:37:10"/>
    <n v="41542"/>
    <n v="36"/>
    <n v="30"/>
    <n v="6"/>
    <n v="18"/>
    <n v="18"/>
    <n v="0"/>
    <n v="0"/>
    <n v="0"/>
    <x v="0"/>
    <n v="0"/>
    <n v="0"/>
    <n v="0"/>
    <n v="0"/>
    <n v="806.45"/>
    <n v="0"/>
    <n v="806.45"/>
    <m/>
    <m/>
  </r>
  <r>
    <n v="367"/>
    <x v="15"/>
    <s v="HINJEWADI"/>
    <s v="SLK1"/>
    <x v="0"/>
    <x v="19"/>
    <s v="BOLERO"/>
    <s v="DIESEL"/>
    <n v="4"/>
    <n v="10"/>
    <x v="2"/>
    <n v="1000"/>
    <n v="55"/>
    <n v="31"/>
    <s v="PUN01 NC Cluster 73"/>
    <m/>
    <d v="1899-12-30T02:59:00"/>
    <d v="1899-12-30T03:49:35"/>
    <n v="32982"/>
    <d v="1899-12-30T08:32:25"/>
    <d v="1899-12-30T08:32:42"/>
    <n v="32991"/>
    <n v="33"/>
    <n v="69"/>
    <n v="-36"/>
    <n v="9"/>
    <n v="9"/>
    <n v="0"/>
    <n v="0"/>
    <n v="1"/>
    <x v="1"/>
    <n v="0"/>
    <n v="0"/>
    <n v="0"/>
    <n v="0"/>
    <n v="1085.48"/>
    <n v="0"/>
    <n v="1085.48"/>
    <m/>
    <m/>
  </r>
  <r>
    <n v="368"/>
    <x v="15"/>
    <s v="HINJEWADI"/>
    <s v="SLK1"/>
    <x v="0"/>
    <x v="20"/>
    <s v="BOLERO"/>
    <s v="DIESEL"/>
    <n v="4"/>
    <n v="10"/>
    <x v="2"/>
    <n v="1000"/>
    <n v="55"/>
    <n v="31"/>
    <s v="PUN01 NC Cluster 25"/>
    <m/>
    <d v="1899-12-30T01:28:00"/>
    <d v="1899-12-30T03:53:27"/>
    <n v="38968"/>
    <d v="1899-12-30T08:27:36"/>
    <d v="1899-12-30T08:29:33"/>
    <n v="38997"/>
    <n v="29"/>
    <n v="65"/>
    <n v="-36"/>
    <n v="29"/>
    <n v="29"/>
    <n v="0"/>
    <n v="0"/>
    <n v="1"/>
    <x v="1"/>
    <n v="0"/>
    <n v="0"/>
    <n v="0"/>
    <n v="0"/>
    <n v="1085.48"/>
    <n v="0"/>
    <n v="1085.48"/>
    <m/>
    <m/>
  </r>
  <r>
    <n v="369"/>
    <x v="15"/>
    <s v="HINJEWADI"/>
    <s v="SLK1"/>
    <x v="0"/>
    <x v="21"/>
    <s v="BOLERO"/>
    <s v="DIESEL"/>
    <n v="4"/>
    <n v="10"/>
    <x v="2"/>
    <n v="1000"/>
    <n v="55"/>
    <n v="31"/>
    <s v="PUN01 NC Cluster 101"/>
    <m/>
    <d v="1899-12-30T02:17:00"/>
    <d v="1899-12-30T03:59:53"/>
    <n v="3247"/>
    <d v="1899-12-30T07:46:44"/>
    <d v="1899-12-30T07:46:57"/>
    <n v="3271"/>
    <n v="47"/>
    <n v="68"/>
    <n v="-21"/>
    <n v="24"/>
    <n v="24"/>
    <n v="0"/>
    <n v="0"/>
    <n v="0"/>
    <x v="0"/>
    <n v="0"/>
    <n v="0"/>
    <n v="0"/>
    <n v="0"/>
    <n v="935.48"/>
    <n v="0"/>
    <n v="935.48"/>
    <m/>
    <m/>
  </r>
  <r>
    <n v="370"/>
    <x v="15"/>
    <s v="HINJEWADI"/>
    <s v="SLK1"/>
    <x v="0"/>
    <x v="22"/>
    <s v="BOLERO"/>
    <s v="DIESEL"/>
    <n v="4"/>
    <n v="10"/>
    <x v="2"/>
    <n v="1000"/>
    <n v="55"/>
    <n v="31"/>
    <s v="PUN01 NC Cluster 126"/>
    <m/>
    <d v="1899-12-30T02:12:00"/>
    <d v="1899-12-30T03:58:28"/>
    <n v="139257"/>
    <d v="1899-12-30T07:05:27"/>
    <d v="1899-12-30T07:05:38"/>
    <n v="139295"/>
    <n v="60"/>
    <n v="28"/>
    <n v="32"/>
    <n v="38"/>
    <n v="38"/>
    <n v="0"/>
    <n v="0"/>
    <n v="0"/>
    <x v="0"/>
    <n v="0"/>
    <n v="0"/>
    <n v="0"/>
    <n v="0"/>
    <n v="935.48"/>
    <n v="0"/>
    <n v="935.48"/>
    <m/>
    <m/>
  </r>
  <r>
    <n v="371"/>
    <x v="16"/>
    <s v="HINJEWADI"/>
    <s v="SLK1"/>
    <x v="0"/>
    <x v="0"/>
    <s v="ACE"/>
    <s v="CNG"/>
    <n v="4"/>
    <n v="8"/>
    <x v="0"/>
    <n v="1000"/>
    <n v="55"/>
    <n v="31"/>
    <s v="PUN01 NC Cluster 1"/>
    <m/>
    <d v="1899-12-30T01:01:00"/>
    <d v="1899-12-30T04:37:07"/>
    <n v="57397"/>
    <d v="1899-12-30T08:05:17"/>
    <d v="1899-12-30T08:05:23"/>
    <n v="57403"/>
    <n v="40"/>
    <n v="40"/>
    <n v="0"/>
    <n v="6"/>
    <n v="6"/>
    <n v="0"/>
    <n v="0"/>
    <n v="1"/>
    <x v="1"/>
    <n v="0"/>
    <n v="0"/>
    <n v="0"/>
    <n v="0"/>
    <n v="956.45"/>
    <n v="0"/>
    <n v="956.45"/>
    <m/>
    <m/>
  </r>
  <r>
    <n v="372"/>
    <x v="16"/>
    <s v="HINJEWADI"/>
    <s v="SLK1"/>
    <x v="0"/>
    <x v="29"/>
    <s v="ACE"/>
    <s v="CNG"/>
    <n v="4"/>
    <n v="8"/>
    <x v="0"/>
    <n v="1000"/>
    <n v="55"/>
    <n v="31"/>
    <s v="PUN01 NC Cluster 5"/>
    <m/>
    <d v="1899-12-30T01:09:00"/>
    <d v="1899-12-30T04:44:27"/>
    <n v="110516"/>
    <d v="1899-12-30T06:51:42"/>
    <d v="1899-12-30T06:51:51"/>
    <n v="110529"/>
    <n v="27"/>
    <n v="27"/>
    <n v="0"/>
    <n v="13"/>
    <n v="13"/>
    <n v="0"/>
    <n v="0"/>
    <n v="0"/>
    <x v="0"/>
    <n v="0"/>
    <n v="0"/>
    <n v="0"/>
    <n v="0"/>
    <n v="806.45"/>
    <n v="0"/>
    <n v="806.45"/>
    <m/>
    <m/>
  </r>
  <r>
    <n v="373"/>
    <x v="16"/>
    <s v="HINJEWADI"/>
    <s v="SLK1"/>
    <x v="0"/>
    <x v="30"/>
    <s v="ACE"/>
    <s v="CNG"/>
    <n v="4"/>
    <n v="8"/>
    <x v="0"/>
    <n v="1000"/>
    <n v="55"/>
    <n v="31"/>
    <s v="PUN01 NC Cluster 8A"/>
    <m/>
    <d v="1899-12-30T01:09:00"/>
    <d v="1899-12-30T04:43:24"/>
    <n v="38382"/>
    <d v="1899-12-30T06:49:17"/>
    <d v="1899-12-30T06:50:49"/>
    <n v="38392"/>
    <n v="34"/>
    <n v="34"/>
    <n v="0"/>
    <n v="10"/>
    <n v="10"/>
    <n v="0"/>
    <n v="0"/>
    <n v="0"/>
    <x v="0"/>
    <n v="0"/>
    <n v="0"/>
    <n v="0"/>
    <n v="0"/>
    <n v="806.45"/>
    <n v="0"/>
    <n v="806.45"/>
    <m/>
    <m/>
  </r>
  <r>
    <n v="374"/>
    <x v="16"/>
    <s v="HINJEWADI"/>
    <s v="SLK1"/>
    <x v="0"/>
    <x v="4"/>
    <s v="ACE"/>
    <s v="CNG"/>
    <n v="4"/>
    <n v="8"/>
    <x v="0"/>
    <n v="1000"/>
    <n v="55"/>
    <n v="31"/>
    <s v="PUN01 NC Cluster 37"/>
    <m/>
    <d v="1899-12-30T02:48:00"/>
    <d v="1899-12-30T04:42:31"/>
    <n v="12557"/>
    <d v="1899-12-30T07:04:22"/>
    <d v="1899-12-30T07:04:36"/>
    <n v="12572"/>
    <n v="45"/>
    <n v="32"/>
    <n v="13"/>
    <n v="15"/>
    <n v="15"/>
    <n v="0"/>
    <n v="0"/>
    <n v="0"/>
    <x v="0"/>
    <n v="0"/>
    <n v="0"/>
    <n v="0"/>
    <n v="0"/>
    <n v="806.45"/>
    <n v="0"/>
    <n v="806.45"/>
    <m/>
    <m/>
  </r>
  <r>
    <n v="375"/>
    <x v="16"/>
    <s v="HINJEWADI"/>
    <s v="SLK1"/>
    <x v="0"/>
    <x v="5"/>
    <s v="ACE"/>
    <s v="CNG"/>
    <n v="4"/>
    <n v="8"/>
    <x v="0"/>
    <n v="1000"/>
    <n v="55"/>
    <n v="31"/>
    <s v="PUN01 NC Cluster 87"/>
    <m/>
    <d v="1899-12-30T02:24:00"/>
    <d v="1899-12-30T04:41:14"/>
    <n v="145371"/>
    <d v="1899-12-30T07:07:46"/>
    <d v="1899-12-30T07:08:30"/>
    <n v="145388"/>
    <n v="26"/>
    <n v="26"/>
    <n v="0"/>
    <n v="17"/>
    <n v="17"/>
    <n v="0"/>
    <n v="0"/>
    <n v="0"/>
    <x v="0"/>
    <n v="0"/>
    <n v="0"/>
    <n v="0"/>
    <n v="0"/>
    <n v="806.45"/>
    <n v="0"/>
    <n v="806.45"/>
    <m/>
    <m/>
  </r>
  <r>
    <n v="376"/>
    <x v="16"/>
    <s v="HINJEWADI"/>
    <s v="SLK1"/>
    <x v="0"/>
    <x v="33"/>
    <s v="ACE"/>
    <s v="CNG"/>
    <n v="4"/>
    <n v="8"/>
    <x v="0"/>
    <n v="1000"/>
    <n v="55"/>
    <n v="31"/>
    <s v="PUN01 NC Cluster 13"/>
    <m/>
    <d v="1899-12-30T00:59:00"/>
    <d v="1899-12-30T04:37:38"/>
    <n v="165502"/>
    <d v="1899-12-30T07:47:18"/>
    <d v="1899-12-30T07:47:33"/>
    <n v="165521"/>
    <n v="35"/>
    <n v="34"/>
    <n v="1"/>
    <n v="19"/>
    <n v="19"/>
    <n v="0"/>
    <n v="0"/>
    <n v="0"/>
    <x v="0"/>
    <n v="0"/>
    <n v="0"/>
    <n v="0"/>
    <n v="0"/>
    <n v="806.45"/>
    <n v="0"/>
    <n v="806.45"/>
    <m/>
    <m/>
  </r>
  <r>
    <n v="377"/>
    <x v="16"/>
    <s v="HINJEWADI"/>
    <s v="SLK1"/>
    <x v="0"/>
    <x v="36"/>
    <s v="ACE"/>
    <s v="CNG"/>
    <n v="4"/>
    <n v="8"/>
    <x v="0"/>
    <n v="1000"/>
    <n v="55"/>
    <n v="31"/>
    <s v="PUN01 NC Cluster 12"/>
    <m/>
    <d v="1899-12-30T00:59:00"/>
    <d v="1899-12-30T04:34:40"/>
    <n v="115595"/>
    <d v="1899-12-30T08:00:29"/>
    <d v="1899-12-30T08:00:38"/>
    <n v="115621"/>
    <n v="43"/>
    <n v="43"/>
    <n v="0"/>
    <n v="26"/>
    <n v="26"/>
    <n v="0"/>
    <n v="0"/>
    <n v="0"/>
    <x v="0"/>
    <n v="0"/>
    <n v="0"/>
    <n v="0"/>
    <n v="0"/>
    <n v="806.45"/>
    <n v="0"/>
    <n v="806.45"/>
    <m/>
    <m/>
  </r>
  <r>
    <n v="378"/>
    <x v="16"/>
    <s v="HINJEWADI"/>
    <s v="SLK1"/>
    <x v="0"/>
    <x v="7"/>
    <s v="ACE"/>
    <s v="CNG"/>
    <n v="4"/>
    <n v="8"/>
    <x v="0"/>
    <n v="1000"/>
    <n v="55"/>
    <n v="31"/>
    <s v="PUN01 NC Cluster 206"/>
    <m/>
    <d v="1899-12-30T03:07:00"/>
    <d v="1899-12-30T04:56:25"/>
    <n v="159390"/>
    <d v="1899-12-30T08:07:40"/>
    <d v="1899-12-30T08:07:53"/>
    <n v="159440"/>
    <n v="0"/>
    <n v="0"/>
    <n v="0"/>
    <n v="50"/>
    <n v="50"/>
    <n v="0"/>
    <n v="0"/>
    <n v="1"/>
    <x v="1"/>
    <n v="0"/>
    <n v="0"/>
    <n v="0"/>
    <n v="0"/>
    <n v="956.45"/>
    <n v="0"/>
    <n v="956.45"/>
    <m/>
    <m/>
  </r>
  <r>
    <n v="379"/>
    <x v="16"/>
    <s v="HINJEWADI"/>
    <s v="SLK1"/>
    <x v="0"/>
    <x v="8"/>
    <s v="ACE"/>
    <s v="CNG"/>
    <n v="4"/>
    <n v="8"/>
    <x v="0"/>
    <n v="1000"/>
    <n v="55"/>
    <n v="31"/>
    <s v="PUN01 NC Cluster 43"/>
    <m/>
    <d v="1899-12-30T01:05:00"/>
    <d v="1899-12-30T04:41:35"/>
    <n v="113484"/>
    <d v="1899-12-30T07:40:45"/>
    <d v="1899-12-30T07:57:58"/>
    <n v="113505"/>
    <n v="41"/>
    <n v="52"/>
    <n v="-11"/>
    <n v="21"/>
    <n v="21"/>
    <n v="0"/>
    <n v="0"/>
    <n v="0"/>
    <x v="0"/>
    <n v="0"/>
    <n v="0"/>
    <n v="0"/>
    <n v="0"/>
    <n v="806.45"/>
    <n v="0"/>
    <n v="806.45"/>
    <m/>
    <m/>
  </r>
  <r>
    <n v="380"/>
    <x v="16"/>
    <s v="HINJEWADI"/>
    <s v="SLK1"/>
    <x v="0"/>
    <x v="23"/>
    <s v="ACE"/>
    <s v="CNG"/>
    <n v="4"/>
    <n v="8"/>
    <x v="0"/>
    <n v="1000"/>
    <n v="55"/>
    <n v="31"/>
    <s v="PUN01 NC Cluster 25"/>
    <m/>
    <d v="1899-12-30T02:50:00"/>
    <d v="1899-12-30T04:53:21"/>
    <n v="78381"/>
    <d v="1899-12-30T07:38:53"/>
    <d v="1899-12-30T07:39:16"/>
    <n v="78406"/>
    <n v="50"/>
    <n v="50"/>
    <n v="0"/>
    <n v="25"/>
    <n v="25"/>
    <n v="0"/>
    <n v="0"/>
    <n v="0"/>
    <x v="0"/>
    <n v="0"/>
    <n v="0"/>
    <n v="0"/>
    <n v="0"/>
    <n v="806.45"/>
    <n v="0"/>
    <n v="806.45"/>
    <m/>
    <m/>
  </r>
  <r>
    <n v="381"/>
    <x v="16"/>
    <s v="HINJEWADI"/>
    <s v="SLK1"/>
    <x v="0"/>
    <x v="34"/>
    <s v="ACE"/>
    <s v="CNG"/>
    <n v="4"/>
    <n v="8"/>
    <x v="0"/>
    <n v="1000"/>
    <n v="55"/>
    <n v="31"/>
    <s v="PUN01 NC Cluster 60"/>
    <m/>
    <d v="1899-12-30T02:06:00"/>
    <d v="1899-12-30T04:39:36"/>
    <n v="89039"/>
    <d v="1899-12-30T08:19:30"/>
    <d v="1899-12-30T08:19:43"/>
    <n v="89054"/>
    <n v="24"/>
    <n v="24"/>
    <n v="0"/>
    <n v="15"/>
    <n v="15"/>
    <n v="0"/>
    <n v="0"/>
    <n v="1"/>
    <x v="1"/>
    <n v="0"/>
    <n v="0"/>
    <n v="0"/>
    <n v="0"/>
    <n v="956.45"/>
    <n v="0"/>
    <n v="956.45"/>
    <m/>
    <m/>
  </r>
  <r>
    <n v="382"/>
    <x v="16"/>
    <s v="HINJEWADI"/>
    <s v="SLK1"/>
    <x v="0"/>
    <x v="9"/>
    <s v="ACE"/>
    <s v="CNG"/>
    <n v="6"/>
    <n v="8"/>
    <x v="1"/>
    <n v="2000"/>
    <n v="55"/>
    <n v="31"/>
    <s v="PUN01 NC Cluster 299"/>
    <m/>
    <d v="1899-12-30T01:47:00"/>
    <d v="1899-12-30T04:39:11"/>
    <n v="48165"/>
    <d v="1899-12-30T08:50:10"/>
    <d v="1899-12-30T08:50:16"/>
    <n v="48245"/>
    <n v="42"/>
    <n v="42"/>
    <n v="0"/>
    <n v="80"/>
    <n v="80"/>
    <n v="0"/>
    <n v="0"/>
    <n v="0"/>
    <x v="0"/>
    <n v="0"/>
    <n v="0"/>
    <n v="0"/>
    <n v="0"/>
    <n v="1064.52"/>
    <n v="0"/>
    <n v="1064.52"/>
    <m/>
    <m/>
  </r>
  <r>
    <n v="383"/>
    <x v="16"/>
    <s v="HINJEWADI"/>
    <s v="SLK1"/>
    <x v="0"/>
    <x v="24"/>
    <s v="ACE"/>
    <s v="CNG"/>
    <n v="4"/>
    <n v="8"/>
    <x v="0"/>
    <n v="1000"/>
    <n v="55"/>
    <n v="31"/>
    <s v="PUN01 NC Cluster 59"/>
    <m/>
    <d v="1899-12-30T01:06:00"/>
    <d v="1899-12-30T04:40:20"/>
    <n v="87809"/>
    <d v="1899-12-30T07:23:54"/>
    <d v="1899-12-30T07:24:02"/>
    <n v="87841"/>
    <n v="31"/>
    <n v="31"/>
    <n v="0"/>
    <n v="32"/>
    <n v="32"/>
    <n v="0"/>
    <n v="0"/>
    <n v="0"/>
    <x v="0"/>
    <n v="0"/>
    <n v="0"/>
    <n v="0"/>
    <n v="0"/>
    <n v="806.45"/>
    <n v="0"/>
    <n v="806.45"/>
    <m/>
    <m/>
  </r>
  <r>
    <n v="384"/>
    <x v="16"/>
    <s v="HINJEWADI"/>
    <s v="SLK1"/>
    <x v="0"/>
    <x v="25"/>
    <s v="ACE"/>
    <s v="CNG"/>
    <n v="4"/>
    <n v="8"/>
    <x v="0"/>
    <n v="1000"/>
    <n v="55"/>
    <n v="31"/>
    <s v="PUN01 NC Cluster 200"/>
    <m/>
    <d v="1899-12-30T02:30:00"/>
    <d v="1899-12-30T04:37:56"/>
    <n v="118487"/>
    <d v="1899-12-30T09:46:13"/>
    <d v="1899-12-30T09:46:21"/>
    <n v="118526"/>
    <n v="34"/>
    <n v="34"/>
    <n v="0"/>
    <n v="39"/>
    <n v="39"/>
    <n v="0"/>
    <n v="0"/>
    <n v="2"/>
    <x v="2"/>
    <n v="0"/>
    <n v="0"/>
    <n v="0"/>
    <n v="0"/>
    <n v="1106.45"/>
    <n v="0"/>
    <n v="1106.45"/>
    <m/>
    <m/>
  </r>
  <r>
    <n v="385"/>
    <x v="16"/>
    <s v="HINJEWADI"/>
    <s v="SLK1"/>
    <x v="0"/>
    <x v="10"/>
    <s v="ACE"/>
    <s v="CNG"/>
    <n v="4"/>
    <n v="8"/>
    <x v="0"/>
    <n v="1000"/>
    <n v="55"/>
    <n v="31"/>
    <s v="PUN01 NC Cluster 24"/>
    <m/>
    <d v="1899-12-30T02:47:00"/>
    <d v="1899-12-30T04:54:14"/>
    <n v="75521"/>
    <d v="1899-12-30T07:33:50"/>
    <d v="1899-12-30T07:34:14"/>
    <n v="75527"/>
    <n v="35"/>
    <n v="0"/>
    <n v="35"/>
    <n v="6"/>
    <n v="6"/>
    <n v="0"/>
    <n v="0"/>
    <n v="0"/>
    <x v="0"/>
    <n v="0"/>
    <n v="0"/>
    <n v="0"/>
    <n v="0"/>
    <n v="806.45"/>
    <n v="0"/>
    <n v="806.45"/>
    <m/>
    <m/>
  </r>
  <r>
    <n v="386"/>
    <x v="16"/>
    <s v="HINJEWADI"/>
    <s v="SLK1"/>
    <x v="0"/>
    <x v="37"/>
    <s v="ACE"/>
    <s v="CNG"/>
    <n v="4"/>
    <n v="8"/>
    <x v="0"/>
    <n v="1000"/>
    <n v="55"/>
    <n v="31"/>
    <s v="PUN01 NC Cluster 93"/>
    <m/>
    <d v="1899-12-30T01:00:00"/>
    <d v="1899-12-30T04:37:10"/>
    <n v="66198"/>
    <d v="1899-12-30T07:40:04"/>
    <d v="1899-12-30T07:40:12"/>
    <n v="66210"/>
    <n v="32"/>
    <n v="36"/>
    <n v="-4"/>
    <n v="12"/>
    <n v="12"/>
    <n v="0"/>
    <n v="0"/>
    <n v="0"/>
    <x v="0"/>
    <n v="0"/>
    <n v="0"/>
    <n v="0"/>
    <n v="0"/>
    <n v="806.45"/>
    <n v="0"/>
    <n v="806.45"/>
    <m/>
    <m/>
  </r>
  <r>
    <n v="387"/>
    <x v="16"/>
    <s v="HINJEWADI"/>
    <s v="SLK1"/>
    <x v="0"/>
    <x v="35"/>
    <s v="ACE"/>
    <s v="CNG"/>
    <n v="4"/>
    <n v="8"/>
    <x v="0"/>
    <n v="1000"/>
    <n v="55"/>
    <n v="31"/>
    <s v="PUN01 NC Cluster 132"/>
    <m/>
    <d v="1899-12-30T02:25:00"/>
    <d v="1899-12-30T04:47:21"/>
    <n v="44703"/>
    <d v="1899-12-30T07:15:31"/>
    <d v="1899-12-30T07:15:43"/>
    <n v="44735"/>
    <n v="40"/>
    <n v="40"/>
    <n v="0"/>
    <n v="32"/>
    <n v="32"/>
    <n v="0"/>
    <n v="0"/>
    <n v="0"/>
    <x v="0"/>
    <n v="0"/>
    <n v="0"/>
    <n v="0"/>
    <n v="0"/>
    <n v="806.45"/>
    <n v="0"/>
    <n v="806.45"/>
    <m/>
    <m/>
  </r>
  <r>
    <n v="388"/>
    <x v="16"/>
    <s v="HINJEWADI"/>
    <s v="SLK1"/>
    <x v="0"/>
    <x v="12"/>
    <s v="ACE"/>
    <s v="CNG"/>
    <n v="4"/>
    <n v="8"/>
    <x v="0"/>
    <n v="1000"/>
    <n v="55"/>
    <n v="31"/>
    <s v="PUN01 NC Cluster 36"/>
    <m/>
    <d v="1899-12-30T01:05:00"/>
    <d v="1899-12-30T04:40:56"/>
    <n v="84131"/>
    <d v="1899-12-30T07:02:19"/>
    <d v="1899-12-30T07:03:52"/>
    <n v="84148"/>
    <n v="30"/>
    <n v="30"/>
    <n v="0"/>
    <n v="17"/>
    <n v="17"/>
    <n v="0"/>
    <n v="0"/>
    <n v="0"/>
    <x v="0"/>
    <n v="0"/>
    <n v="0"/>
    <n v="0"/>
    <n v="0"/>
    <n v="806.45"/>
    <n v="0"/>
    <n v="806.45"/>
    <m/>
    <m/>
  </r>
  <r>
    <n v="389"/>
    <x v="16"/>
    <s v="HINJEWADI"/>
    <s v="SLK1"/>
    <x v="0"/>
    <x v="14"/>
    <s v="ACE"/>
    <s v="CNG"/>
    <n v="6"/>
    <n v="8"/>
    <x v="1"/>
    <n v="2000"/>
    <n v="55"/>
    <n v="31"/>
    <s v="PUN01 NC Cluster 303"/>
    <m/>
    <d v="1899-12-30T01:11:00"/>
    <d v="1899-12-30T04:38:46"/>
    <n v="33903"/>
    <d v="1899-12-30T07:30:25"/>
    <d v="1899-12-30T07:30:35"/>
    <n v="33970"/>
    <n v="30"/>
    <n v="30"/>
    <n v="0"/>
    <n v="67"/>
    <n v="67"/>
    <n v="0"/>
    <n v="0"/>
    <n v="0"/>
    <x v="0"/>
    <n v="0"/>
    <n v="0"/>
    <n v="0"/>
    <n v="0"/>
    <n v="1064.52"/>
    <n v="0"/>
    <n v="1064.52"/>
    <m/>
    <m/>
  </r>
  <r>
    <n v="390"/>
    <x v="16"/>
    <s v="HINJEWADI"/>
    <s v="SLK1"/>
    <x v="0"/>
    <x v="15"/>
    <s v="ACE"/>
    <s v="CNG"/>
    <n v="4"/>
    <n v="8"/>
    <x v="0"/>
    <n v="1000"/>
    <n v="55"/>
    <n v="31"/>
    <s v="PUN01 NC Cluster 42"/>
    <m/>
    <d v="1899-12-30T02:48:00"/>
    <d v="1899-12-30T04:42:45"/>
    <n v="38894"/>
    <d v="1899-12-30T07:44:40"/>
    <d v="1899-12-30T07:44:49"/>
    <n v="38909"/>
    <n v="43"/>
    <n v="43"/>
    <n v="0"/>
    <n v="15"/>
    <n v="15"/>
    <n v="0"/>
    <n v="0"/>
    <n v="0"/>
    <x v="0"/>
    <n v="0"/>
    <n v="0"/>
    <n v="0"/>
    <n v="0"/>
    <n v="806.45"/>
    <n v="0"/>
    <n v="806.45"/>
    <m/>
    <m/>
  </r>
  <r>
    <n v="391"/>
    <x v="16"/>
    <s v="HINJEWADI"/>
    <s v="SLK1"/>
    <x v="0"/>
    <x v="17"/>
    <s v="ACE"/>
    <s v="CNG"/>
    <n v="4"/>
    <n v="8"/>
    <x v="0"/>
    <n v="1000"/>
    <n v="55"/>
    <n v="31"/>
    <s v="PUN01 NC Cluster 199"/>
    <m/>
    <d v="1899-12-30T01:06:00"/>
    <d v="1899-12-30T04:37:22"/>
    <n v="7523"/>
    <d v="1899-12-30T09:06:56"/>
    <d v="1899-12-30T09:07:58"/>
    <n v="7556"/>
    <n v="15"/>
    <n v="15"/>
    <n v="0"/>
    <n v="33"/>
    <n v="33"/>
    <n v="0"/>
    <n v="0"/>
    <n v="2"/>
    <x v="2"/>
    <n v="0"/>
    <n v="0"/>
    <n v="0"/>
    <n v="0"/>
    <n v="1106.45"/>
    <n v="0"/>
    <n v="1106.45"/>
    <m/>
    <m/>
  </r>
  <r>
    <n v="392"/>
    <x v="16"/>
    <s v="HINJEWADI"/>
    <s v="SLK1"/>
    <x v="0"/>
    <x v="18"/>
    <s v="ACE"/>
    <s v="CNG"/>
    <n v="4"/>
    <n v="8"/>
    <x v="0"/>
    <n v="1000"/>
    <n v="55"/>
    <n v="31"/>
    <s v="PUN01 NC Cluster 39"/>
    <m/>
    <d v="1899-12-30T01:03:00"/>
    <d v="1899-12-30T04:41:54"/>
    <n v="5243"/>
    <d v="1899-12-30T06:57:17"/>
    <d v="1899-12-30T06:57:25"/>
    <n v="5260"/>
    <n v="52"/>
    <n v="52"/>
    <n v="0"/>
    <n v="17"/>
    <n v="17"/>
    <n v="0"/>
    <n v="0"/>
    <n v="0"/>
    <x v="0"/>
    <n v="0"/>
    <n v="0"/>
    <n v="0"/>
    <n v="0"/>
    <n v="806.45"/>
    <n v="0"/>
    <n v="806.45"/>
    <m/>
    <m/>
  </r>
  <r>
    <n v="393"/>
    <x v="16"/>
    <s v="HINJEWADI"/>
    <s v="SLK1"/>
    <x v="0"/>
    <x v="19"/>
    <s v="BOLERO"/>
    <s v="DIESEL"/>
    <n v="4"/>
    <n v="10"/>
    <x v="2"/>
    <n v="1000"/>
    <n v="55"/>
    <n v="31"/>
    <s v="PUN01 NC Cluster 113"/>
    <m/>
    <d v="1899-12-30T03:08:00"/>
    <d v="1899-12-30T04:54:21"/>
    <n v="33030"/>
    <d v="1899-12-30T06:58:41"/>
    <d v="1899-12-30T06:58:48"/>
    <n v="33057"/>
    <n v="66"/>
    <n v="66"/>
    <n v="0"/>
    <n v="27"/>
    <n v="27"/>
    <n v="0"/>
    <n v="0"/>
    <n v="0"/>
    <x v="0"/>
    <n v="0"/>
    <n v="0"/>
    <n v="0"/>
    <n v="0"/>
    <n v="935.48"/>
    <n v="0"/>
    <n v="935.48"/>
    <m/>
    <m/>
  </r>
  <r>
    <n v="394"/>
    <x v="16"/>
    <s v="HINJEWADI"/>
    <s v="SLK1"/>
    <x v="0"/>
    <x v="20"/>
    <s v="BOLERO"/>
    <s v="DIESEL"/>
    <n v="4"/>
    <n v="10"/>
    <x v="2"/>
    <n v="1000"/>
    <n v="55"/>
    <n v="31"/>
    <s v="PUN01 NC Cluster 11"/>
    <m/>
    <d v="1899-12-30T01:11:00"/>
    <d v="1899-12-30T04:47:53"/>
    <n v="39064"/>
    <d v="1899-12-30T07:14:43"/>
    <d v="1899-12-30T07:14:53"/>
    <n v="39084"/>
    <n v="47"/>
    <n v="47"/>
    <n v="0"/>
    <n v="20"/>
    <n v="20"/>
    <n v="0"/>
    <n v="0"/>
    <n v="0"/>
    <x v="0"/>
    <n v="0"/>
    <n v="0"/>
    <n v="0"/>
    <n v="0"/>
    <n v="935.48"/>
    <n v="0"/>
    <n v="935.48"/>
    <m/>
    <m/>
  </r>
  <r>
    <n v="395"/>
    <x v="16"/>
    <s v="HINJEWADI"/>
    <s v="SLK1"/>
    <x v="0"/>
    <x v="31"/>
    <s v="BOLERO"/>
    <s v="DIESEL"/>
    <n v="4"/>
    <n v="10"/>
    <x v="2"/>
    <n v="1000"/>
    <n v="55"/>
    <n v="31"/>
    <s v="PUN01 NC Cluster 296"/>
    <m/>
    <d v="1899-12-30T02:44:00"/>
    <d v="1899-12-30T04:53:39"/>
    <n v="60794"/>
    <d v="1899-12-30T07:31:02"/>
    <d v="1899-12-30T07:31:13"/>
    <n v="60827"/>
    <n v="46"/>
    <n v="59"/>
    <n v="-13"/>
    <n v="33"/>
    <n v="33"/>
    <n v="0"/>
    <n v="0"/>
    <n v="0"/>
    <x v="0"/>
    <n v="0"/>
    <n v="0"/>
    <n v="0"/>
    <n v="0"/>
    <n v="935.48"/>
    <n v="0"/>
    <n v="935.48"/>
    <m/>
    <m/>
  </r>
  <r>
    <n v="396"/>
    <x v="16"/>
    <s v="HINJEWADI"/>
    <s v="SLK1"/>
    <x v="0"/>
    <x v="21"/>
    <s v="BOLERO"/>
    <s v="DIESEL"/>
    <n v="4"/>
    <n v="10"/>
    <x v="2"/>
    <n v="1000"/>
    <n v="55"/>
    <n v="31"/>
    <s v="PUN01 NC Cluster 139"/>
    <m/>
    <d v="1899-12-30T02:28:00"/>
    <d v="1899-12-30T04:50:16"/>
    <n v="3298"/>
    <d v="1899-12-30T07:16:44"/>
    <d v="1899-12-30T07:16:49"/>
    <n v="3324"/>
    <n v="54"/>
    <n v="54"/>
    <n v="0"/>
    <n v="26"/>
    <n v="26"/>
    <n v="0"/>
    <n v="0"/>
    <n v="0"/>
    <x v="0"/>
    <n v="0"/>
    <n v="0"/>
    <n v="0"/>
    <n v="0"/>
    <n v="935.48"/>
    <n v="0"/>
    <n v="935.48"/>
    <m/>
    <m/>
  </r>
  <r>
    <n v="397"/>
    <x v="16"/>
    <s v="HINJEWADI"/>
    <s v="SLK1"/>
    <x v="0"/>
    <x v="22"/>
    <s v="BOLERO"/>
    <s v="DIESEL"/>
    <n v="4"/>
    <n v="10"/>
    <x v="2"/>
    <n v="1000"/>
    <n v="55"/>
    <n v="31"/>
    <s v="PUN01 NC Cluster 20"/>
    <m/>
    <d v="1899-12-30T02:08:00"/>
    <d v="1899-12-30T04:46:51"/>
    <n v="139323"/>
    <d v="1899-12-30T07:01:58"/>
    <d v="1899-12-30T07:02:06"/>
    <n v="139351"/>
    <n v="47"/>
    <n v="47"/>
    <n v="0"/>
    <n v="28"/>
    <n v="28"/>
    <n v="0"/>
    <n v="0"/>
    <n v="0"/>
    <x v="0"/>
    <n v="0"/>
    <n v="0"/>
    <n v="0"/>
    <n v="0"/>
    <n v="935.48"/>
    <n v="0"/>
    <n v="935.48"/>
    <m/>
    <m/>
  </r>
  <r>
    <n v="398"/>
    <x v="17"/>
    <s v="HINJEWADI"/>
    <s v="SLK1"/>
    <x v="0"/>
    <x v="0"/>
    <s v="ACE"/>
    <s v="CNG"/>
    <n v="4"/>
    <n v="8"/>
    <x v="0"/>
    <n v="1000"/>
    <n v="55"/>
    <n v="31"/>
    <s v="PUN01 NC Cluster 1"/>
    <m/>
    <d v="1899-12-30T01:03:00"/>
    <d v="1899-12-30T03:54:42"/>
    <n v="57636"/>
    <d v="1899-12-30T08:39:42"/>
    <d v="1899-12-30T08:44:35"/>
    <n v="57655"/>
    <n v="20"/>
    <n v="35"/>
    <n v="-15"/>
    <n v="19"/>
    <n v="19"/>
    <n v="0"/>
    <n v="0"/>
    <n v="1"/>
    <x v="1"/>
    <n v="0"/>
    <n v="0"/>
    <n v="0"/>
    <n v="0"/>
    <n v="956.45"/>
    <n v="0"/>
    <n v="956.45"/>
    <m/>
    <m/>
  </r>
  <r>
    <n v="399"/>
    <x v="17"/>
    <s v="HINJEWADI"/>
    <s v="SLK1"/>
    <x v="0"/>
    <x v="29"/>
    <s v="ACE"/>
    <s v="CNG"/>
    <n v="4"/>
    <n v="8"/>
    <x v="0"/>
    <n v="1000"/>
    <n v="55"/>
    <n v="31"/>
    <s v="PUN01 NC Cluster 5"/>
    <m/>
    <d v="1899-12-30T01:13:00"/>
    <d v="1899-12-30T03:55:55"/>
    <n v="110582"/>
    <d v="1899-12-30T06:59:53"/>
    <d v="1899-12-30T07:00:29"/>
    <n v="110594"/>
    <n v="30"/>
    <n v="16"/>
    <n v="14"/>
    <n v="12"/>
    <n v="12"/>
    <n v="0"/>
    <n v="0"/>
    <n v="0"/>
    <x v="0"/>
    <n v="0"/>
    <n v="0"/>
    <n v="0"/>
    <n v="0"/>
    <n v="806.45"/>
    <n v="0"/>
    <n v="806.45"/>
    <m/>
    <m/>
  </r>
  <r>
    <n v="400"/>
    <x v="17"/>
    <s v="HINJEWADI"/>
    <s v="SLK1"/>
    <x v="0"/>
    <x v="2"/>
    <s v="ACE"/>
    <s v="CNG"/>
    <n v="6"/>
    <n v="8"/>
    <x v="1"/>
    <n v="2000"/>
    <n v="55"/>
    <n v="31"/>
    <s v="PUN01 NC Cluster 230"/>
    <m/>
    <d v="1899-12-30T01:01:00"/>
    <d v="1899-12-30T03:56:24"/>
    <n v="100863"/>
    <d v="1899-12-30T09:19:46"/>
    <d v="1899-12-30T09:19:53"/>
    <n v="100916"/>
    <n v="40"/>
    <n v="46"/>
    <n v="-6"/>
    <n v="53"/>
    <n v="53"/>
    <n v="0"/>
    <n v="0"/>
    <n v="1"/>
    <x v="1"/>
    <n v="0"/>
    <n v="0"/>
    <n v="0"/>
    <n v="0"/>
    <n v="1214.52"/>
    <n v="0"/>
    <n v="1214.52"/>
    <m/>
    <m/>
  </r>
  <r>
    <n v="401"/>
    <x v="17"/>
    <s v="HINJEWADI"/>
    <s v="SLK1"/>
    <x v="0"/>
    <x v="3"/>
    <s v="ACE"/>
    <s v="CNG"/>
    <n v="4"/>
    <n v="8"/>
    <x v="0"/>
    <n v="1000"/>
    <n v="55"/>
    <n v="31"/>
    <s v="PUN01 NC Cluster 140"/>
    <m/>
    <d v="1899-12-30T02:56:00"/>
    <d v="1899-12-30T03:45:29"/>
    <n v="84203"/>
    <d v="1899-12-30T07:34:08"/>
    <d v="1899-12-30T07:34:16"/>
    <n v="84228"/>
    <n v="39"/>
    <n v="52"/>
    <n v="-13"/>
    <n v="25"/>
    <n v="25"/>
    <n v="0"/>
    <n v="0"/>
    <n v="0"/>
    <x v="0"/>
    <n v="0"/>
    <n v="0"/>
    <n v="0"/>
    <n v="0"/>
    <n v="806.45"/>
    <n v="0"/>
    <n v="806.45"/>
    <m/>
    <m/>
  </r>
  <r>
    <n v="402"/>
    <x v="17"/>
    <s v="HINJEWADI"/>
    <s v="SLK1"/>
    <x v="0"/>
    <x v="30"/>
    <s v="ACE"/>
    <s v="CNG"/>
    <n v="4"/>
    <n v="8"/>
    <x v="0"/>
    <n v="1000"/>
    <n v="55"/>
    <n v="31"/>
    <s v="PUN01 NC Cluster 133"/>
    <m/>
    <d v="1899-12-30T01:13:00"/>
    <d v="1899-12-30T03:46:58"/>
    <n v="38459"/>
    <d v="1899-12-30T07:33:19"/>
    <d v="1899-12-30T07:33:29"/>
    <n v="38493"/>
    <n v="40"/>
    <n v="66"/>
    <n v="-26"/>
    <n v="34"/>
    <n v="34"/>
    <n v="0"/>
    <n v="0"/>
    <n v="0"/>
    <x v="0"/>
    <n v="0"/>
    <n v="0"/>
    <n v="0"/>
    <n v="0"/>
    <n v="806.45"/>
    <n v="0"/>
    <n v="806.45"/>
    <m/>
    <m/>
  </r>
  <r>
    <n v="403"/>
    <x v="17"/>
    <s v="HINJEWADI"/>
    <s v="SLK1"/>
    <x v="0"/>
    <x v="4"/>
    <s v="ACE"/>
    <s v="CNG"/>
    <n v="4"/>
    <n v="8"/>
    <x v="0"/>
    <n v="1000"/>
    <n v="55"/>
    <n v="31"/>
    <s v="PUN01 NC Cluster 60"/>
    <m/>
    <d v="1899-12-30T01:07:00"/>
    <d v="1899-12-30T03:53:15"/>
    <n v="12693"/>
    <d v="1899-12-30T08:45:30"/>
    <d v="1899-12-30T08:45:36"/>
    <n v="12710"/>
    <n v="32"/>
    <n v="21"/>
    <n v="11"/>
    <n v="17"/>
    <n v="17"/>
    <n v="0"/>
    <n v="0"/>
    <n v="1"/>
    <x v="1"/>
    <n v="0"/>
    <n v="0"/>
    <n v="0"/>
    <n v="0"/>
    <n v="956.45"/>
    <n v="0"/>
    <n v="956.45"/>
    <m/>
    <m/>
  </r>
  <r>
    <n v="404"/>
    <x v="17"/>
    <s v="HINJEWADI"/>
    <s v="SLK1"/>
    <x v="0"/>
    <x v="5"/>
    <s v="ACE"/>
    <s v="CNG"/>
    <n v="4"/>
    <n v="8"/>
    <x v="0"/>
    <n v="1000"/>
    <n v="55"/>
    <n v="31"/>
    <s v="PUN01 NC Cluster 87"/>
    <m/>
    <d v="1899-12-30T02:15:00"/>
    <d v="1899-12-30T03:51:22"/>
    <n v="145393"/>
    <d v="1899-12-30T08:26:19"/>
    <d v="1899-12-30T08:26:31"/>
    <n v="145415"/>
    <n v="40"/>
    <n v="23"/>
    <n v="17"/>
    <n v="22"/>
    <n v="22"/>
    <n v="0"/>
    <n v="0"/>
    <n v="1"/>
    <x v="1"/>
    <n v="0"/>
    <n v="0"/>
    <n v="0"/>
    <n v="0"/>
    <n v="956.45"/>
    <n v="0"/>
    <n v="956.45"/>
    <m/>
    <m/>
  </r>
  <r>
    <n v="405"/>
    <x v="17"/>
    <s v="HINJEWADI"/>
    <s v="SLK1"/>
    <x v="0"/>
    <x v="33"/>
    <s v="ACE"/>
    <s v="CNG"/>
    <n v="4"/>
    <n v="8"/>
    <x v="0"/>
    <n v="1000"/>
    <n v="55"/>
    <n v="31"/>
    <s v="PUN01 NC Cluster 10"/>
    <m/>
    <d v="1899-12-30T01:02:00"/>
    <d v="1899-12-30T03:56:40"/>
    <n v="165612"/>
    <d v="1899-12-30T08:41:33"/>
    <d v="1899-12-30T08:41:44"/>
    <n v="165631"/>
    <n v="30"/>
    <n v="42"/>
    <n v="-12"/>
    <n v="19"/>
    <n v="19"/>
    <n v="0"/>
    <n v="0"/>
    <n v="1"/>
    <x v="1"/>
    <n v="0"/>
    <n v="0"/>
    <n v="0"/>
    <n v="0"/>
    <n v="956.45"/>
    <n v="0"/>
    <n v="956.45"/>
    <m/>
    <m/>
  </r>
  <r>
    <n v="406"/>
    <x v="17"/>
    <s v="HINJEWADI"/>
    <s v="SLK1"/>
    <x v="0"/>
    <x v="36"/>
    <s v="ACE"/>
    <s v="CNG"/>
    <n v="4"/>
    <n v="8"/>
    <x v="0"/>
    <n v="1000"/>
    <n v="55"/>
    <n v="31"/>
    <s v="PUN01 NC Cluster 18A"/>
    <m/>
    <d v="1899-12-30T01:56:00"/>
    <d v="1899-12-30T03:47:12"/>
    <n v="115760"/>
    <d v="1899-12-30T08:01:09"/>
    <d v="1899-12-30T08:01:17"/>
    <n v="115784"/>
    <n v="60"/>
    <n v="36"/>
    <n v="24"/>
    <n v="24"/>
    <n v="24"/>
    <n v="0"/>
    <n v="0"/>
    <n v="1"/>
    <x v="1"/>
    <n v="0"/>
    <n v="0"/>
    <n v="0"/>
    <n v="0"/>
    <n v="956.45"/>
    <n v="0"/>
    <n v="956.45"/>
    <m/>
    <m/>
  </r>
  <r>
    <n v="407"/>
    <x v="17"/>
    <s v="HINJEWADI"/>
    <s v="SLK1"/>
    <x v="0"/>
    <x v="6"/>
    <s v="ACE"/>
    <s v="CNG"/>
    <n v="4"/>
    <n v="8"/>
    <x v="0"/>
    <n v="1000"/>
    <n v="55"/>
    <n v="31"/>
    <s v="PUN01 NC Cluster 13"/>
    <m/>
    <d v="1899-12-30T02:40:00"/>
    <d v="1899-12-30T03:57:59"/>
    <n v="144585"/>
    <d v="1899-12-30T07:50:05"/>
    <d v="1899-12-30T07:50:14"/>
    <n v="144605"/>
    <n v="34"/>
    <n v="26"/>
    <n v="8"/>
    <n v="20"/>
    <n v="20"/>
    <n v="0"/>
    <n v="0"/>
    <n v="0"/>
    <x v="0"/>
    <n v="0"/>
    <n v="0"/>
    <n v="0"/>
    <n v="0"/>
    <n v="806.45"/>
    <n v="0"/>
    <n v="806.45"/>
    <m/>
    <m/>
  </r>
  <r>
    <n v="408"/>
    <x v="17"/>
    <s v="HINJEWADI"/>
    <s v="SLK1"/>
    <x v="0"/>
    <x v="8"/>
    <s v="ACE"/>
    <s v="CNG"/>
    <n v="4"/>
    <n v="8"/>
    <x v="0"/>
    <n v="1000"/>
    <n v="55"/>
    <n v="31"/>
    <s v="PUN01 NC Cluster 131"/>
    <m/>
    <d v="1899-12-30T01:07:00"/>
    <d v="1899-12-30T03:48:04"/>
    <n v="113578"/>
    <d v="1899-12-30T08:45:04"/>
    <d v="1899-12-30T08:45:11"/>
    <n v="113593"/>
    <n v="35"/>
    <n v="40"/>
    <n v="-5"/>
    <n v="15"/>
    <n v="15"/>
    <n v="0"/>
    <n v="0"/>
    <n v="1"/>
    <x v="1"/>
    <n v="0"/>
    <n v="0"/>
    <n v="0"/>
    <n v="0"/>
    <n v="956.45"/>
    <n v="0"/>
    <n v="956.45"/>
    <m/>
    <m/>
  </r>
  <r>
    <n v="409"/>
    <x v="17"/>
    <s v="HINJEWADI"/>
    <s v="SLK1"/>
    <x v="0"/>
    <x v="9"/>
    <s v="ACE"/>
    <s v="CNG"/>
    <n v="6"/>
    <n v="8"/>
    <x v="1"/>
    <n v="2000"/>
    <n v="55"/>
    <n v="31"/>
    <s v="PUN01 NC Cluster 229"/>
    <m/>
    <d v="1899-12-30T02:25:00"/>
    <d v="1899-12-30T03:57:12"/>
    <n v="48237"/>
    <d v="1899-12-30T08:08:32"/>
    <d v="1899-12-30T08:08:53"/>
    <n v="48299"/>
    <n v="38"/>
    <n v="35"/>
    <n v="3"/>
    <n v="62"/>
    <n v="62"/>
    <n v="0"/>
    <n v="0"/>
    <n v="0"/>
    <x v="0"/>
    <n v="0"/>
    <n v="0"/>
    <n v="0"/>
    <n v="0"/>
    <n v="1064.52"/>
    <n v="0"/>
    <n v="1064.52"/>
    <m/>
    <m/>
  </r>
  <r>
    <n v="410"/>
    <x v="17"/>
    <s v="HINJEWADI"/>
    <s v="SLK1"/>
    <x v="0"/>
    <x v="24"/>
    <s v="ACE"/>
    <s v="CNG"/>
    <n v="4"/>
    <n v="8"/>
    <x v="0"/>
    <n v="1000"/>
    <n v="55"/>
    <n v="31"/>
    <s v="PUN01 NC Cluster 59"/>
    <m/>
    <d v="1899-12-30T01:10:00"/>
    <d v="1899-12-30T03:50:10"/>
    <n v="87991"/>
    <d v="1899-12-30T06:57:47"/>
    <d v="1899-12-30T06:58:01"/>
    <n v="88009"/>
    <n v="35"/>
    <n v="25"/>
    <n v="10"/>
    <n v="18"/>
    <n v="18"/>
    <n v="0"/>
    <n v="0"/>
    <n v="0"/>
    <x v="0"/>
    <n v="0"/>
    <n v="0"/>
    <n v="0"/>
    <n v="0"/>
    <n v="806.45"/>
    <n v="0"/>
    <n v="806.45"/>
    <m/>
    <m/>
  </r>
  <r>
    <n v="411"/>
    <x v="17"/>
    <s v="HINJEWADI"/>
    <s v="SLK1"/>
    <x v="0"/>
    <x v="37"/>
    <s v="ACE"/>
    <s v="CNG"/>
    <n v="4"/>
    <n v="8"/>
    <x v="0"/>
    <n v="1000"/>
    <n v="55"/>
    <n v="31"/>
    <s v="PUN01 NC Cluster 93"/>
    <m/>
    <d v="1899-12-30T01:37:00"/>
    <d v="1899-12-30T03:54:58"/>
    <n v="66267"/>
    <d v="1899-12-30T08:46:46"/>
    <d v="1899-12-30T08:47:00"/>
    <n v="66280"/>
    <n v="35"/>
    <n v="28"/>
    <n v="7"/>
    <n v="13"/>
    <n v="13"/>
    <n v="0"/>
    <n v="0"/>
    <n v="1"/>
    <x v="1"/>
    <n v="0"/>
    <n v="0"/>
    <n v="0"/>
    <n v="0"/>
    <n v="956.45"/>
    <n v="0"/>
    <n v="956.45"/>
    <m/>
    <m/>
  </r>
  <r>
    <n v="412"/>
    <x v="17"/>
    <s v="HINJEWADI"/>
    <s v="SLK1"/>
    <x v="0"/>
    <x v="35"/>
    <s v="ACE"/>
    <s v="CNG"/>
    <n v="4"/>
    <n v="8"/>
    <x v="0"/>
    <n v="1000"/>
    <n v="55"/>
    <n v="31"/>
    <s v="PUN01 NC Cluster 97"/>
    <m/>
    <d v="1899-12-30T03:30:00"/>
    <d v="1899-12-30T06:51:53"/>
    <n v="44838"/>
    <d v="1899-12-30T07:44:59"/>
    <d v="1899-12-30T07:45:10"/>
    <n v="44862"/>
    <n v="20"/>
    <n v="0"/>
    <n v="20"/>
    <n v="24"/>
    <n v="24"/>
    <n v="0"/>
    <n v="0"/>
    <n v="0"/>
    <x v="0"/>
    <n v="0"/>
    <n v="0"/>
    <n v="0"/>
    <n v="0"/>
    <n v="806.45"/>
    <n v="0"/>
    <n v="806.45"/>
    <m/>
    <m/>
  </r>
  <r>
    <n v="413"/>
    <x v="17"/>
    <s v="HINJEWADI"/>
    <s v="SLK1"/>
    <x v="0"/>
    <x v="12"/>
    <s v="ACE"/>
    <s v="CNG"/>
    <n v="4"/>
    <n v="8"/>
    <x v="0"/>
    <n v="1000"/>
    <n v="55"/>
    <n v="31"/>
    <s v="PUN01 NC Cluster 36"/>
    <m/>
    <d v="1899-12-30T01:09:00"/>
    <d v="1899-12-30T04:02:43"/>
    <n v="84252"/>
    <d v="1899-12-30T07:23:04"/>
    <d v="1899-12-30T07:23:13"/>
    <n v="84269"/>
    <n v="35"/>
    <n v="26"/>
    <n v="9"/>
    <n v="17"/>
    <n v="17"/>
    <n v="0"/>
    <n v="0"/>
    <n v="0"/>
    <x v="0"/>
    <n v="0"/>
    <n v="0"/>
    <n v="0"/>
    <n v="0"/>
    <n v="806.45"/>
    <n v="0"/>
    <n v="806.45"/>
    <m/>
    <m/>
  </r>
  <r>
    <n v="414"/>
    <x v="17"/>
    <s v="HINJEWADI"/>
    <s v="SLK1"/>
    <x v="0"/>
    <x v="13"/>
    <s v="ACE"/>
    <s v="CNG"/>
    <n v="4"/>
    <n v="8"/>
    <x v="0"/>
    <n v="1000"/>
    <n v="55"/>
    <n v="31"/>
    <s v="PUN01 NC Cluster 2A"/>
    <m/>
    <d v="1899-12-30T02:12:00"/>
    <d v="1899-12-30T03:58:16"/>
    <n v="37073"/>
    <d v="1899-12-30T08:43:53"/>
    <d v="1899-12-30T08:44:08"/>
    <n v="37082"/>
    <n v="34"/>
    <n v="41"/>
    <n v="-7"/>
    <n v="9"/>
    <n v="9"/>
    <n v="0"/>
    <n v="0"/>
    <n v="1"/>
    <x v="1"/>
    <n v="0"/>
    <n v="0"/>
    <n v="0"/>
    <n v="0"/>
    <n v="956.45"/>
    <n v="0"/>
    <n v="956.45"/>
    <m/>
    <m/>
  </r>
  <r>
    <n v="415"/>
    <x v="17"/>
    <s v="HINJEWADI"/>
    <s v="SLK1"/>
    <x v="0"/>
    <x v="14"/>
    <s v="ACE"/>
    <s v="CNG"/>
    <n v="6"/>
    <n v="8"/>
    <x v="1"/>
    <n v="2000"/>
    <n v="55"/>
    <n v="31"/>
    <s v="PUN01 NC Cluster 303"/>
    <m/>
    <d v="1899-12-30T02:07:00"/>
    <d v="1899-12-30T03:56:58"/>
    <n v="34030"/>
    <d v="1899-12-30T07:29:02"/>
    <d v="1899-12-30T07:29:14"/>
    <n v="34099"/>
    <n v="34"/>
    <n v="31"/>
    <n v="3"/>
    <n v="69"/>
    <n v="69"/>
    <n v="0"/>
    <n v="0"/>
    <n v="0"/>
    <x v="0"/>
    <n v="0"/>
    <n v="0"/>
    <n v="0"/>
    <n v="0"/>
    <n v="1064.52"/>
    <n v="0"/>
    <n v="1064.52"/>
    <m/>
    <m/>
  </r>
  <r>
    <n v="416"/>
    <x v="17"/>
    <s v="HINJEWADI"/>
    <s v="SLK1"/>
    <x v="0"/>
    <x v="15"/>
    <s v="ACE"/>
    <s v="CNG"/>
    <n v="4"/>
    <n v="8"/>
    <x v="0"/>
    <n v="1000"/>
    <n v="55"/>
    <n v="31"/>
    <s v="PUN01 NC Cluster 41"/>
    <m/>
    <d v="1899-12-30T01:08:00"/>
    <d v="1899-12-30T03:51:02"/>
    <n v="39027"/>
    <d v="1899-12-30T07:04:45"/>
    <d v="1899-12-30T07:04:54"/>
    <n v="39044"/>
    <n v="30"/>
    <n v="40"/>
    <n v="-10"/>
    <n v="17"/>
    <n v="17"/>
    <n v="0"/>
    <n v="0"/>
    <n v="0"/>
    <x v="0"/>
    <n v="0"/>
    <n v="0"/>
    <n v="0"/>
    <n v="0"/>
    <n v="806.45"/>
    <n v="0"/>
    <n v="806.45"/>
    <m/>
    <m/>
  </r>
  <r>
    <n v="417"/>
    <x v="17"/>
    <s v="HINJEWADI"/>
    <s v="SLK1"/>
    <x v="0"/>
    <x v="17"/>
    <s v="ACE"/>
    <s v="CNG"/>
    <n v="4"/>
    <n v="8"/>
    <x v="0"/>
    <n v="1000"/>
    <n v="55"/>
    <n v="31"/>
    <s v="PUN01 NC Cluster 201"/>
    <m/>
    <d v="1899-12-30T01:11:00"/>
    <d v="1899-12-30T03:46:28"/>
    <n v="7605"/>
    <d v="1899-12-30T08:02:04"/>
    <d v="1899-12-30T08:02:15"/>
    <n v="7638"/>
    <n v="20"/>
    <n v="33"/>
    <n v="-13"/>
    <n v="33"/>
    <n v="33"/>
    <n v="0"/>
    <n v="0"/>
    <n v="1"/>
    <x v="1"/>
    <n v="0"/>
    <n v="0"/>
    <n v="0"/>
    <n v="0"/>
    <n v="956.45"/>
    <n v="0"/>
    <n v="956.45"/>
    <m/>
    <m/>
  </r>
  <r>
    <n v="418"/>
    <x v="17"/>
    <s v="HINJEWADI"/>
    <s v="SLK1"/>
    <x v="0"/>
    <x v="18"/>
    <s v="ACE"/>
    <s v="CNG"/>
    <n v="4"/>
    <n v="8"/>
    <x v="0"/>
    <n v="1000"/>
    <n v="55"/>
    <n v="31"/>
    <s v="PUN01 NC Cluster 39"/>
    <m/>
    <d v="1899-12-30T01:09:00"/>
    <d v="1899-12-30T03:50:31"/>
    <n v="5364"/>
    <d v="1899-12-30T07:28:30"/>
    <d v="1899-12-30T07:28:40"/>
    <n v="5379"/>
    <n v="37"/>
    <n v="50"/>
    <n v="-13"/>
    <n v="15"/>
    <n v="15"/>
    <n v="0"/>
    <n v="0"/>
    <n v="0"/>
    <x v="0"/>
    <n v="0"/>
    <n v="0"/>
    <n v="0"/>
    <n v="0"/>
    <n v="806.45"/>
    <n v="0"/>
    <n v="806.45"/>
    <m/>
    <m/>
  </r>
  <r>
    <n v="419"/>
    <x v="17"/>
    <s v="HINJEWADI"/>
    <s v="SLK1"/>
    <x v="0"/>
    <x v="26"/>
    <s v="ACE"/>
    <s v="CNG"/>
    <n v="4"/>
    <n v="8"/>
    <x v="0"/>
    <n v="1000"/>
    <n v="55"/>
    <n v="31"/>
    <s v="PUN01 NC Cluster 24"/>
    <m/>
    <d v="1899-12-30T02:23:00"/>
    <d v="1899-12-30T03:50:55"/>
    <n v="41624"/>
    <d v="1899-12-30T07:52:02"/>
    <d v="1899-12-30T07:58:37"/>
    <n v="41654"/>
    <n v="60"/>
    <n v="26"/>
    <n v="34"/>
    <n v="30"/>
    <n v="30"/>
    <n v="0"/>
    <n v="0"/>
    <n v="0"/>
    <x v="0"/>
    <n v="0"/>
    <n v="0"/>
    <n v="0"/>
    <n v="0"/>
    <n v="806.45"/>
    <n v="0"/>
    <n v="806.45"/>
    <m/>
    <m/>
  </r>
  <r>
    <n v="420"/>
    <x v="17"/>
    <s v="HINJEWADI"/>
    <s v="SLK1"/>
    <x v="0"/>
    <x v="20"/>
    <s v="BOLERO"/>
    <s v="DIESEL"/>
    <n v="4"/>
    <n v="10"/>
    <x v="2"/>
    <n v="1000"/>
    <n v="55"/>
    <n v="31"/>
    <s v="PUN01 NC Cluster 106"/>
    <m/>
    <d v="1899-12-30T01:31:00"/>
    <d v="1899-12-30T03:57:27"/>
    <n v="39152"/>
    <d v="1899-12-30T07:23:51"/>
    <d v="1899-12-30T07:24:08"/>
    <n v="39176"/>
    <n v="40"/>
    <n v="38"/>
    <n v="2"/>
    <n v="24"/>
    <n v="24"/>
    <n v="0"/>
    <n v="0"/>
    <n v="0"/>
    <x v="0"/>
    <n v="0"/>
    <n v="0"/>
    <n v="0"/>
    <n v="0"/>
    <n v="935.48"/>
    <n v="0"/>
    <n v="935.48"/>
    <m/>
    <m/>
  </r>
  <r>
    <n v="421"/>
    <x v="17"/>
    <s v="HINJEWADI"/>
    <s v="SLK1"/>
    <x v="0"/>
    <x v="21"/>
    <s v="BOLERO"/>
    <s v="DIESEL"/>
    <n v="4"/>
    <n v="10"/>
    <x v="2"/>
    <n v="1000"/>
    <n v="55"/>
    <n v="31"/>
    <s v="PUN01 NC Cluster 100"/>
    <m/>
    <d v="1899-12-30T02:30:00"/>
    <d v="1899-12-30T04:00:11"/>
    <n v="3344"/>
    <d v="1899-12-30T07:52:20"/>
    <d v="1899-12-30T07:52:39"/>
    <n v="3368"/>
    <n v="44"/>
    <n v="42"/>
    <n v="2"/>
    <n v="24"/>
    <n v="24"/>
    <n v="0"/>
    <n v="0"/>
    <n v="0"/>
    <x v="0"/>
    <n v="0"/>
    <n v="0"/>
    <n v="0"/>
    <n v="0"/>
    <n v="935.48"/>
    <n v="0"/>
    <n v="935.48"/>
    <m/>
    <m/>
  </r>
  <r>
    <n v="422"/>
    <x v="17"/>
    <s v="HINJEWADI"/>
    <s v="SLK1"/>
    <x v="0"/>
    <x v="22"/>
    <s v="BOLERO"/>
    <s v="DIESEL"/>
    <n v="4"/>
    <n v="10"/>
    <x v="2"/>
    <n v="1000"/>
    <n v="55"/>
    <n v="31"/>
    <s v="PUN01 NC Cluster 132"/>
    <m/>
    <d v="1899-12-30T02:09:00"/>
    <d v="1899-12-30T03:48:59"/>
    <n v="139383"/>
    <d v="1899-12-30T08:34:41"/>
    <d v="1899-12-30T08:34:50"/>
    <n v="139410"/>
    <n v="30"/>
    <n v="39"/>
    <n v="-9"/>
    <n v="27"/>
    <n v="27"/>
    <n v="0"/>
    <n v="0"/>
    <n v="1"/>
    <x v="1"/>
    <n v="0"/>
    <n v="0"/>
    <n v="0"/>
    <n v="0"/>
    <n v="1085.48"/>
    <n v="0"/>
    <n v="1085.48"/>
    <m/>
    <m/>
  </r>
  <r>
    <n v="423"/>
    <x v="18"/>
    <s v="HINJEWADI"/>
    <s v="SLK1"/>
    <x v="0"/>
    <x v="6"/>
    <s v="ACE"/>
    <s v="CNG"/>
    <n v="4"/>
    <n v="8"/>
    <x v="0"/>
    <n v="1000"/>
    <n v="55"/>
    <n v="31"/>
    <s v="PUN01 NC Cluster19"/>
    <m/>
    <d v="1899-12-30T01:08:00"/>
    <d v="1899-12-30T01:08:00"/>
    <n v="144750"/>
    <d v="1899-12-30T08:51:00"/>
    <d v="1899-12-30T08:51:00"/>
    <n v="144772"/>
    <n v="34"/>
    <n v="34"/>
    <n v="0"/>
    <n v="22"/>
    <n v="22"/>
    <n v="0"/>
    <n v="0"/>
    <n v="1"/>
    <x v="1"/>
    <n v="0"/>
    <n v="0"/>
    <n v="0"/>
    <n v="0"/>
    <n v="956.45"/>
    <n v="0"/>
    <n v="956.45"/>
    <m/>
    <m/>
  </r>
  <r>
    <n v="424"/>
    <x v="18"/>
    <s v="HINJEWADI"/>
    <s v="SLK1"/>
    <x v="0"/>
    <x v="0"/>
    <s v="ACE"/>
    <s v="CNG"/>
    <n v="4"/>
    <n v="8"/>
    <x v="0"/>
    <n v="1000"/>
    <n v="55"/>
    <n v="31"/>
    <s v="PUN01 NC Cluster1"/>
    <m/>
    <d v="1899-12-30T01:10:00"/>
    <d v="1899-12-30T01:10:00"/>
    <n v="57764"/>
    <d v="1899-12-30T06:09:00"/>
    <d v="1899-12-30T06:09:00"/>
    <n v="57778"/>
    <n v="31"/>
    <n v="31"/>
    <n v="0"/>
    <n v="14"/>
    <n v="14"/>
    <n v="0"/>
    <n v="0"/>
    <n v="0"/>
    <x v="0"/>
    <n v="0"/>
    <n v="0"/>
    <n v="0"/>
    <n v="0"/>
    <n v="806.45"/>
    <n v="0"/>
    <n v="806.45"/>
    <m/>
    <m/>
  </r>
  <r>
    <n v="425"/>
    <x v="18"/>
    <s v="HINJEWADI"/>
    <s v="SLK1"/>
    <x v="0"/>
    <x v="28"/>
    <s v="ACE"/>
    <s v="CNG"/>
    <n v="4"/>
    <n v="8"/>
    <x v="0"/>
    <n v="1000"/>
    <n v="55"/>
    <n v="31"/>
    <s v="PUN01 NC Cluster62"/>
    <m/>
    <d v="1899-12-30T01:11:00"/>
    <d v="1899-12-30T01:11:00"/>
    <n v="15781"/>
    <d v="1899-12-30T07:10:00"/>
    <d v="1899-12-30T07:10:00"/>
    <n v="15812"/>
    <n v="27"/>
    <n v="27"/>
    <n v="0"/>
    <n v="31"/>
    <n v="31"/>
    <n v="0"/>
    <n v="0"/>
    <n v="0"/>
    <x v="0"/>
    <n v="0"/>
    <n v="0"/>
    <n v="0"/>
    <n v="0"/>
    <n v="806.45"/>
    <n v="0"/>
    <n v="806.45"/>
    <m/>
    <m/>
  </r>
  <r>
    <n v="426"/>
    <x v="18"/>
    <s v="HINJEWADI"/>
    <s v="SLK1"/>
    <x v="0"/>
    <x v="8"/>
    <s v="ACE"/>
    <s v="CNG"/>
    <n v="4"/>
    <n v="8"/>
    <x v="0"/>
    <n v="1000"/>
    <n v="55"/>
    <n v="31"/>
    <s v="PUN01 NC Cluster40"/>
    <m/>
    <d v="1899-12-30T01:11:00"/>
    <d v="1899-12-30T01:11:00"/>
    <n v="113672"/>
    <d v="1899-12-30T07:19:00"/>
    <d v="1899-12-30T07:19:00"/>
    <n v="113687"/>
    <n v="40"/>
    <n v="40"/>
    <n v="0"/>
    <n v="15"/>
    <n v="15"/>
    <n v="0"/>
    <n v="0"/>
    <n v="0"/>
    <x v="0"/>
    <n v="0"/>
    <n v="0"/>
    <n v="0"/>
    <n v="0"/>
    <n v="806.45"/>
    <n v="0"/>
    <n v="806.45"/>
    <m/>
    <m/>
  </r>
  <r>
    <n v="427"/>
    <x v="18"/>
    <s v="HINJEWADI"/>
    <s v="SLK1"/>
    <x v="0"/>
    <x v="15"/>
    <s v="ACE"/>
    <s v="CNG"/>
    <n v="4"/>
    <n v="8"/>
    <x v="0"/>
    <n v="1000"/>
    <n v="55"/>
    <n v="31"/>
    <s v="PUN01 NC Cluster43-41"/>
    <m/>
    <d v="1899-12-30T01:11:00"/>
    <d v="1899-12-30T01:11:00"/>
    <n v="39161"/>
    <d v="1899-12-30T07:19:00"/>
    <d v="1899-12-30T07:19:00"/>
    <n v="39174"/>
    <n v="29"/>
    <n v="29"/>
    <n v="0"/>
    <n v="13"/>
    <n v="13"/>
    <n v="0"/>
    <n v="0"/>
    <n v="0"/>
    <x v="0"/>
    <n v="0"/>
    <n v="0"/>
    <n v="0"/>
    <n v="0"/>
    <n v="806.45"/>
    <n v="0"/>
    <n v="806.45"/>
    <m/>
    <m/>
  </r>
  <r>
    <n v="428"/>
    <x v="18"/>
    <s v="HINJEWADI"/>
    <s v="SLK1"/>
    <x v="0"/>
    <x v="36"/>
    <s v="ACE"/>
    <s v="CNG"/>
    <n v="4"/>
    <n v="8"/>
    <x v="0"/>
    <n v="1000"/>
    <n v="55"/>
    <n v="31"/>
    <s v="PUN01 NC Cluster19-12"/>
    <m/>
    <d v="1899-12-30T01:12:00"/>
    <d v="1899-12-30T01:12:00"/>
    <n v="115943"/>
    <d v="1899-12-30T08:10:00"/>
    <d v="1899-12-30T08:10:00"/>
    <n v="115968"/>
    <n v="37"/>
    <n v="37"/>
    <n v="0"/>
    <n v="25"/>
    <n v="25"/>
    <n v="0"/>
    <n v="0"/>
    <n v="1"/>
    <x v="1"/>
    <n v="0"/>
    <n v="0"/>
    <n v="0"/>
    <n v="0"/>
    <n v="956.45"/>
    <n v="0"/>
    <n v="956.45"/>
    <m/>
    <m/>
  </r>
  <r>
    <n v="429"/>
    <x v="18"/>
    <s v="HINJEWADI"/>
    <s v="SLK1"/>
    <x v="0"/>
    <x v="12"/>
    <s v="ACE"/>
    <s v="CNG"/>
    <n v="4"/>
    <n v="8"/>
    <x v="0"/>
    <n v="1000"/>
    <n v="55"/>
    <n v="31"/>
    <s v="PUN01 NC Cluster36"/>
    <m/>
    <d v="1899-12-30T01:12:00"/>
    <d v="1899-12-30T01:12:00"/>
    <n v="84363"/>
    <d v="1899-12-30T07:12:00"/>
    <d v="1899-12-30T07:12:00"/>
    <n v="84380"/>
    <n v="17"/>
    <n v="17"/>
    <n v="0"/>
    <n v="17"/>
    <n v="17"/>
    <n v="0"/>
    <n v="0"/>
    <n v="0"/>
    <x v="0"/>
    <n v="0"/>
    <n v="0"/>
    <n v="0"/>
    <n v="0"/>
    <n v="806.45"/>
    <n v="0"/>
    <n v="806.45"/>
    <m/>
    <m/>
  </r>
  <r>
    <n v="430"/>
    <x v="18"/>
    <s v="HINJEWADI"/>
    <s v="SLK1"/>
    <x v="0"/>
    <x v="18"/>
    <s v="ACE"/>
    <s v="CNG"/>
    <n v="4"/>
    <n v="8"/>
    <x v="0"/>
    <n v="1000"/>
    <n v="55"/>
    <n v="31"/>
    <s v="PUN01 NC Cluster37"/>
    <m/>
    <d v="1899-12-30T01:12:00"/>
    <d v="1899-12-30T01:12:00"/>
    <n v="5482"/>
    <d v="1899-12-30T07:37:00"/>
    <d v="1899-12-30T07:37:00"/>
    <n v="5497"/>
    <n v="30"/>
    <n v="30"/>
    <n v="0"/>
    <n v="15"/>
    <n v="15"/>
    <n v="0"/>
    <n v="0"/>
    <n v="0"/>
    <x v="0"/>
    <n v="0"/>
    <n v="0"/>
    <n v="0"/>
    <n v="0"/>
    <n v="806.45"/>
    <n v="0"/>
    <n v="806.45"/>
    <m/>
    <m/>
  </r>
  <r>
    <n v="431"/>
    <x v="18"/>
    <s v="HINJEWADI"/>
    <s v="SLK1"/>
    <x v="0"/>
    <x v="17"/>
    <s v="ACE"/>
    <s v="CNG"/>
    <n v="4"/>
    <n v="8"/>
    <x v="0"/>
    <n v="1000"/>
    <n v="55"/>
    <n v="31"/>
    <s v="PUN01 NC Cluster201"/>
    <m/>
    <d v="1899-12-30T01:14:00"/>
    <d v="1899-12-30T01:14:00"/>
    <n v="7708"/>
    <d v="1899-12-30T07:08:00"/>
    <d v="1899-12-30T07:08:00"/>
    <n v="7731"/>
    <n v="27"/>
    <n v="27"/>
    <n v="0"/>
    <n v="23"/>
    <n v="23"/>
    <n v="0"/>
    <n v="0"/>
    <n v="0"/>
    <x v="0"/>
    <n v="0"/>
    <n v="0"/>
    <n v="0"/>
    <n v="0"/>
    <n v="806.45"/>
    <n v="0"/>
    <n v="806.45"/>
    <m/>
    <m/>
  </r>
  <r>
    <n v="432"/>
    <x v="18"/>
    <s v="HINJEWADI"/>
    <s v="SLK1"/>
    <x v="0"/>
    <x v="30"/>
    <s v="ACE"/>
    <s v="CNG"/>
    <n v="4"/>
    <n v="8"/>
    <x v="0"/>
    <n v="1000"/>
    <n v="55"/>
    <n v="31"/>
    <s v="PUN01 NC Cluster2"/>
    <m/>
    <d v="1899-12-30T01:15:00"/>
    <d v="1899-12-30T01:15:00"/>
    <n v="38619"/>
    <d v="1899-12-30T06:43:00"/>
    <d v="1899-12-30T06:43:00"/>
    <n v="38619"/>
    <n v="37"/>
    <n v="37"/>
    <n v="0"/>
    <n v="0"/>
    <n v="0"/>
    <n v="0"/>
    <n v="0"/>
    <n v="0"/>
    <x v="0"/>
    <n v="0"/>
    <n v="0"/>
    <n v="0"/>
    <n v="0"/>
    <n v="806.45"/>
    <n v="0"/>
    <n v="806.45"/>
    <m/>
    <m/>
  </r>
  <r>
    <n v="433"/>
    <x v="18"/>
    <s v="HINJEWADI"/>
    <s v="SLK1"/>
    <x v="0"/>
    <x v="29"/>
    <s v="ACE"/>
    <s v="CNG"/>
    <n v="4"/>
    <n v="8"/>
    <x v="0"/>
    <n v="1000"/>
    <n v="55"/>
    <n v="31"/>
    <s v="PUN01 NC Cluster5"/>
    <m/>
    <d v="1899-12-30T01:17:00"/>
    <d v="1899-12-30T01:17:00"/>
    <n v="110639"/>
    <d v="1899-12-30T07:05:00"/>
    <d v="1899-12-30T07:05:00"/>
    <n v="110652"/>
    <n v="22"/>
    <n v="22"/>
    <n v="0"/>
    <n v="13"/>
    <n v="13"/>
    <n v="0"/>
    <n v="0"/>
    <n v="0"/>
    <x v="0"/>
    <n v="0"/>
    <n v="0"/>
    <n v="0"/>
    <n v="0"/>
    <n v="806.45"/>
    <n v="0"/>
    <n v="806.45"/>
    <m/>
    <m/>
  </r>
  <r>
    <n v="434"/>
    <x v="18"/>
    <s v="HINJEWADI"/>
    <s v="SLK1"/>
    <x v="0"/>
    <x v="23"/>
    <s v="ACE"/>
    <s v="CNG"/>
    <n v="4"/>
    <n v="8"/>
    <x v="0"/>
    <n v="1000"/>
    <n v="55"/>
    <n v="31"/>
    <s v="PUN01 NC Cluster3"/>
    <m/>
    <d v="1899-12-30T01:26:00"/>
    <d v="1899-12-30T01:26:00"/>
    <n v="78558"/>
    <d v="1899-12-30T07:21:00"/>
    <d v="1899-12-30T07:21:00"/>
    <n v="78568"/>
    <n v="23"/>
    <n v="23"/>
    <n v="0"/>
    <n v="10"/>
    <n v="10"/>
    <n v="0"/>
    <n v="0"/>
    <n v="0"/>
    <x v="0"/>
    <n v="0"/>
    <n v="0"/>
    <n v="0"/>
    <n v="0"/>
    <n v="806.45"/>
    <n v="0"/>
    <n v="806.45"/>
    <m/>
    <m/>
  </r>
  <r>
    <n v="435"/>
    <x v="18"/>
    <s v="HINJEWADI"/>
    <s v="SLK1"/>
    <x v="0"/>
    <x v="14"/>
    <s v="ACE"/>
    <s v="CNG"/>
    <n v="6"/>
    <n v="8"/>
    <x v="1"/>
    <n v="2000"/>
    <n v="55"/>
    <n v="31"/>
    <s v="PUN01 NC Cluster303"/>
    <m/>
    <d v="1899-12-30T01:27:00"/>
    <d v="1899-12-30T01:27:00"/>
    <n v="34209"/>
    <d v="1899-12-30T07:21:00"/>
    <d v="1899-12-30T07:21:00"/>
    <n v="34275"/>
    <n v="26"/>
    <n v="26"/>
    <n v="0"/>
    <n v="66"/>
    <n v="66"/>
    <n v="0"/>
    <n v="0"/>
    <n v="0"/>
    <x v="0"/>
    <n v="0"/>
    <n v="0"/>
    <n v="0"/>
    <n v="0"/>
    <n v="1064.52"/>
    <n v="0"/>
    <n v="1064.52"/>
    <m/>
    <m/>
  </r>
  <r>
    <n v="436"/>
    <x v="18"/>
    <s v="HINJEWADI"/>
    <s v="SLK1"/>
    <x v="0"/>
    <x v="33"/>
    <s v="ACE"/>
    <s v="CNG"/>
    <n v="4"/>
    <n v="8"/>
    <x v="0"/>
    <n v="1000"/>
    <n v="55"/>
    <n v="31"/>
    <s v="PUN01 NC Cluster13"/>
    <m/>
    <d v="1899-12-30T01:39:00"/>
    <d v="1899-12-30T01:39:00"/>
    <n v="165732"/>
    <d v="1899-12-30T07:00:00"/>
    <d v="1899-12-30T07:00:00"/>
    <n v="165732"/>
    <n v="33"/>
    <n v="33"/>
    <n v="0"/>
    <n v="0"/>
    <n v="0"/>
    <n v="0"/>
    <n v="0"/>
    <n v="0"/>
    <x v="0"/>
    <n v="0"/>
    <n v="0"/>
    <n v="0"/>
    <n v="0"/>
    <n v="806.45"/>
    <n v="0"/>
    <n v="806.45"/>
    <m/>
    <m/>
  </r>
  <r>
    <n v="437"/>
    <x v="18"/>
    <s v="HINJEWADI"/>
    <s v="SLK1"/>
    <x v="0"/>
    <x v="10"/>
    <s v="ACE"/>
    <s v="CNG"/>
    <n v="4"/>
    <n v="8"/>
    <x v="0"/>
    <n v="1000"/>
    <n v="55"/>
    <n v="31"/>
    <s v="PUN01 NC ClusterBACKUP"/>
    <m/>
    <d v="1899-12-30T01:40:00"/>
    <d v="1899-12-30T01:40:00"/>
    <n v="75753"/>
    <d v="1899-12-30T07:21:00"/>
    <d v="1899-12-30T07:21:00"/>
    <n v="75780"/>
    <n v="0"/>
    <n v="0"/>
    <n v="0"/>
    <n v="27"/>
    <n v="27"/>
    <n v="0"/>
    <n v="0"/>
    <n v="0"/>
    <x v="0"/>
    <n v="0"/>
    <n v="0"/>
    <n v="0"/>
    <n v="0"/>
    <n v="806.45"/>
    <n v="0"/>
    <n v="806.45"/>
    <m/>
    <m/>
  </r>
  <r>
    <n v="438"/>
    <x v="18"/>
    <s v="HINJEWADI"/>
    <s v="SLK1"/>
    <x v="0"/>
    <x v="25"/>
    <s v="ACE"/>
    <s v="CNG"/>
    <n v="4"/>
    <n v="8"/>
    <x v="0"/>
    <n v="1000"/>
    <n v="55"/>
    <n v="31"/>
    <s v="PUN01 NC Cluster199"/>
    <m/>
    <d v="1899-12-30T01:47:00"/>
    <d v="1899-12-30T01:47:00"/>
    <n v="118593"/>
    <d v="1899-12-30T07:19:00"/>
    <d v="1899-12-30T07:19:00"/>
    <n v="118627"/>
    <n v="11"/>
    <n v="11"/>
    <n v="0"/>
    <n v="34"/>
    <n v="34"/>
    <n v="0"/>
    <n v="0"/>
    <n v="0"/>
    <x v="0"/>
    <n v="0"/>
    <n v="0"/>
    <n v="0"/>
    <n v="0"/>
    <n v="806.45"/>
    <n v="0"/>
    <n v="806.45"/>
    <m/>
    <m/>
  </r>
  <r>
    <n v="439"/>
    <x v="18"/>
    <s v="HINJEWADI"/>
    <s v="SLK1"/>
    <x v="0"/>
    <x v="2"/>
    <s v="ACE"/>
    <s v="CNG"/>
    <n v="6"/>
    <n v="8"/>
    <x v="1"/>
    <n v="2000"/>
    <n v="55"/>
    <n v="31"/>
    <s v="PUN01 NC Cluster237"/>
    <m/>
    <d v="1899-12-30T01:48:00"/>
    <d v="1899-12-30T01:48:00"/>
    <n v="101037"/>
    <d v="1899-12-30T08:10:00"/>
    <d v="1899-12-30T08:10:00"/>
    <n v="101079"/>
    <n v="97"/>
    <n v="97"/>
    <n v="0"/>
    <n v="42"/>
    <n v="42"/>
    <n v="0"/>
    <n v="0"/>
    <n v="0"/>
    <x v="0"/>
    <n v="0"/>
    <n v="0"/>
    <n v="0"/>
    <n v="0"/>
    <n v="1064.52"/>
    <n v="0"/>
    <n v="1064.52"/>
    <m/>
    <m/>
  </r>
  <r>
    <n v="440"/>
    <x v="18"/>
    <s v="HINJEWADI"/>
    <s v="SLK1"/>
    <x v="0"/>
    <x v="20"/>
    <s v="BOLERO"/>
    <s v="DIESEL"/>
    <n v="4"/>
    <n v="10"/>
    <x v="2"/>
    <n v="1000"/>
    <n v="55"/>
    <n v="31"/>
    <s v="PUN01 NC Cluster59-60"/>
    <m/>
    <d v="1899-12-30T02:03:00"/>
    <d v="1899-12-30T02:03:00"/>
    <n v="39244"/>
    <d v="1899-12-30T07:20:00"/>
    <d v="1899-12-30T07:20:00"/>
    <n v="39264"/>
    <n v="43"/>
    <n v="43"/>
    <n v="0"/>
    <n v="20"/>
    <n v="20"/>
    <n v="0"/>
    <n v="0"/>
    <n v="0"/>
    <x v="0"/>
    <n v="0"/>
    <n v="0"/>
    <n v="0"/>
    <n v="0"/>
    <n v="935.48"/>
    <n v="0"/>
    <n v="935.48"/>
    <m/>
    <m/>
  </r>
  <r>
    <n v="441"/>
    <x v="18"/>
    <s v="HINJEWADI"/>
    <s v="SLK1"/>
    <x v="0"/>
    <x v="5"/>
    <s v="ACE"/>
    <s v="CNG"/>
    <n v="4"/>
    <n v="8"/>
    <x v="0"/>
    <n v="1000"/>
    <n v="55"/>
    <n v="31"/>
    <s v="PUN01 NC Cluster87"/>
    <m/>
    <d v="1899-12-30T02:07:00"/>
    <d v="1899-12-30T02:07:00"/>
    <n v="145420"/>
    <d v="1899-12-30T06:38:00"/>
    <d v="1899-12-30T06:38:00"/>
    <n v="145438"/>
    <n v="20"/>
    <n v="20"/>
    <n v="0"/>
    <n v="18"/>
    <n v="18"/>
    <n v="0"/>
    <n v="0"/>
    <n v="0"/>
    <x v="0"/>
    <n v="0"/>
    <n v="0"/>
    <n v="0"/>
    <n v="0"/>
    <n v="806.45"/>
    <n v="0"/>
    <n v="806.45"/>
    <m/>
    <m/>
  </r>
  <r>
    <n v="442"/>
    <x v="18"/>
    <s v="HINJEWADI"/>
    <s v="SLK1"/>
    <x v="0"/>
    <x v="22"/>
    <s v="BOLERO"/>
    <s v="DIESEL"/>
    <n v="4"/>
    <n v="10"/>
    <x v="2"/>
    <n v="1000"/>
    <n v="55"/>
    <n v="31"/>
    <s v="PUN01 NC Cluster132-136"/>
    <m/>
    <d v="1899-12-30T02:10:00"/>
    <d v="1899-12-30T02:10:00"/>
    <n v="139448"/>
    <d v="1899-12-30T07:19:00"/>
    <d v="1899-12-30T07:19:00"/>
    <n v="139477"/>
    <n v="89"/>
    <n v="89"/>
    <n v="0"/>
    <n v="29"/>
    <n v="29"/>
    <n v="0"/>
    <n v="0"/>
    <n v="0"/>
    <x v="0"/>
    <n v="0"/>
    <n v="0"/>
    <n v="0"/>
    <n v="0"/>
    <n v="935.48"/>
    <n v="0"/>
    <n v="935.48"/>
    <m/>
    <m/>
  </r>
  <r>
    <n v="443"/>
    <x v="18"/>
    <s v="HINJEWADI"/>
    <s v="SLK1"/>
    <x v="0"/>
    <x v="34"/>
    <s v="ACE"/>
    <s v="CNG"/>
    <n v="4"/>
    <n v="8"/>
    <x v="0"/>
    <n v="1000"/>
    <n v="55"/>
    <n v="31"/>
    <s v="PUN01 NC Cluster38-39-35"/>
    <m/>
    <d v="1899-12-30T02:19:00"/>
    <d v="1899-12-30T02:19:00"/>
    <n v="89202"/>
    <d v="1899-12-30T07:00:00"/>
    <d v="1899-12-30T07:00:00"/>
    <n v="89202"/>
    <n v="60"/>
    <n v="60"/>
    <n v="0"/>
    <n v="0"/>
    <n v="0"/>
    <n v="0"/>
    <n v="0"/>
    <n v="0"/>
    <x v="0"/>
    <n v="0"/>
    <n v="0"/>
    <n v="0"/>
    <n v="0"/>
    <n v="806.45"/>
    <n v="0"/>
    <n v="806.45"/>
    <m/>
    <m/>
  </r>
  <r>
    <n v="444"/>
    <x v="18"/>
    <s v="HINJEWADI"/>
    <s v="SLK1"/>
    <x v="0"/>
    <x v="13"/>
    <s v="ACE"/>
    <s v="CNG"/>
    <n v="4"/>
    <n v="8"/>
    <x v="0"/>
    <n v="1000"/>
    <n v="55"/>
    <n v="31"/>
    <s v="PUN01 NC Cluster127"/>
    <m/>
    <d v="1899-12-30T02:19:00"/>
    <d v="1899-12-30T02:19:00"/>
    <n v="37135"/>
    <d v="1899-12-30T07:26:00"/>
    <d v="1899-12-30T07:26:00"/>
    <n v="37170"/>
    <n v="30"/>
    <n v="30"/>
    <n v="0"/>
    <n v="35"/>
    <n v="35"/>
    <n v="0"/>
    <n v="0"/>
    <n v="0"/>
    <x v="0"/>
    <n v="0"/>
    <n v="0"/>
    <n v="0"/>
    <n v="0"/>
    <n v="806.45"/>
    <n v="0"/>
    <n v="806.45"/>
    <m/>
    <m/>
  </r>
  <r>
    <n v="445"/>
    <x v="18"/>
    <s v="HINJEWADI"/>
    <s v="SLK1"/>
    <x v="0"/>
    <x v="21"/>
    <s v="BOLERO"/>
    <s v="DIESEL"/>
    <n v="4"/>
    <n v="10"/>
    <x v="2"/>
    <n v="1000"/>
    <n v="55"/>
    <n v="31"/>
    <s v="PUN01 NC Cluster175-155"/>
    <m/>
    <d v="1899-12-30T02:20:00"/>
    <d v="1899-12-30T02:20:00"/>
    <n v="3390"/>
    <d v="1899-12-30T07:48:00"/>
    <d v="1899-12-30T07:48:00"/>
    <n v="3431"/>
    <n v="84"/>
    <n v="84"/>
    <n v="0"/>
    <n v="41"/>
    <n v="41"/>
    <n v="0"/>
    <n v="0"/>
    <n v="0"/>
    <x v="0"/>
    <n v="0"/>
    <n v="0"/>
    <n v="0"/>
    <n v="0"/>
    <n v="935.48"/>
    <n v="0"/>
    <n v="935.48"/>
    <m/>
    <m/>
  </r>
  <r>
    <n v="446"/>
    <x v="18"/>
    <s v="HINJEWADI"/>
    <s v="SLK1"/>
    <x v="0"/>
    <x v="31"/>
    <s v="BOLERO"/>
    <s v="DIESEL"/>
    <n v="4"/>
    <n v="10"/>
    <x v="2"/>
    <n v="1000"/>
    <n v="55"/>
    <n v="31"/>
    <s v="PUN01 NC Cluster139-140"/>
    <m/>
    <d v="1899-12-30T02:44:00"/>
    <d v="1899-12-30T02:44:00"/>
    <n v="60973"/>
    <d v="1899-12-30T07:36:00"/>
    <d v="1899-12-30T07:36:00"/>
    <n v="60998"/>
    <n v="54"/>
    <n v="54"/>
    <n v="0"/>
    <n v="25"/>
    <n v="25"/>
    <n v="0"/>
    <n v="0"/>
    <n v="0"/>
    <x v="0"/>
    <n v="0"/>
    <n v="0"/>
    <n v="0"/>
    <n v="0"/>
    <n v="935.48"/>
    <n v="0"/>
    <n v="935.48"/>
    <m/>
    <m/>
  </r>
  <r>
    <n v="447"/>
    <x v="18"/>
    <s v="HINJEWADI"/>
    <s v="SLK1"/>
    <x v="0"/>
    <x v="26"/>
    <s v="ACE"/>
    <s v="CNG"/>
    <n v="4"/>
    <n v="8"/>
    <x v="0"/>
    <n v="1000"/>
    <n v="55"/>
    <n v="31"/>
    <s v="PUN01 NC Cluster25"/>
    <m/>
    <d v="1899-12-30T02:45:00"/>
    <d v="1899-12-30T02:45:00"/>
    <n v="41706"/>
    <d v="1899-12-30T07:35:00"/>
    <d v="1899-12-30T07:35:00"/>
    <n v="41731"/>
    <n v="46"/>
    <n v="46"/>
    <n v="0"/>
    <n v="25"/>
    <n v="25"/>
    <n v="0"/>
    <n v="0"/>
    <n v="0"/>
    <x v="0"/>
    <n v="0"/>
    <n v="0"/>
    <n v="0"/>
    <n v="0"/>
    <n v="806.45"/>
    <n v="0"/>
    <n v="806.45"/>
    <m/>
    <m/>
  </r>
  <r>
    <n v="448"/>
    <x v="18"/>
    <s v="HINJEWADI"/>
    <s v="SLK1"/>
    <x v="0"/>
    <x v="35"/>
    <s v="ACE"/>
    <s v="CNG"/>
    <n v="4"/>
    <n v="8"/>
    <x v="0"/>
    <n v="1000"/>
    <n v="55"/>
    <n v="31"/>
    <s v="PUN01 NC ClusterBACKUP"/>
    <m/>
    <d v="1899-12-30T02:48:00"/>
    <d v="1899-12-30T02:48:00"/>
    <n v="44956"/>
    <d v="1899-12-30T07:00:00"/>
    <d v="1899-12-30T07:00:00"/>
    <n v="44956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449"/>
    <x v="18"/>
    <s v="HINJEWADI"/>
    <s v="SLK1"/>
    <x v="0"/>
    <x v="3"/>
    <s v="ACE"/>
    <s v="CNG"/>
    <n v="4"/>
    <n v="8"/>
    <x v="0"/>
    <n v="1000"/>
    <n v="55"/>
    <n v="31"/>
    <s v="PUN01 NC ClusterHOLD"/>
    <m/>
    <d v="1899-12-30T02:53:00"/>
    <d v="1899-12-30T02:53:00"/>
    <n v="84259"/>
    <d v="1899-12-30T07:30:00"/>
    <d v="1899-12-30T07:30:00"/>
    <n v="84259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450"/>
    <x v="18"/>
    <s v="HINJEWADI"/>
    <s v="SLK1"/>
    <x v="0"/>
    <x v="4"/>
    <s v="ACE"/>
    <s v="CNG"/>
    <n v="4"/>
    <n v="8"/>
    <x v="0"/>
    <n v="1000"/>
    <n v="55"/>
    <n v="31"/>
    <s v="PUN01 NC ClusterBACKUP"/>
    <m/>
    <d v="1899-12-30T02:54:00"/>
    <d v="1899-12-30T02:54:00"/>
    <n v="12797"/>
    <d v="1899-12-30T07:00:00"/>
    <d v="1899-12-30T07:00:00"/>
    <n v="12797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451"/>
    <x v="18"/>
    <s v="HINJEWADI"/>
    <s v="SLK1"/>
    <x v="0"/>
    <x v="37"/>
    <s v="ACE"/>
    <s v="CNG"/>
    <n v="4"/>
    <n v="8"/>
    <x v="0"/>
    <n v="1000"/>
    <n v="55"/>
    <n v="31"/>
    <s v="PUN01 NC ClusterBACKUP"/>
    <m/>
    <d v="1899-12-30T03:11:00"/>
    <d v="1899-12-30T03:11:00"/>
    <n v="66286"/>
    <d v="1899-12-30T07:00:00"/>
    <d v="1899-12-30T07:00:00"/>
    <n v="66311"/>
    <n v="0"/>
    <n v="0"/>
    <n v="0"/>
    <n v="25"/>
    <n v="25"/>
    <n v="0"/>
    <n v="0"/>
    <n v="0"/>
    <x v="0"/>
    <n v="0"/>
    <n v="0"/>
    <n v="0"/>
    <n v="0"/>
    <n v="806.45"/>
    <n v="0"/>
    <n v="806.45"/>
    <m/>
    <m/>
  </r>
  <r>
    <n v="452"/>
    <x v="18"/>
    <s v="HINJEWADI"/>
    <s v="SLK1"/>
    <x v="0"/>
    <x v="19"/>
    <s v="BOLERO"/>
    <s v="DIESEL"/>
    <n v="4"/>
    <n v="10"/>
    <x v="2"/>
    <n v="1000"/>
    <n v="55"/>
    <n v="31"/>
    <s v="PUN01 NC ClusterBACKUP"/>
    <m/>
    <d v="1899-12-30T03:10:00"/>
    <d v="1899-12-30T03:10:00"/>
    <n v="33069"/>
    <d v="1899-12-30T07:00:00"/>
    <d v="1899-12-30T07:00:00"/>
    <n v="33099"/>
    <n v="0"/>
    <n v="0"/>
    <n v="0"/>
    <n v="30"/>
    <n v="30"/>
    <n v="0"/>
    <n v="0"/>
    <n v="0"/>
    <x v="0"/>
    <n v="0"/>
    <n v="0"/>
    <n v="0"/>
    <n v="0"/>
    <n v="935.48"/>
    <n v="0"/>
    <n v="935.48"/>
    <m/>
    <m/>
  </r>
  <r>
    <n v="453"/>
    <x v="19"/>
    <s v="HINJEWADI"/>
    <s v="SLK1"/>
    <x v="0"/>
    <x v="6"/>
    <s v="ACE"/>
    <s v="CNG"/>
    <n v="4"/>
    <n v="8"/>
    <x v="0"/>
    <n v="1000"/>
    <n v="55"/>
    <n v="31"/>
    <s v="PUN01 NC Cluster 10"/>
    <m/>
    <d v="1899-12-30T01:14:00"/>
    <d v="1899-12-30T01:14:00"/>
    <n v="144875"/>
    <d v="1899-12-30T08:10:00"/>
    <d v="1899-12-30T08:10:00"/>
    <n v="144901"/>
    <n v="41"/>
    <n v="41"/>
    <n v="0"/>
    <n v="26"/>
    <n v="26"/>
    <n v="0"/>
    <n v="0"/>
    <n v="1"/>
    <x v="1"/>
    <n v="0"/>
    <n v="0"/>
    <n v="0"/>
    <n v="0"/>
    <n v="956.45"/>
    <n v="0"/>
    <n v="956.45"/>
    <m/>
    <m/>
  </r>
  <r>
    <n v="454"/>
    <x v="19"/>
    <s v="HINJEWADI"/>
    <s v="SLK1"/>
    <x v="0"/>
    <x v="0"/>
    <s v="ACE"/>
    <s v="CNG"/>
    <n v="4"/>
    <n v="8"/>
    <x v="0"/>
    <n v="1000"/>
    <n v="55"/>
    <n v="31"/>
    <s v="PUN01 NC Cluster 1"/>
    <m/>
    <d v="1899-12-30T01:14:00"/>
    <d v="1899-12-30T01:14:00"/>
    <n v="57797"/>
    <d v="1899-12-30T06:17:00"/>
    <d v="1899-12-30T06:17:00"/>
    <n v="57803"/>
    <n v="35"/>
    <n v="35"/>
    <n v="0"/>
    <n v="6"/>
    <n v="6"/>
    <n v="0"/>
    <n v="0"/>
    <n v="0"/>
    <x v="0"/>
    <n v="0"/>
    <n v="0"/>
    <n v="0"/>
    <n v="0"/>
    <n v="806.45"/>
    <n v="0"/>
    <n v="806.45"/>
    <m/>
    <m/>
  </r>
  <r>
    <n v="455"/>
    <x v="19"/>
    <s v="HINJEWADI"/>
    <s v="SLK1"/>
    <x v="0"/>
    <x v="18"/>
    <s v="ACE"/>
    <s v="CNG"/>
    <n v="4"/>
    <n v="8"/>
    <x v="0"/>
    <n v="1000"/>
    <n v="55"/>
    <n v="31"/>
    <s v="PUN01 NC Cluster 3"/>
    <m/>
    <d v="1899-12-30T01:18:00"/>
    <d v="1899-12-30T01:18:00"/>
    <n v="5612"/>
    <d v="1899-12-30T06:27:00"/>
    <d v="1899-12-30T06:27:00"/>
    <n v="5621"/>
    <n v="28"/>
    <n v="28"/>
    <n v="0"/>
    <n v="9"/>
    <n v="9"/>
    <n v="0"/>
    <n v="0"/>
    <n v="0"/>
    <x v="0"/>
    <n v="0"/>
    <n v="0"/>
    <n v="0"/>
    <n v="0"/>
    <n v="806.45"/>
    <n v="0"/>
    <n v="806.45"/>
    <m/>
    <m/>
  </r>
  <r>
    <n v="456"/>
    <x v="19"/>
    <s v="HINJEWADI"/>
    <s v="SLK1"/>
    <x v="0"/>
    <x v="15"/>
    <s v="ACE"/>
    <s v="CNG"/>
    <n v="4"/>
    <n v="8"/>
    <x v="0"/>
    <n v="1000"/>
    <n v="55"/>
    <n v="31"/>
    <s v="PUN01 NC Cluster 41"/>
    <m/>
    <d v="1899-12-30T01:19:00"/>
    <d v="1899-12-30T01:19:00"/>
    <n v="39184"/>
    <d v="1899-12-30T07:27:00"/>
    <d v="1899-12-30T07:27:00"/>
    <n v="39202"/>
    <n v="35"/>
    <n v="35"/>
    <n v="0"/>
    <n v="18"/>
    <n v="18"/>
    <n v="0"/>
    <n v="0"/>
    <n v="0"/>
    <x v="0"/>
    <n v="0"/>
    <n v="0"/>
    <n v="0"/>
    <n v="0"/>
    <n v="806.45"/>
    <n v="0"/>
    <n v="806.45"/>
    <m/>
    <m/>
  </r>
  <r>
    <n v="457"/>
    <x v="19"/>
    <s v="HINJEWADI"/>
    <s v="SLK1"/>
    <x v="0"/>
    <x v="25"/>
    <s v="ACE"/>
    <s v="CNG"/>
    <n v="4"/>
    <n v="8"/>
    <x v="0"/>
    <n v="1000"/>
    <n v="55"/>
    <n v="31"/>
    <s v="PUN01 NC Cluster 200"/>
    <m/>
    <d v="1899-12-30T01:19:00"/>
    <d v="1899-12-30T01:19:00"/>
    <n v="118651"/>
    <d v="1899-12-30T06:58:00"/>
    <d v="1899-12-30T06:58:00"/>
    <n v="118680"/>
    <n v="50"/>
    <n v="50"/>
    <n v="0"/>
    <n v="29"/>
    <n v="29"/>
    <n v="0"/>
    <n v="0"/>
    <n v="0"/>
    <x v="0"/>
    <n v="0"/>
    <n v="0"/>
    <n v="0"/>
    <n v="0"/>
    <n v="806.45"/>
    <n v="0"/>
    <n v="806.45"/>
    <m/>
    <m/>
  </r>
  <r>
    <n v="458"/>
    <x v="19"/>
    <s v="HINJEWADI"/>
    <s v="SLK1"/>
    <x v="0"/>
    <x v="30"/>
    <s v="ACE"/>
    <s v="CNG"/>
    <n v="4"/>
    <n v="8"/>
    <x v="0"/>
    <n v="1000"/>
    <n v="55"/>
    <n v="31"/>
    <s v="PUN01 NC Cluster 140"/>
    <m/>
    <d v="1899-12-30T01:20:00"/>
    <d v="1899-12-30T01:20:00"/>
    <n v="38691"/>
    <d v="1899-12-30T06:50:00"/>
    <d v="1899-12-30T06:50:00"/>
    <n v="38716"/>
    <n v="53"/>
    <n v="53"/>
    <n v="0"/>
    <n v="25"/>
    <n v="25"/>
    <n v="0"/>
    <n v="0"/>
    <n v="0"/>
    <x v="0"/>
    <n v="0"/>
    <n v="0"/>
    <n v="0"/>
    <n v="0"/>
    <n v="806.45"/>
    <n v="0"/>
    <n v="806.45"/>
    <m/>
    <m/>
  </r>
  <r>
    <n v="459"/>
    <x v="19"/>
    <s v="HINJEWADI"/>
    <s v="SLK1"/>
    <x v="0"/>
    <x v="20"/>
    <s v="BOLERO"/>
    <s v="DIESEL"/>
    <n v="4"/>
    <n v="10"/>
    <x v="2"/>
    <n v="1000"/>
    <n v="55"/>
    <n v="31"/>
    <s v="PUN01 NC Cluster 20"/>
    <m/>
    <d v="1899-12-30T01:31:00"/>
    <d v="1899-12-30T01:31:00"/>
    <n v="39333"/>
    <d v="1899-12-30T07:49:00"/>
    <d v="1899-12-30T07:49:00"/>
    <n v="39364"/>
    <n v="50"/>
    <n v="50"/>
    <n v="0"/>
    <n v="31"/>
    <n v="31"/>
    <n v="0"/>
    <n v="0"/>
    <n v="0"/>
    <x v="0"/>
    <n v="0"/>
    <n v="0"/>
    <n v="0"/>
    <n v="0"/>
    <n v="935.48"/>
    <n v="0"/>
    <n v="935.48"/>
    <m/>
    <m/>
  </r>
  <r>
    <n v="460"/>
    <x v="19"/>
    <s v="HINJEWADI"/>
    <s v="SLK1"/>
    <x v="0"/>
    <x v="2"/>
    <s v="ACE"/>
    <s v="CNG"/>
    <n v="6"/>
    <n v="8"/>
    <x v="1"/>
    <n v="2000"/>
    <n v="55"/>
    <n v="31"/>
    <s v="PUN01 NC Cluster 228"/>
    <m/>
    <d v="1899-12-30T01:32:00"/>
    <d v="1899-12-30T01:32:00"/>
    <n v="101134"/>
    <d v="1899-12-30T08:10:00"/>
    <d v="1899-12-30T08:10:00"/>
    <n v="101185"/>
    <n v="20"/>
    <n v="20"/>
    <n v="0"/>
    <n v="51"/>
    <n v="51"/>
    <n v="0"/>
    <n v="0"/>
    <n v="0"/>
    <x v="0"/>
    <n v="0"/>
    <n v="0"/>
    <n v="0"/>
    <n v="0"/>
    <n v="1064.52"/>
    <n v="0"/>
    <n v="1064.52"/>
    <m/>
    <m/>
  </r>
  <r>
    <n v="461"/>
    <x v="19"/>
    <s v="HINJEWADI"/>
    <s v="SLK1"/>
    <x v="0"/>
    <x v="37"/>
    <s v="ACE"/>
    <s v="CNG"/>
    <n v="4"/>
    <n v="8"/>
    <x v="0"/>
    <n v="1000"/>
    <n v="55"/>
    <n v="31"/>
    <s v="PUN01 NC Cluster 92"/>
    <m/>
    <d v="1899-12-30T01:39:00"/>
    <d v="1899-12-30T01:39:00"/>
    <n v="66362"/>
    <d v="1899-12-30T08:20:00"/>
    <d v="1899-12-30T08:20:00"/>
    <n v="66376"/>
    <n v="30"/>
    <n v="30"/>
    <n v="0"/>
    <n v="14"/>
    <n v="14"/>
    <n v="0"/>
    <n v="0"/>
    <n v="1"/>
    <x v="1"/>
    <n v="0"/>
    <n v="0"/>
    <n v="0"/>
    <n v="0"/>
    <n v="956.45"/>
    <n v="0"/>
    <n v="956.45"/>
    <m/>
    <m/>
  </r>
  <r>
    <n v="462"/>
    <x v="19"/>
    <s v="HINJEWADI"/>
    <s v="SLK1"/>
    <x v="0"/>
    <x v="33"/>
    <s v="ACE"/>
    <s v="CNG"/>
    <n v="4"/>
    <n v="8"/>
    <x v="0"/>
    <n v="1000"/>
    <n v="55"/>
    <n v="31"/>
    <s v="PUN01 NC Cluster 13"/>
    <m/>
    <d v="1899-12-30T01:47:00"/>
    <d v="1899-12-30T01:47:00"/>
    <n v="165871"/>
    <d v="1899-12-30T08:12:00"/>
    <d v="1899-12-30T08:12:00"/>
    <n v="165890"/>
    <n v="35"/>
    <n v="35"/>
    <n v="0"/>
    <n v="19"/>
    <n v="19"/>
    <n v="0"/>
    <n v="0"/>
    <n v="1"/>
    <x v="1"/>
    <n v="0"/>
    <n v="0"/>
    <n v="0"/>
    <n v="0"/>
    <n v="956.45"/>
    <n v="0"/>
    <n v="956.45"/>
    <m/>
    <m/>
  </r>
  <r>
    <n v="463"/>
    <x v="19"/>
    <s v="HINJEWADI"/>
    <s v="SLK1"/>
    <x v="0"/>
    <x v="14"/>
    <s v="ACE"/>
    <s v="CNG"/>
    <n v="6"/>
    <n v="8"/>
    <x v="1"/>
    <n v="2000"/>
    <n v="55"/>
    <n v="31"/>
    <s v="PUN01 NC Cluster 303"/>
    <m/>
    <d v="1899-12-30T01:48:00"/>
    <d v="1899-12-30T01:48:00"/>
    <n v="34391"/>
    <d v="1899-12-30T07:46:00"/>
    <d v="1899-12-30T07:46:00"/>
    <n v="34461"/>
    <n v="24"/>
    <n v="24"/>
    <n v="0"/>
    <n v="70"/>
    <n v="70"/>
    <n v="0"/>
    <n v="0"/>
    <n v="0"/>
    <x v="0"/>
    <n v="0"/>
    <n v="0"/>
    <n v="0"/>
    <n v="0"/>
    <n v="1064.52"/>
    <n v="0"/>
    <n v="1064.52"/>
    <m/>
    <m/>
  </r>
  <r>
    <n v="464"/>
    <x v="19"/>
    <s v="HINJEWADI"/>
    <s v="SLK1"/>
    <x v="0"/>
    <x v="9"/>
    <s v="ACE"/>
    <s v="CNG"/>
    <n v="6"/>
    <n v="8"/>
    <x v="1"/>
    <n v="2000"/>
    <n v="55"/>
    <n v="31"/>
    <s v="PUN-21 NC Cluster 299"/>
    <m/>
    <d v="1899-12-30T02:03:00"/>
    <d v="1899-12-30T02:03:00"/>
    <n v="48352"/>
    <d v="1899-12-30T08:45:00"/>
    <d v="1899-12-30T08:45:00"/>
    <n v="48407"/>
    <n v="29"/>
    <n v="27"/>
    <n v="2"/>
    <n v="55"/>
    <n v="55"/>
    <n v="0"/>
    <n v="0"/>
    <n v="0"/>
    <x v="0"/>
    <n v="0"/>
    <n v="0"/>
    <n v="0"/>
    <n v="0"/>
    <n v="1064.52"/>
    <n v="0"/>
    <n v="1064.52"/>
    <m/>
    <m/>
  </r>
  <r>
    <n v="465"/>
    <x v="19"/>
    <s v="HINJEWADI"/>
    <s v="SLK1"/>
    <x v="0"/>
    <x v="22"/>
    <s v="BOLERO"/>
    <s v="DIESEL"/>
    <n v="4"/>
    <n v="10"/>
    <x v="2"/>
    <n v="1000"/>
    <n v="55"/>
    <n v="31"/>
    <s v="PUN01 NC Cluster 142"/>
    <m/>
    <d v="1899-12-30T02:03:00"/>
    <d v="1899-12-30T02:03:00"/>
    <n v="139507"/>
    <d v="1899-12-30T07:40:00"/>
    <d v="1899-12-30T07:40:00"/>
    <n v="139536"/>
    <n v="29"/>
    <n v="29"/>
    <n v="0"/>
    <n v="29"/>
    <n v="29"/>
    <n v="0"/>
    <n v="0"/>
    <n v="0"/>
    <x v="0"/>
    <n v="0"/>
    <n v="0"/>
    <n v="0"/>
    <n v="0"/>
    <n v="935.48"/>
    <n v="0"/>
    <n v="935.48"/>
    <m/>
    <m/>
  </r>
  <r>
    <n v="466"/>
    <x v="19"/>
    <s v="HINJEWADI"/>
    <s v="SLK1"/>
    <x v="0"/>
    <x v="5"/>
    <s v="ACE"/>
    <s v="CNG"/>
    <n v="4"/>
    <n v="8"/>
    <x v="0"/>
    <n v="1000"/>
    <n v="55"/>
    <n v="31"/>
    <s v="PUN01 NC Cluster 87"/>
    <m/>
    <d v="1899-12-30T02:10:00"/>
    <d v="1899-12-30T02:10:00"/>
    <n v="145443"/>
    <d v="1899-12-30T07:35:00"/>
    <d v="1899-12-30T07:35:00"/>
    <n v="145459"/>
    <n v="20"/>
    <n v="20"/>
    <n v="0"/>
    <n v="16"/>
    <n v="16"/>
    <n v="0"/>
    <n v="0"/>
    <n v="0"/>
    <x v="0"/>
    <n v="0"/>
    <n v="0"/>
    <n v="0"/>
    <n v="0"/>
    <n v="806.45"/>
    <n v="0"/>
    <n v="806.45"/>
    <m/>
    <m/>
  </r>
  <r>
    <n v="467"/>
    <x v="19"/>
    <s v="HINJEWADI"/>
    <s v="SLK1"/>
    <x v="0"/>
    <x v="13"/>
    <s v="ACE"/>
    <s v="CNG"/>
    <n v="4"/>
    <n v="8"/>
    <x v="0"/>
    <n v="1000"/>
    <n v="55"/>
    <n v="31"/>
    <s v="PUN01 NC Cluster 126"/>
    <m/>
    <d v="1899-12-30T02:10:00"/>
    <d v="1899-12-30T02:10:00"/>
    <n v="37225"/>
    <d v="1899-12-30T07:33:00"/>
    <d v="1899-12-30T07:33:00"/>
    <n v="37266"/>
    <n v="42"/>
    <n v="42"/>
    <n v="0"/>
    <n v="41"/>
    <n v="41"/>
    <n v="0"/>
    <n v="0"/>
    <n v="0"/>
    <x v="0"/>
    <n v="0"/>
    <n v="0"/>
    <n v="0"/>
    <n v="0"/>
    <n v="806.45"/>
    <n v="0"/>
    <n v="806.45"/>
    <m/>
    <m/>
  </r>
  <r>
    <n v="468"/>
    <x v="19"/>
    <s v="HINJEWADI"/>
    <s v="SLK1"/>
    <x v="0"/>
    <x v="38"/>
    <s v="ACE"/>
    <s v="CNG"/>
    <n v="4"/>
    <n v="8"/>
    <x v="0"/>
    <n v="1000"/>
    <n v="55"/>
    <n v="31"/>
    <s v="PUN01 NC Cluster 127"/>
    <m/>
    <d v="1899-12-30T02:10:00"/>
    <d v="1899-12-30T02:10:00"/>
    <n v="115538"/>
    <d v="1899-12-30T07:50:00"/>
    <d v="1899-12-30T07:50:00"/>
    <n v="115575"/>
    <n v="30"/>
    <n v="30"/>
    <n v="0"/>
    <n v="37"/>
    <n v="37"/>
    <n v="0"/>
    <n v="0"/>
    <n v="0"/>
    <x v="0"/>
    <n v="0"/>
    <n v="0"/>
    <n v="0"/>
    <n v="0"/>
    <n v="806.45"/>
    <n v="0"/>
    <n v="806.45"/>
    <m/>
    <m/>
  </r>
  <r>
    <n v="469"/>
    <x v="19"/>
    <s v="HINJEWADI"/>
    <s v="SLK1"/>
    <x v="0"/>
    <x v="35"/>
    <s v="ACE"/>
    <s v="CNG"/>
    <n v="4"/>
    <n v="8"/>
    <x v="0"/>
    <n v="1000"/>
    <n v="55"/>
    <n v="31"/>
    <s v="PUN01 NC Cluster 296"/>
    <m/>
    <d v="1899-12-30T02:18:00"/>
    <d v="1899-12-30T02:18:00"/>
    <n v="45018"/>
    <d v="1899-12-30T06:40:00"/>
    <d v="1899-12-30T06:40:00"/>
    <n v="45055"/>
    <n v="21"/>
    <n v="21"/>
    <n v="0"/>
    <n v="37"/>
    <n v="37"/>
    <n v="0"/>
    <n v="0"/>
    <n v="0"/>
    <x v="0"/>
    <n v="0"/>
    <n v="0"/>
    <n v="0"/>
    <n v="0"/>
    <n v="806.45"/>
    <n v="0"/>
    <n v="806.45"/>
    <m/>
    <m/>
  </r>
  <r>
    <n v="470"/>
    <x v="19"/>
    <s v="HINJEWADI"/>
    <s v="SLK1"/>
    <x v="0"/>
    <x v="21"/>
    <s v="BOLERO"/>
    <s v="DIESEL"/>
    <n v="4"/>
    <n v="10"/>
    <x v="2"/>
    <n v="1000"/>
    <n v="55"/>
    <n v="31"/>
    <s v="PUN01 NC Cluster 133"/>
    <m/>
    <d v="1899-12-30T02:29:00"/>
    <d v="1899-12-30T02:29:00"/>
    <n v="3451"/>
    <d v="1899-12-30T09:10:00"/>
    <d v="1899-12-30T09:10:00"/>
    <n v="3484"/>
    <n v="64"/>
    <n v="64"/>
    <n v="0"/>
    <n v="33"/>
    <n v="33"/>
    <n v="0"/>
    <n v="0"/>
    <n v="2"/>
    <x v="2"/>
    <n v="0"/>
    <n v="0"/>
    <n v="0"/>
    <n v="0"/>
    <n v="1235.48"/>
    <n v="0"/>
    <n v="1235.48"/>
    <m/>
    <m/>
  </r>
  <r>
    <n v="471"/>
    <x v="19"/>
    <s v="HINJEWADI"/>
    <s v="SLK1"/>
    <x v="0"/>
    <x v="26"/>
    <s v="ACE"/>
    <s v="CNG"/>
    <n v="4"/>
    <n v="8"/>
    <x v="0"/>
    <n v="1000"/>
    <n v="55"/>
    <n v="31"/>
    <s v="PUN01 NC Cluster 209"/>
    <m/>
    <d v="1899-12-30T02:34:00"/>
    <d v="1899-12-30T02:34:00"/>
    <n v="41780"/>
    <d v="1899-12-30T08:25:00"/>
    <d v="1899-12-30T08:25:00"/>
    <n v="41828"/>
    <n v="30"/>
    <n v="30"/>
    <n v="0"/>
    <n v="48"/>
    <n v="48"/>
    <n v="0"/>
    <n v="0"/>
    <n v="1"/>
    <x v="1"/>
    <n v="0"/>
    <n v="0"/>
    <n v="0"/>
    <n v="0"/>
    <n v="956.45"/>
    <n v="0"/>
    <n v="956.45"/>
    <m/>
    <m/>
  </r>
  <r>
    <n v="472"/>
    <x v="19"/>
    <s v="HINJEWADI"/>
    <s v="SLK1"/>
    <x v="0"/>
    <x v="34"/>
    <s v="ACE"/>
    <s v="CNG"/>
    <n v="4"/>
    <n v="8"/>
    <x v="0"/>
    <n v="1000"/>
    <n v="55"/>
    <n v="31"/>
    <s v="PUN01 NC Cluster"/>
    <m/>
    <d v="1899-12-30T02:34:00"/>
    <d v="1899-12-30T02:34:00"/>
    <n v="89301"/>
    <d v="1899-12-30T08:30:00"/>
    <d v="1899-12-30T08:30:00"/>
    <n v="89335"/>
    <m/>
    <m/>
    <n v="0"/>
    <n v="34"/>
    <n v="34"/>
    <n v="0"/>
    <n v="0"/>
    <n v="1"/>
    <x v="1"/>
    <n v="0"/>
    <n v="0"/>
    <n v="0"/>
    <n v="0"/>
    <n v="956.45"/>
    <n v="0"/>
    <n v="956.45"/>
    <m/>
    <m/>
  </r>
  <r>
    <n v="473"/>
    <x v="19"/>
    <s v="HINJEWADI"/>
    <s v="SLK1"/>
    <x v="0"/>
    <x v="7"/>
    <s v="ACE"/>
    <s v="CNG"/>
    <n v="4"/>
    <n v="8"/>
    <x v="0"/>
    <n v="1000"/>
    <n v="55"/>
    <n v="31"/>
    <s v="PUN01 NC Cluster 208"/>
    <m/>
    <d v="1899-12-30T02:38:00"/>
    <d v="1899-12-30T02:38:00"/>
    <n v="159685"/>
    <d v="1899-12-30T07:35:00"/>
    <d v="1899-12-30T07:35:00"/>
    <n v="159722"/>
    <n v="43"/>
    <n v="43"/>
    <n v="0"/>
    <n v="37"/>
    <n v="37"/>
    <n v="0"/>
    <n v="0"/>
    <n v="0"/>
    <x v="0"/>
    <n v="0"/>
    <n v="0"/>
    <n v="0"/>
    <n v="0"/>
    <n v="806.45"/>
    <n v="0"/>
    <n v="806.45"/>
    <m/>
    <m/>
  </r>
  <r>
    <n v="474"/>
    <x v="19"/>
    <s v="HINJEWADI"/>
    <s v="SLK1"/>
    <x v="0"/>
    <x v="19"/>
    <s v="BOLERO"/>
    <s v="DIESEL"/>
    <n v="4"/>
    <n v="10"/>
    <x v="2"/>
    <n v="1000"/>
    <n v="55"/>
    <n v="31"/>
    <s v="PUN01 NC Cluster 73"/>
    <m/>
    <d v="1899-12-30T02:41:00"/>
    <d v="1899-12-30T02:41:00"/>
    <n v="33096"/>
    <d v="1899-12-30T08:15:00"/>
    <d v="1899-12-30T08:15:00"/>
    <n v="33120"/>
    <n v="40"/>
    <n v="40"/>
    <n v="0"/>
    <n v="24"/>
    <n v="24"/>
    <n v="0"/>
    <n v="0"/>
    <n v="1"/>
    <x v="1"/>
    <n v="0"/>
    <n v="0"/>
    <n v="0"/>
    <n v="0"/>
    <n v="1085.48"/>
    <n v="0"/>
    <n v="1085.48"/>
    <m/>
    <m/>
  </r>
  <r>
    <n v="475"/>
    <x v="19"/>
    <s v="HINJEWADI"/>
    <s v="SLK1"/>
    <x v="0"/>
    <x v="31"/>
    <s v="BOLERO"/>
    <s v="DIESEL"/>
    <n v="4"/>
    <n v="10"/>
    <x v="2"/>
    <n v="1000"/>
    <n v="55"/>
    <n v="31"/>
    <s v="PUN01 NC Cluster 112"/>
    <m/>
    <d v="1899-12-30T02:44:00"/>
    <d v="1899-12-30T02:44:00"/>
    <n v="61063"/>
    <d v="1899-12-30T07:59:00"/>
    <d v="1899-12-30T07:59:00"/>
    <n v="61092"/>
    <n v="53"/>
    <n v="53"/>
    <n v="0"/>
    <n v="29"/>
    <n v="29"/>
    <n v="0"/>
    <n v="0"/>
    <n v="0"/>
    <x v="0"/>
    <n v="0"/>
    <n v="0"/>
    <n v="0"/>
    <n v="0"/>
    <n v="935.48"/>
    <n v="0"/>
    <n v="935.48"/>
    <m/>
    <m/>
  </r>
  <r>
    <n v="476"/>
    <x v="19"/>
    <s v="HINJEWADI"/>
    <s v="SLK1"/>
    <x v="0"/>
    <x v="17"/>
    <s v="ACE"/>
    <s v="CNG"/>
    <n v="4"/>
    <n v="8"/>
    <x v="0"/>
    <n v="1000"/>
    <n v="55"/>
    <n v="31"/>
    <s v="PUN01 NC Cluster 199"/>
    <m/>
    <d v="1899-12-30T02:49:00"/>
    <d v="1899-12-30T02:49:00"/>
    <n v="7789"/>
    <d v="1899-12-30T07:13:00"/>
    <d v="1899-12-30T07:13:00"/>
    <n v="7814"/>
    <n v="13"/>
    <n v="13"/>
    <n v="0"/>
    <n v="25"/>
    <n v="25"/>
    <n v="0"/>
    <n v="0"/>
    <n v="0"/>
    <x v="0"/>
    <n v="0"/>
    <n v="0"/>
    <n v="0"/>
    <n v="0"/>
    <n v="806.45"/>
    <n v="0"/>
    <n v="806.45"/>
    <m/>
    <m/>
  </r>
  <r>
    <n v="477"/>
    <x v="19"/>
    <s v="HINJEWADI"/>
    <s v="SLK1"/>
    <x v="0"/>
    <x v="4"/>
    <s v="ACE"/>
    <s v="CNG"/>
    <n v="4"/>
    <n v="8"/>
    <x v="0"/>
    <n v="1000"/>
    <n v="55"/>
    <n v="31"/>
    <s v="PUN01 NC Cluster 40"/>
    <m/>
    <d v="1899-12-30T02:50:00"/>
    <d v="1899-12-30T02:50:00"/>
    <n v="12854"/>
    <d v="1899-12-30T07:06:00"/>
    <d v="1899-12-30T07:06:00"/>
    <n v="12871"/>
    <n v="40"/>
    <n v="40"/>
    <n v="0"/>
    <n v="17"/>
    <n v="17"/>
    <n v="0"/>
    <n v="0"/>
    <n v="0"/>
    <x v="0"/>
    <n v="0"/>
    <n v="0"/>
    <n v="0"/>
    <n v="0"/>
    <n v="806.45"/>
    <n v="0"/>
    <n v="806.45"/>
    <m/>
    <m/>
  </r>
  <r>
    <n v="478"/>
    <x v="19"/>
    <s v="HINJEWADI"/>
    <s v="SLK1"/>
    <x v="0"/>
    <x v="10"/>
    <s v="ACE"/>
    <s v="CNG"/>
    <n v="4"/>
    <n v="8"/>
    <x v="0"/>
    <n v="1000"/>
    <n v="55"/>
    <n v="31"/>
    <s v="PUN01 NC Cluster 97"/>
    <m/>
    <d v="1899-12-30T02:52:00"/>
    <d v="1899-12-30T02:52:00"/>
    <n v="75837"/>
    <d v="1899-12-30T07:45:00"/>
    <d v="1899-12-30T07:45:00"/>
    <n v="75863"/>
    <n v="14"/>
    <n v="14"/>
    <n v="0"/>
    <n v="26"/>
    <n v="26"/>
    <n v="0"/>
    <n v="0"/>
    <n v="0"/>
    <x v="0"/>
    <n v="0"/>
    <n v="0"/>
    <n v="0"/>
    <n v="0"/>
    <n v="806.45"/>
    <n v="0"/>
    <n v="806.45"/>
    <m/>
    <m/>
  </r>
  <r>
    <n v="479"/>
    <x v="19"/>
    <s v="HINJEWADI"/>
    <s v="SLK1"/>
    <x v="0"/>
    <x v="23"/>
    <s v="ACE"/>
    <s v="CNG"/>
    <n v="4"/>
    <n v="8"/>
    <x v="0"/>
    <n v="1000"/>
    <n v="55"/>
    <n v="31"/>
    <s v="PUN01 NC Cluster 19"/>
    <m/>
    <d v="1899-12-30T02:59:00"/>
    <d v="1899-12-30T02:59:00"/>
    <n v="78592"/>
    <d v="1899-12-30T07:32:00"/>
    <d v="1899-12-30T07:32:00"/>
    <n v="78616"/>
    <n v="64"/>
    <n v="64"/>
    <n v="0"/>
    <n v="24"/>
    <n v="24"/>
    <n v="0"/>
    <n v="0"/>
    <n v="0"/>
    <x v="0"/>
    <n v="0"/>
    <n v="0"/>
    <n v="0"/>
    <n v="0"/>
    <n v="806.45"/>
    <n v="0"/>
    <n v="806.45"/>
    <m/>
    <m/>
  </r>
  <r>
    <n v="480"/>
    <x v="19"/>
    <s v="HINJEWADI"/>
    <s v="SLK1"/>
    <x v="0"/>
    <x v="12"/>
    <s v="ACE"/>
    <s v="CNG"/>
    <n v="4"/>
    <n v="8"/>
    <x v="0"/>
    <n v="1000"/>
    <n v="55"/>
    <n v="31"/>
    <s v="PUN01 NC Cluster 36"/>
    <m/>
    <d v="1899-12-30T03:18:00"/>
    <d v="1899-12-30T03:18:00"/>
    <n v="84922"/>
    <d v="1899-12-30T08:07:00"/>
    <d v="1899-12-30T08:07:00"/>
    <n v="84922"/>
    <n v="15"/>
    <n v="15"/>
    <n v="0"/>
    <n v="0"/>
    <n v="0"/>
    <n v="0"/>
    <n v="0"/>
    <n v="1"/>
    <x v="1"/>
    <n v="0"/>
    <n v="0"/>
    <n v="0"/>
    <n v="0"/>
    <n v="956.45"/>
    <n v="0"/>
    <n v="956.45"/>
    <m/>
    <m/>
  </r>
  <r>
    <n v="481"/>
    <x v="20"/>
    <s v="HINJEWADI"/>
    <s v="SLK1"/>
    <x v="0"/>
    <x v="2"/>
    <s v="ACE"/>
    <s v="CNG"/>
    <n v="6"/>
    <n v="8"/>
    <x v="1"/>
    <n v="2000"/>
    <n v="55"/>
    <n v="31"/>
    <s v="PUN01 NC Cluster 229"/>
    <m/>
    <d v="1899-12-30T01:12:00"/>
    <d v="1899-12-30T01:12:00"/>
    <n v="101296"/>
    <d v="1899-12-30T06:50:00"/>
    <d v="1899-12-30T06:50:00"/>
    <n v="101340"/>
    <n v="31"/>
    <n v="31"/>
    <n v="0"/>
    <n v="44"/>
    <n v="44"/>
    <n v="0"/>
    <n v="0"/>
    <n v="0"/>
    <x v="0"/>
    <n v="0"/>
    <n v="0"/>
    <n v="0"/>
    <n v="0"/>
    <n v="1064.52"/>
    <n v="0"/>
    <n v="1064.52"/>
    <m/>
    <m/>
  </r>
  <r>
    <n v="482"/>
    <x v="20"/>
    <s v="HINJEWADI"/>
    <s v="SLK1"/>
    <x v="0"/>
    <x v="33"/>
    <s v="ACE"/>
    <s v="CNG"/>
    <n v="4"/>
    <n v="8"/>
    <x v="0"/>
    <n v="1000"/>
    <n v="55"/>
    <n v="31"/>
    <s v="PUN01 NC Cluster 13"/>
    <m/>
    <d v="1899-12-30T01:13:00"/>
    <d v="1899-12-30T01:13:00"/>
    <n v="165937"/>
    <d v="1899-12-30T07:01:00"/>
    <d v="1899-12-30T07:01:00"/>
    <n v="165956"/>
    <n v="26"/>
    <n v="26"/>
    <n v="0"/>
    <n v="19"/>
    <n v="19"/>
    <n v="0"/>
    <n v="0"/>
    <n v="0"/>
    <x v="0"/>
    <n v="0"/>
    <n v="0"/>
    <n v="0"/>
    <n v="0"/>
    <n v="806.45"/>
    <n v="0"/>
    <n v="806.45"/>
    <m/>
    <m/>
  </r>
  <r>
    <n v="483"/>
    <x v="20"/>
    <s v="HINJEWADI"/>
    <s v="SLK1"/>
    <x v="0"/>
    <x v="37"/>
    <s v="ACE"/>
    <s v="CNG"/>
    <n v="4"/>
    <n v="8"/>
    <x v="0"/>
    <n v="1000"/>
    <n v="55"/>
    <n v="31"/>
    <s v="PUN01 NC Cluster 93"/>
    <m/>
    <d v="1899-12-30T01:13:00"/>
    <d v="1899-12-30T01:13:00"/>
    <n v="66405"/>
    <d v="1899-12-30T07:07:00"/>
    <d v="1899-12-30T07:07:00"/>
    <n v="66423"/>
    <n v="27"/>
    <n v="27"/>
    <n v="0"/>
    <n v="18"/>
    <n v="18"/>
    <n v="0"/>
    <n v="0"/>
    <n v="0"/>
    <x v="0"/>
    <n v="0"/>
    <n v="0"/>
    <n v="0"/>
    <n v="0"/>
    <n v="806.45"/>
    <n v="0"/>
    <n v="806.45"/>
    <m/>
    <m/>
  </r>
  <r>
    <n v="484"/>
    <x v="20"/>
    <s v="HINJEWADI"/>
    <s v="SLK1"/>
    <x v="0"/>
    <x v="0"/>
    <s v="ACE"/>
    <s v="CNG"/>
    <n v="4"/>
    <n v="8"/>
    <x v="0"/>
    <n v="1000"/>
    <n v="55"/>
    <n v="31"/>
    <s v="PUN01 NC Cluster 1"/>
    <m/>
    <d v="1899-12-30T01:15:00"/>
    <d v="1899-12-30T01:15:00"/>
    <n v="57857"/>
    <m/>
    <m/>
    <n v="57870"/>
    <n v="25"/>
    <n v="25"/>
    <n v="0"/>
    <n v="13"/>
    <n v="13"/>
    <n v="0"/>
    <n v="0"/>
    <n v="0"/>
    <x v="0"/>
    <n v="0"/>
    <n v="0"/>
    <n v="0"/>
    <n v="0"/>
    <n v="806.45"/>
    <n v="0"/>
    <n v="806.45"/>
    <m/>
    <m/>
  </r>
  <r>
    <n v="485"/>
    <x v="20"/>
    <s v="HINJEWADI"/>
    <s v="SLK1"/>
    <x v="0"/>
    <x v="12"/>
    <s v="ACE"/>
    <s v="CNG"/>
    <n v="4"/>
    <n v="8"/>
    <x v="0"/>
    <n v="1000"/>
    <n v="55"/>
    <n v="31"/>
    <s v="PUN01 NC Cluster 11"/>
    <m/>
    <d v="1899-12-30T01:16:00"/>
    <d v="1899-12-30T01:16:00"/>
    <n v="85030"/>
    <d v="1899-12-30T06:24:00"/>
    <d v="1899-12-30T06:24:00"/>
    <n v="85052"/>
    <n v="39"/>
    <n v="39"/>
    <n v="0"/>
    <n v="22"/>
    <n v="22"/>
    <n v="0"/>
    <n v="0"/>
    <n v="0"/>
    <x v="0"/>
    <n v="0"/>
    <n v="0"/>
    <n v="0"/>
    <n v="0"/>
    <n v="806.45"/>
    <n v="0"/>
    <n v="806.45"/>
    <m/>
    <m/>
  </r>
  <r>
    <n v="486"/>
    <x v="20"/>
    <s v="HINJEWADI"/>
    <s v="SLK1"/>
    <x v="0"/>
    <x v="18"/>
    <s v="ACE"/>
    <s v="CNG"/>
    <n v="4"/>
    <n v="8"/>
    <x v="0"/>
    <n v="1000"/>
    <n v="55"/>
    <n v="31"/>
    <s v="PUN01 NC Cluster 41"/>
    <m/>
    <d v="1899-12-30T01:17:00"/>
    <d v="1899-12-30T01:17:00"/>
    <n v="5711"/>
    <d v="1899-12-30T07:07:00"/>
    <d v="1899-12-30T07:07:00"/>
    <n v="5722"/>
    <n v="31"/>
    <n v="31"/>
    <n v="0"/>
    <n v="11"/>
    <n v="11"/>
    <n v="0"/>
    <n v="0"/>
    <n v="0"/>
    <x v="0"/>
    <n v="0"/>
    <n v="0"/>
    <n v="0"/>
    <n v="0"/>
    <n v="806.45"/>
    <n v="0"/>
    <n v="806.45"/>
    <m/>
    <m/>
  </r>
  <r>
    <n v="487"/>
    <x v="20"/>
    <s v="HINJEWADI"/>
    <s v="SLK1"/>
    <x v="0"/>
    <x v="14"/>
    <s v="ACE"/>
    <s v="CNG"/>
    <n v="6"/>
    <n v="8"/>
    <x v="1"/>
    <n v="2000"/>
    <n v="55"/>
    <n v="31"/>
    <s v="PUN01 NC Cluster 303"/>
    <m/>
    <d v="1899-12-30T01:17:00"/>
    <d v="1899-12-30T01:17:00"/>
    <n v="34560"/>
    <d v="1899-12-30T07:24:00"/>
    <d v="1899-12-30T07:24:00"/>
    <n v="34625"/>
    <n v="29"/>
    <n v="29"/>
    <n v="0"/>
    <n v="65"/>
    <n v="65"/>
    <n v="0"/>
    <n v="0"/>
    <n v="0"/>
    <x v="0"/>
    <n v="0"/>
    <n v="0"/>
    <n v="0"/>
    <n v="0"/>
    <n v="1064.52"/>
    <n v="0"/>
    <n v="1064.52"/>
    <m/>
    <m/>
  </r>
  <r>
    <n v="488"/>
    <x v="20"/>
    <s v="HINJEWADI"/>
    <s v="SLK1"/>
    <x v="0"/>
    <x v="15"/>
    <s v="ACE"/>
    <s v="CNG"/>
    <n v="4"/>
    <n v="8"/>
    <x v="0"/>
    <n v="1000"/>
    <n v="55"/>
    <n v="31"/>
    <s v="PUN01 NC Cluster 43"/>
    <m/>
    <d v="1899-12-30T01:17:00"/>
    <d v="1899-12-30T01:17:00"/>
    <n v="39214"/>
    <d v="1899-12-30T07:05:00"/>
    <d v="1899-12-30T07:05:00"/>
    <n v="39231"/>
    <n v="42"/>
    <n v="42"/>
    <n v="0"/>
    <n v="17"/>
    <n v="17"/>
    <n v="0"/>
    <n v="0"/>
    <n v="0"/>
    <x v="0"/>
    <n v="0"/>
    <n v="0"/>
    <n v="0"/>
    <n v="0"/>
    <n v="806.45"/>
    <n v="0"/>
    <n v="806.45"/>
    <m/>
    <m/>
  </r>
  <r>
    <n v="489"/>
    <x v="20"/>
    <s v="HINJEWADI"/>
    <s v="SLK1"/>
    <x v="0"/>
    <x v="8"/>
    <s v="ACE"/>
    <s v="CNG"/>
    <n v="4"/>
    <n v="8"/>
    <x v="0"/>
    <n v="1000"/>
    <n v="55"/>
    <n v="31"/>
    <s v="PUN01 NC Cluster 2"/>
    <m/>
    <d v="1899-12-30T01:18:00"/>
    <d v="1899-12-30T01:18:00"/>
    <n v="114189"/>
    <d v="1899-12-30T05:31:00"/>
    <d v="1899-12-30T05:31:00"/>
    <n v="114198"/>
    <n v="34"/>
    <n v="34"/>
    <n v="0"/>
    <n v="9"/>
    <n v="9"/>
    <n v="0"/>
    <n v="0"/>
    <n v="0"/>
    <x v="0"/>
    <n v="0"/>
    <n v="0"/>
    <n v="0"/>
    <n v="0"/>
    <n v="806.45"/>
    <n v="0"/>
    <n v="806.45"/>
    <m/>
    <m/>
  </r>
  <r>
    <n v="490"/>
    <x v="20"/>
    <s v="HINJEWADI"/>
    <s v="SLK1"/>
    <x v="0"/>
    <x v="17"/>
    <s v="ACE"/>
    <s v="CNG"/>
    <n v="4"/>
    <n v="8"/>
    <x v="0"/>
    <n v="1000"/>
    <n v="55"/>
    <n v="31"/>
    <s v="PUN01 NC Cluster 72"/>
    <m/>
    <d v="1899-12-30T01:20:00"/>
    <d v="1899-12-30T01:20:00"/>
    <n v="7873"/>
    <m/>
    <m/>
    <n v="7895"/>
    <n v="34"/>
    <n v="34"/>
    <n v="0"/>
    <n v="22"/>
    <n v="22"/>
    <n v="0"/>
    <n v="0"/>
    <n v="0"/>
    <x v="0"/>
    <n v="0"/>
    <n v="0"/>
    <n v="0"/>
    <n v="0"/>
    <n v="806.45"/>
    <n v="0"/>
    <n v="806.45"/>
    <m/>
    <m/>
  </r>
  <r>
    <n v="491"/>
    <x v="20"/>
    <s v="HINJEWADI"/>
    <s v="SLK1"/>
    <x v="0"/>
    <x v="25"/>
    <s v="ACE"/>
    <s v="CNG"/>
    <n v="4"/>
    <n v="8"/>
    <x v="0"/>
    <n v="1000"/>
    <n v="55"/>
    <n v="31"/>
    <s v="PUN01 NC Cluster 200"/>
    <m/>
    <d v="1899-12-30T01:21:00"/>
    <d v="1899-12-30T01:21:00"/>
    <n v="118711"/>
    <d v="1899-12-30T06:53:00"/>
    <d v="1899-12-30T06:53:00"/>
    <n v="118747"/>
    <n v="48"/>
    <n v="48"/>
    <n v="0"/>
    <n v="36"/>
    <n v="36"/>
    <n v="0"/>
    <n v="0"/>
    <n v="0"/>
    <x v="0"/>
    <n v="0"/>
    <n v="0"/>
    <n v="0"/>
    <n v="0"/>
    <n v="806.45"/>
    <n v="0"/>
    <n v="806.45"/>
    <m/>
    <m/>
  </r>
  <r>
    <n v="492"/>
    <x v="20"/>
    <s v="HINJEWADI"/>
    <s v="SLK1"/>
    <x v="0"/>
    <x v="30"/>
    <s v="ACE"/>
    <s v="CNG"/>
    <n v="4"/>
    <n v="8"/>
    <x v="0"/>
    <n v="1000"/>
    <n v="55"/>
    <n v="31"/>
    <s v="PUN01 NC Cluster 62"/>
    <m/>
    <d v="1899-12-30T01:22:00"/>
    <d v="1899-12-30T01:22:00"/>
    <n v="38809"/>
    <d v="1899-12-30T06:48:00"/>
    <d v="1899-12-30T06:48:00"/>
    <n v="38847"/>
    <n v="41"/>
    <n v="41"/>
    <n v="0"/>
    <n v="38"/>
    <n v="38"/>
    <n v="0"/>
    <n v="0"/>
    <n v="0"/>
    <x v="0"/>
    <n v="0"/>
    <n v="0"/>
    <n v="0"/>
    <n v="0"/>
    <n v="806.45"/>
    <n v="0"/>
    <n v="806.45"/>
    <m/>
    <m/>
  </r>
  <r>
    <n v="493"/>
    <x v="20"/>
    <s v="HINJEWADI"/>
    <s v="SLK1"/>
    <x v="0"/>
    <x v="35"/>
    <s v="ACE"/>
    <s v="CNG"/>
    <n v="4"/>
    <n v="8"/>
    <x v="0"/>
    <n v="1000"/>
    <n v="55"/>
    <n v="31"/>
    <s v="PUN01 NC Cluster 135"/>
    <m/>
    <d v="1899-12-30T01:22:00"/>
    <d v="1899-12-30T01:22:00"/>
    <n v="45091"/>
    <d v="1899-12-30T06:58:00"/>
    <d v="1899-12-30T06:58:00"/>
    <n v="45124"/>
    <n v="35"/>
    <n v="35"/>
    <n v="0"/>
    <n v="33"/>
    <n v="33"/>
    <n v="0"/>
    <n v="0"/>
    <n v="0"/>
    <x v="0"/>
    <n v="0"/>
    <n v="0"/>
    <n v="0"/>
    <n v="0"/>
    <n v="806.45"/>
    <n v="0"/>
    <n v="806.45"/>
    <m/>
    <m/>
  </r>
  <r>
    <n v="494"/>
    <x v="20"/>
    <s v="HINJEWADI"/>
    <s v="SLK1"/>
    <x v="0"/>
    <x v="29"/>
    <s v="ACE"/>
    <s v="CNG"/>
    <n v="4"/>
    <n v="8"/>
    <x v="0"/>
    <n v="1000"/>
    <n v="55"/>
    <n v="31"/>
    <s v="PUN01 NC Cluster 7"/>
    <m/>
    <d v="1899-12-30T01:53:00"/>
    <d v="1899-12-30T01:53:00"/>
    <n v="110696"/>
    <d v="1899-12-30T07:30:00"/>
    <d v="1899-12-30T07:30:00"/>
    <n v="110711"/>
    <n v="44"/>
    <n v="44"/>
    <n v="0"/>
    <n v="15"/>
    <n v="15"/>
    <n v="0"/>
    <n v="0"/>
    <n v="0"/>
    <x v="0"/>
    <n v="0"/>
    <n v="0"/>
    <n v="0"/>
    <n v="0"/>
    <n v="806.45"/>
    <n v="0"/>
    <n v="806.45"/>
    <m/>
    <m/>
  </r>
  <r>
    <n v="495"/>
    <x v="20"/>
    <s v="HINJEWADI"/>
    <s v="SLK1"/>
    <x v="0"/>
    <x v="6"/>
    <s v="ACE"/>
    <s v="CNG"/>
    <n v="4"/>
    <n v="8"/>
    <x v="0"/>
    <n v="1000"/>
    <n v="55"/>
    <n v="31"/>
    <s v="PUN01 NC Cluster 10"/>
    <m/>
    <d v="1899-12-30T01:33:00"/>
    <d v="1899-12-30T01:33:00"/>
    <n v="145225"/>
    <d v="1899-12-30T07:01:00"/>
    <d v="1899-12-30T07:01:00"/>
    <n v="145249"/>
    <n v="35"/>
    <n v="35"/>
    <n v="0"/>
    <n v="24"/>
    <n v="24"/>
    <n v="0"/>
    <n v="0"/>
    <n v="0"/>
    <x v="0"/>
    <n v="0"/>
    <n v="0"/>
    <n v="0"/>
    <n v="0"/>
    <n v="806.45"/>
    <n v="0"/>
    <n v="806.45"/>
    <m/>
    <m/>
  </r>
  <r>
    <n v="496"/>
    <x v="20"/>
    <s v="HINJEWADI"/>
    <s v="SLK1"/>
    <x v="0"/>
    <x v="36"/>
    <s v="ACE"/>
    <s v="CNG"/>
    <n v="4"/>
    <n v="8"/>
    <x v="0"/>
    <n v="1000"/>
    <n v="55"/>
    <n v="31"/>
    <s v="PUN01 NC Cluster 12"/>
    <m/>
    <d v="1899-12-30T01:43:00"/>
    <d v="1899-12-30T01:43:00"/>
    <n v="116117"/>
    <d v="1899-12-30T07:05:00"/>
    <d v="1899-12-30T07:05:00"/>
    <n v="116139"/>
    <n v="49"/>
    <n v="49"/>
    <n v="0"/>
    <n v="22"/>
    <n v="22"/>
    <n v="0"/>
    <n v="0"/>
    <n v="0"/>
    <x v="0"/>
    <n v="0"/>
    <n v="0"/>
    <n v="0"/>
    <n v="0"/>
    <n v="806.45"/>
    <n v="0"/>
    <n v="806.45"/>
    <m/>
    <m/>
  </r>
  <r>
    <n v="497"/>
    <x v="20"/>
    <s v="HINJEWADI"/>
    <s v="SLK1"/>
    <x v="0"/>
    <x v="23"/>
    <s v="ACE"/>
    <s v="CNG"/>
    <n v="4"/>
    <n v="8"/>
    <x v="0"/>
    <n v="1000"/>
    <n v="55"/>
    <n v="31"/>
    <s v="PUN01 NC Cluster 127"/>
    <m/>
    <d v="1899-12-30T01:52:00"/>
    <d v="1899-12-30T01:52:00"/>
    <n v="78674"/>
    <d v="1899-12-30T06:31:00"/>
    <d v="1899-12-30T06:31:00"/>
    <n v="78712"/>
    <n v="26"/>
    <n v="26"/>
    <n v="0"/>
    <n v="38"/>
    <n v="38"/>
    <n v="0"/>
    <n v="0"/>
    <n v="0"/>
    <x v="0"/>
    <n v="0"/>
    <n v="0"/>
    <n v="0"/>
    <n v="0"/>
    <n v="806.45"/>
    <n v="0"/>
    <n v="806.45"/>
    <m/>
    <m/>
  </r>
  <r>
    <n v="498"/>
    <x v="20"/>
    <s v="HINJEWADI"/>
    <s v="SLK1"/>
    <x v="0"/>
    <x v="5"/>
    <s v="ACE"/>
    <s v="CNG"/>
    <n v="4"/>
    <n v="8"/>
    <x v="0"/>
    <n v="1000"/>
    <n v="55"/>
    <n v="31"/>
    <s v="PUN01 NC Cluster 87"/>
    <m/>
    <d v="1899-12-30T01:56:00"/>
    <d v="1899-12-30T01:56:00"/>
    <n v="145463"/>
    <m/>
    <m/>
    <n v="145482"/>
    <n v="18"/>
    <n v="18"/>
    <n v="0"/>
    <n v="19"/>
    <n v="19"/>
    <n v="0"/>
    <n v="0"/>
    <n v="0"/>
    <x v="0"/>
    <n v="0"/>
    <n v="0"/>
    <n v="0"/>
    <n v="0"/>
    <n v="806.45"/>
    <n v="0"/>
    <n v="806.45"/>
    <m/>
    <m/>
  </r>
  <r>
    <n v="499"/>
    <x v="20"/>
    <s v="HINJEWADI"/>
    <s v="SLK1"/>
    <x v="0"/>
    <x v="21"/>
    <s v="BOLERO"/>
    <s v="DIESEL"/>
    <n v="4"/>
    <n v="10"/>
    <x v="2"/>
    <n v="1000"/>
    <n v="55"/>
    <n v="31"/>
    <s v="PUN01 NC Cluster 114"/>
    <m/>
    <d v="1899-12-30T02:08:00"/>
    <d v="1899-12-30T02:08:00"/>
    <n v="3502"/>
    <d v="1899-12-30T07:01:00"/>
    <d v="1899-12-30T07:01:00"/>
    <n v="3536"/>
    <n v="44"/>
    <n v="44"/>
    <n v="0"/>
    <n v="34"/>
    <n v="34"/>
    <n v="0"/>
    <n v="0"/>
    <n v="0"/>
    <x v="0"/>
    <n v="0"/>
    <n v="0"/>
    <n v="0"/>
    <n v="0"/>
    <n v="935.48"/>
    <n v="0"/>
    <n v="935.48"/>
    <m/>
    <m/>
  </r>
  <r>
    <n v="500"/>
    <x v="20"/>
    <s v="HINJEWADI"/>
    <s v="SLK1"/>
    <x v="0"/>
    <x v="20"/>
    <s v="BOLERO"/>
    <s v="DIESEL"/>
    <n v="4"/>
    <n v="10"/>
    <x v="2"/>
    <n v="1000"/>
    <n v="55"/>
    <n v="31"/>
    <s v="PUN01 NC Cluster 73"/>
    <m/>
    <d v="1899-12-30T02:09:00"/>
    <d v="1899-12-30T02:09:00"/>
    <n v="39431"/>
    <d v="1899-12-30T07:05:00"/>
    <d v="1899-12-30T07:05:00"/>
    <n v="39448"/>
    <n v="33"/>
    <n v="33"/>
    <n v="0"/>
    <n v="17"/>
    <n v="17"/>
    <n v="0"/>
    <n v="0"/>
    <n v="0"/>
    <x v="0"/>
    <n v="0"/>
    <n v="0"/>
    <n v="0"/>
    <n v="0"/>
    <n v="935.48"/>
    <n v="0"/>
    <n v="935.48"/>
    <m/>
    <m/>
  </r>
  <r>
    <n v="501"/>
    <x v="20"/>
    <s v="HINJEWADI"/>
    <s v="SLK1"/>
    <x v="0"/>
    <x v="22"/>
    <s v="BOLERO"/>
    <s v="DIESEL"/>
    <n v="4"/>
    <n v="10"/>
    <x v="2"/>
    <n v="1000"/>
    <n v="55"/>
    <n v="31"/>
    <s v="PUN01 NC Cluster 23"/>
    <m/>
    <d v="1899-12-30T02:11:00"/>
    <d v="1899-12-30T02:11:00"/>
    <n v="139559"/>
    <d v="1899-12-30T07:01:00"/>
    <d v="1899-12-30T07:01:00"/>
    <n v="139590"/>
    <n v="52"/>
    <n v="52"/>
    <n v="0"/>
    <n v="31"/>
    <n v="31"/>
    <n v="0"/>
    <n v="0"/>
    <n v="0"/>
    <x v="0"/>
    <n v="0"/>
    <n v="0"/>
    <n v="0"/>
    <n v="0"/>
    <n v="935.48"/>
    <n v="0"/>
    <n v="935.48"/>
    <m/>
    <m/>
  </r>
  <r>
    <n v="502"/>
    <x v="20"/>
    <s v="HINJEWADI"/>
    <s v="SLK1"/>
    <x v="0"/>
    <x v="13"/>
    <s v="ACE"/>
    <s v="CNG"/>
    <n v="4"/>
    <n v="8"/>
    <x v="0"/>
    <n v="1000"/>
    <n v="55"/>
    <n v="31"/>
    <s v="PUN01 NC Cluster 201"/>
    <m/>
    <d v="1899-12-30T02:13:00"/>
    <d v="1899-12-30T02:13:00"/>
    <n v="37345"/>
    <d v="1899-12-30T07:05:00"/>
    <d v="1899-12-30T07:05:00"/>
    <n v="37370"/>
    <n v="27"/>
    <n v="27"/>
    <n v="0"/>
    <n v="25"/>
    <n v="25"/>
    <n v="0"/>
    <n v="0"/>
    <n v="0"/>
    <x v="0"/>
    <n v="0"/>
    <n v="0"/>
    <n v="0"/>
    <n v="0"/>
    <n v="806.45"/>
    <n v="0"/>
    <n v="806.45"/>
    <m/>
    <m/>
  </r>
  <r>
    <n v="503"/>
    <x v="20"/>
    <s v="HINJEWADI"/>
    <s v="SLK1"/>
    <x v="0"/>
    <x v="19"/>
    <s v="BOLERO"/>
    <s v="DIESEL"/>
    <n v="4"/>
    <n v="10"/>
    <x v="2"/>
    <n v="1000"/>
    <n v="55"/>
    <n v="31"/>
    <s v="PUN01 NC Cluster 92"/>
    <m/>
    <d v="1899-12-30T02:18:00"/>
    <d v="1899-12-30T02:18:00"/>
    <n v="33117"/>
    <m/>
    <m/>
    <n v="33132"/>
    <n v="32"/>
    <n v="32"/>
    <n v="0"/>
    <n v="15"/>
    <n v="15"/>
    <n v="0"/>
    <n v="0"/>
    <n v="0"/>
    <x v="0"/>
    <n v="0"/>
    <n v="0"/>
    <n v="0"/>
    <n v="0"/>
    <n v="935.48"/>
    <n v="0"/>
    <n v="935.48"/>
    <m/>
    <m/>
  </r>
  <r>
    <n v="504"/>
    <x v="20"/>
    <s v="HINJEWADI"/>
    <s v="SLK1"/>
    <x v="0"/>
    <x v="3"/>
    <s v="ACE"/>
    <s v="CNG"/>
    <n v="4"/>
    <n v="8"/>
    <x v="0"/>
    <n v="1000"/>
    <n v="55"/>
    <n v="31"/>
    <s v="PUN01 NC Cluster 17"/>
    <m/>
    <d v="1899-12-30T02:39:00"/>
    <d v="1899-12-30T02:39:00"/>
    <n v="84277"/>
    <m/>
    <m/>
    <n v="84296"/>
    <n v="26"/>
    <n v="26"/>
    <n v="0"/>
    <n v="19"/>
    <n v="19"/>
    <n v="0"/>
    <n v="0"/>
    <n v="0"/>
    <x v="0"/>
    <n v="0"/>
    <n v="0"/>
    <n v="0"/>
    <n v="0"/>
    <n v="806.45"/>
    <n v="0"/>
    <n v="806.45"/>
    <m/>
    <m/>
  </r>
  <r>
    <n v="505"/>
    <x v="20"/>
    <s v="HINJEWADI"/>
    <s v="SLK1"/>
    <x v="0"/>
    <x v="9"/>
    <s v="ACE"/>
    <s v="CNG"/>
    <n v="6"/>
    <n v="8"/>
    <x v="1"/>
    <n v="2000"/>
    <n v="55"/>
    <n v="31"/>
    <s v="PUN01 NC Cluster 300"/>
    <m/>
    <d v="1899-12-30T02:45:00"/>
    <d v="1899-12-30T02:45:00"/>
    <n v="48414"/>
    <d v="1899-12-30T07:24:00"/>
    <d v="1899-12-30T07:24:00"/>
    <n v="48478"/>
    <n v="38"/>
    <n v="38"/>
    <n v="0"/>
    <n v="64"/>
    <n v="64"/>
    <n v="0"/>
    <n v="0"/>
    <n v="0"/>
    <x v="0"/>
    <n v="0"/>
    <n v="0"/>
    <n v="0"/>
    <n v="0"/>
    <n v="1064.52"/>
    <n v="0"/>
    <n v="1064.52"/>
    <m/>
    <m/>
  </r>
  <r>
    <n v="506"/>
    <x v="20"/>
    <s v="HINJEWADI"/>
    <s v="SLK1"/>
    <x v="0"/>
    <x v="7"/>
    <s v="ACE"/>
    <s v="CNG"/>
    <n v="4"/>
    <n v="8"/>
    <x v="0"/>
    <n v="1000"/>
    <n v="55"/>
    <n v="31"/>
    <s v="PUN01 NC Cluster"/>
    <m/>
    <d v="1899-12-30T02:51:00"/>
    <d v="1899-12-30T02:51:00"/>
    <n v="159745"/>
    <m/>
    <m/>
    <n v="159773"/>
    <m/>
    <m/>
    <n v="0"/>
    <n v="28"/>
    <n v="28"/>
    <n v="0"/>
    <n v="0"/>
    <n v="0"/>
    <x v="0"/>
    <n v="0"/>
    <n v="0"/>
    <n v="0"/>
    <n v="0"/>
    <n v="806.45"/>
    <n v="0"/>
    <n v="806.45"/>
    <m/>
    <m/>
  </r>
  <r>
    <n v="507"/>
    <x v="20"/>
    <s v="HINJEWADI"/>
    <s v="SLK1"/>
    <x v="0"/>
    <x v="10"/>
    <s v="ACE"/>
    <s v="CNG"/>
    <n v="4"/>
    <n v="8"/>
    <x v="0"/>
    <n v="1000"/>
    <n v="55"/>
    <n v="31"/>
    <s v="PUN01 NC Cluster"/>
    <m/>
    <d v="1899-12-30T02:58:00"/>
    <d v="1899-12-30T02:58:00"/>
    <n v="75896"/>
    <d v="1899-12-30T07:05:00"/>
    <d v="1899-12-30T07:05:00"/>
    <n v="75924"/>
    <m/>
    <m/>
    <n v="0"/>
    <n v="28"/>
    <n v="28"/>
    <n v="0"/>
    <n v="0"/>
    <n v="0"/>
    <x v="0"/>
    <n v="0"/>
    <n v="0"/>
    <n v="0"/>
    <n v="0"/>
    <n v="806.45"/>
    <n v="0"/>
    <n v="806.45"/>
    <m/>
    <m/>
  </r>
  <r>
    <n v="508"/>
    <x v="21"/>
    <s v="HINJEWADI"/>
    <s v="SLK1"/>
    <x v="0"/>
    <x v="14"/>
    <s v="ACE"/>
    <s v="CNG"/>
    <n v="6"/>
    <n v="8"/>
    <x v="1"/>
    <n v="2000"/>
    <n v="55"/>
    <n v="31"/>
    <s v="PUN01 NC Cluster 303"/>
    <m/>
    <d v="1899-12-30T01:04:00"/>
    <d v="1899-12-30T01:04:00"/>
    <n v="34710"/>
    <d v="1899-12-30T07:24:00"/>
    <d v="1899-12-30T07:24:00"/>
    <n v="34775"/>
    <n v="24"/>
    <n v="24"/>
    <n v="0"/>
    <n v="65"/>
    <n v="65"/>
    <n v="0"/>
    <n v="0"/>
    <n v="0"/>
    <x v="0"/>
    <n v="0"/>
    <n v="0"/>
    <n v="0"/>
    <n v="0"/>
    <n v="1064.52"/>
    <n v="0"/>
    <n v="1064.52"/>
    <m/>
    <m/>
  </r>
  <r>
    <n v="509"/>
    <x v="21"/>
    <s v="HINJEWADI"/>
    <s v="SLK1"/>
    <x v="0"/>
    <x v="0"/>
    <s v="ACE"/>
    <s v="CNG"/>
    <n v="4"/>
    <n v="8"/>
    <x v="0"/>
    <n v="1000"/>
    <n v="55"/>
    <n v="31"/>
    <s v="PUN01 NC Cluster 1"/>
    <m/>
    <d v="1899-12-30T01:05:00"/>
    <d v="1899-12-30T01:05:00"/>
    <n v="57947"/>
    <d v="1899-12-30T06:15:00"/>
    <d v="1899-12-30T06:15:00"/>
    <n v="57963"/>
    <n v="22"/>
    <n v="22"/>
    <n v="0"/>
    <n v="16"/>
    <n v="16"/>
    <n v="0"/>
    <n v="0"/>
    <n v="0"/>
    <x v="0"/>
    <n v="0"/>
    <n v="0"/>
    <n v="0"/>
    <n v="0"/>
    <n v="806.45"/>
    <n v="0"/>
    <n v="806.45"/>
    <m/>
    <m/>
  </r>
  <r>
    <n v="510"/>
    <x v="21"/>
    <s v="HINJEWADI"/>
    <s v="SLK1"/>
    <x v="0"/>
    <x v="15"/>
    <s v="ACE"/>
    <s v="CNG"/>
    <n v="4"/>
    <n v="8"/>
    <x v="0"/>
    <n v="1000"/>
    <n v="55"/>
    <n v="31"/>
    <s v="PUN01 NC Cluster 40"/>
    <m/>
    <d v="1899-12-30T01:07:00"/>
    <d v="1899-12-30T01:07:00"/>
    <n v="39378"/>
    <d v="1899-12-30T07:08:00"/>
    <d v="1899-12-30T07:08:00"/>
    <n v="39397"/>
    <n v="39"/>
    <n v="39"/>
    <n v="0"/>
    <n v="19"/>
    <n v="19"/>
    <n v="0"/>
    <n v="0"/>
    <n v="0"/>
    <x v="0"/>
    <n v="0"/>
    <n v="0"/>
    <n v="0"/>
    <n v="0"/>
    <n v="806.45"/>
    <n v="0"/>
    <n v="806.45"/>
    <m/>
    <m/>
  </r>
  <r>
    <n v="511"/>
    <x v="21"/>
    <s v="HINJEWADI"/>
    <s v="SLK1"/>
    <x v="0"/>
    <x v="18"/>
    <s v="ACE"/>
    <s v="CNG"/>
    <n v="4"/>
    <n v="8"/>
    <x v="0"/>
    <n v="1000"/>
    <n v="55"/>
    <n v="31"/>
    <s v="PUN01 NC Cluster 35"/>
    <m/>
    <d v="1899-12-30T01:08:00"/>
    <d v="1899-12-30T01:08:00"/>
    <n v="5899"/>
    <d v="1899-12-30T07:24:00"/>
    <d v="1899-12-30T07:24:00"/>
    <n v="5917"/>
    <n v="46"/>
    <n v="46"/>
    <n v="0"/>
    <n v="18"/>
    <n v="18"/>
    <n v="0"/>
    <n v="0"/>
    <n v="0"/>
    <x v="0"/>
    <n v="0"/>
    <n v="0"/>
    <n v="0"/>
    <n v="0"/>
    <n v="806.45"/>
    <n v="0"/>
    <n v="806.45"/>
    <m/>
    <m/>
  </r>
  <r>
    <n v="512"/>
    <x v="21"/>
    <s v="HINJEWADI"/>
    <s v="SLK1"/>
    <x v="0"/>
    <x v="8"/>
    <s v="ACE"/>
    <s v="CNG"/>
    <n v="4"/>
    <n v="8"/>
    <x v="0"/>
    <n v="1000"/>
    <n v="55"/>
    <n v="31"/>
    <s v="PUN01 NC Cluster 41"/>
    <m/>
    <d v="1899-12-30T01:08:00"/>
    <d v="1899-12-30T01:08:00"/>
    <n v="114381"/>
    <d v="1899-12-30T07:11:00"/>
    <d v="1899-12-30T07:11:00"/>
    <n v="114397"/>
    <n v="36"/>
    <n v="36"/>
    <n v="0"/>
    <n v="16"/>
    <n v="16"/>
    <n v="0"/>
    <n v="0"/>
    <n v="0"/>
    <x v="0"/>
    <n v="0"/>
    <n v="0"/>
    <n v="0"/>
    <n v="0"/>
    <n v="806.45"/>
    <n v="0"/>
    <n v="806.45"/>
    <m/>
    <m/>
  </r>
  <r>
    <n v="513"/>
    <x v="21"/>
    <s v="HINJEWADI"/>
    <s v="SLK1"/>
    <x v="0"/>
    <x v="30"/>
    <s v="ACE"/>
    <s v="CNG"/>
    <n v="4"/>
    <n v="8"/>
    <x v="0"/>
    <n v="1000"/>
    <n v="55"/>
    <n v="31"/>
    <s v="PUN01 NC Cluster 139"/>
    <m/>
    <d v="1899-12-30T01:10:00"/>
    <d v="1899-12-30T01:10:00"/>
    <n v="38958"/>
    <d v="1899-12-30T07:52:00"/>
    <d v="1899-12-30T07:52:00"/>
    <n v="38984"/>
    <n v="45"/>
    <n v="45"/>
    <n v="0"/>
    <n v="26"/>
    <n v="26"/>
    <n v="0"/>
    <n v="0"/>
    <n v="0"/>
    <x v="0"/>
    <n v="0"/>
    <n v="0"/>
    <n v="0"/>
    <n v="0"/>
    <n v="806.45"/>
    <n v="0"/>
    <n v="806.45"/>
    <m/>
    <m/>
  </r>
  <r>
    <n v="514"/>
    <x v="21"/>
    <s v="HINJEWADI"/>
    <s v="SLK1"/>
    <x v="0"/>
    <x v="2"/>
    <s v="ACE"/>
    <s v="CNG"/>
    <n v="6"/>
    <n v="8"/>
    <x v="1"/>
    <n v="2000"/>
    <n v="55"/>
    <n v="31"/>
    <s v="PUN01 NC Cluster 299"/>
    <m/>
    <d v="1899-12-30T01:24:00"/>
    <d v="1899-12-30T01:24:00"/>
    <n v="101495"/>
    <d v="1899-12-30T07:03:00"/>
    <d v="1899-12-30T07:03:00"/>
    <n v="101541"/>
    <n v="31"/>
    <n v="31"/>
    <n v="0"/>
    <n v="46"/>
    <n v="46"/>
    <n v="0"/>
    <n v="0"/>
    <n v="0"/>
    <x v="0"/>
    <n v="0"/>
    <n v="0"/>
    <n v="0"/>
    <n v="0"/>
    <n v="1064.52"/>
    <n v="0"/>
    <n v="1064.52"/>
    <m/>
    <m/>
  </r>
  <r>
    <n v="515"/>
    <x v="21"/>
    <s v="HINJEWADI"/>
    <s v="SLK1"/>
    <x v="0"/>
    <x v="29"/>
    <s v="ACE"/>
    <s v="CNG"/>
    <n v="4"/>
    <n v="8"/>
    <x v="0"/>
    <n v="1000"/>
    <n v="55"/>
    <n v="31"/>
    <s v="PUN01 NC Cluster 26"/>
    <m/>
    <d v="1899-12-30T01:29:00"/>
    <d v="1899-12-30T01:29:00"/>
    <n v="110732"/>
    <d v="1899-12-30T07:17:00"/>
    <d v="1899-12-30T07:17:00"/>
    <n v="110762"/>
    <n v="12"/>
    <n v="12"/>
    <n v="0"/>
    <n v="30"/>
    <n v="30"/>
    <n v="0"/>
    <n v="0"/>
    <n v="0"/>
    <x v="0"/>
    <n v="0"/>
    <n v="0"/>
    <n v="0"/>
    <n v="0"/>
    <n v="806.45"/>
    <n v="0"/>
    <n v="806.45"/>
    <m/>
    <m/>
  </r>
  <r>
    <n v="516"/>
    <x v="21"/>
    <s v="HINJEWADI"/>
    <s v="SLK1"/>
    <x v="0"/>
    <x v="37"/>
    <s v="ACE"/>
    <s v="CNG"/>
    <n v="4"/>
    <n v="8"/>
    <x v="0"/>
    <n v="1000"/>
    <n v="55"/>
    <n v="31"/>
    <s v="PUN01 NC Cluster 93"/>
    <m/>
    <d v="1899-12-30T01:32:00"/>
    <d v="1899-12-30T01:32:00"/>
    <n v="66455"/>
    <d v="1899-12-30T07:51:00"/>
    <d v="1899-12-30T07:51:00"/>
    <n v="66467"/>
    <n v="26"/>
    <n v="26"/>
    <n v="0"/>
    <n v="12"/>
    <n v="12"/>
    <n v="0"/>
    <n v="0"/>
    <n v="0"/>
    <x v="0"/>
    <n v="0"/>
    <n v="0"/>
    <n v="0"/>
    <n v="0"/>
    <n v="806.45"/>
    <n v="0"/>
    <n v="806.45"/>
    <m/>
    <m/>
  </r>
  <r>
    <n v="517"/>
    <x v="21"/>
    <s v="HINJEWADI"/>
    <s v="SLK1"/>
    <x v="0"/>
    <x v="5"/>
    <s v="ACE"/>
    <s v="CNG"/>
    <n v="4"/>
    <n v="8"/>
    <x v="0"/>
    <n v="1000"/>
    <n v="55"/>
    <n v="31"/>
    <s v="PUN01 NC Cluster 87"/>
    <m/>
    <d v="1899-12-30T01:32:00"/>
    <d v="1899-12-30T01:32:00"/>
    <n v="145486"/>
    <d v="1899-12-30T06:49:00"/>
    <d v="1899-12-30T06:49:00"/>
    <n v="145503"/>
    <n v="21"/>
    <n v="21"/>
    <n v="0"/>
    <n v="17"/>
    <n v="17"/>
    <n v="0"/>
    <n v="0"/>
    <n v="0"/>
    <x v="0"/>
    <n v="0"/>
    <n v="0"/>
    <n v="0"/>
    <n v="0"/>
    <n v="806.45"/>
    <n v="0"/>
    <n v="806.45"/>
    <m/>
    <m/>
  </r>
  <r>
    <n v="518"/>
    <x v="21"/>
    <s v="HINJEWADI"/>
    <s v="SLK1"/>
    <x v="0"/>
    <x v="36"/>
    <s v="ACE"/>
    <s v="CNG"/>
    <n v="4"/>
    <n v="8"/>
    <x v="0"/>
    <n v="1000"/>
    <n v="55"/>
    <n v="31"/>
    <s v="PUN01 NC Cluster 19"/>
    <m/>
    <d v="1899-12-30T01:48:00"/>
    <d v="1899-12-30T01:48:00"/>
    <n v="116352"/>
    <d v="1899-12-30T07:31:00"/>
    <d v="1899-12-30T07:31:00"/>
    <n v="116384"/>
    <n v="50"/>
    <n v="50"/>
    <n v="0"/>
    <n v="32"/>
    <n v="32"/>
    <n v="0"/>
    <n v="0"/>
    <n v="0"/>
    <x v="0"/>
    <n v="0"/>
    <n v="0"/>
    <n v="0"/>
    <n v="0"/>
    <n v="806.45"/>
    <n v="0"/>
    <n v="806.45"/>
    <m/>
    <m/>
  </r>
  <r>
    <n v="519"/>
    <x v="21"/>
    <s v="HINJEWADI"/>
    <s v="SLK1"/>
    <x v="0"/>
    <x v="25"/>
    <s v="ACE"/>
    <s v="CNG"/>
    <n v="4"/>
    <n v="8"/>
    <x v="0"/>
    <n v="1000"/>
    <n v="55"/>
    <n v="31"/>
    <s v="PUN01 NC Cluster 201"/>
    <m/>
    <d v="1899-12-30T01:54:00"/>
    <d v="1899-12-30T01:54:00"/>
    <n v="118767"/>
    <d v="1899-12-30T06:36:00"/>
    <d v="1899-12-30T06:36:00"/>
    <n v="118799"/>
    <n v="28"/>
    <n v="28"/>
    <n v="0"/>
    <n v="32"/>
    <n v="32"/>
    <n v="0"/>
    <n v="0"/>
    <n v="0"/>
    <x v="0"/>
    <n v="0"/>
    <n v="0"/>
    <n v="0"/>
    <n v="0"/>
    <n v="806.45"/>
    <n v="0"/>
    <n v="806.45"/>
    <m/>
    <m/>
  </r>
  <r>
    <n v="520"/>
    <x v="21"/>
    <s v="HINJEWADI"/>
    <s v="SLK1"/>
    <x v="0"/>
    <x v="17"/>
    <s v="ACE"/>
    <s v="CNG"/>
    <n v="4"/>
    <n v="8"/>
    <x v="0"/>
    <n v="1000"/>
    <n v="55"/>
    <n v="31"/>
    <s v="PUN01 NC Cluster 199"/>
    <m/>
    <d v="1899-12-30T01:58:00"/>
    <d v="1899-12-30T01:58:00"/>
    <n v="8079"/>
    <d v="1899-12-30T07:17:00"/>
    <d v="1899-12-30T07:17:00"/>
    <n v="8105"/>
    <n v="9"/>
    <n v="9"/>
    <n v="0"/>
    <n v="26"/>
    <n v="26"/>
    <n v="0"/>
    <n v="0"/>
    <n v="0"/>
    <x v="0"/>
    <n v="0"/>
    <n v="0"/>
    <n v="0"/>
    <n v="0"/>
    <n v="806.45"/>
    <n v="0"/>
    <n v="806.45"/>
    <m/>
    <m/>
  </r>
  <r>
    <n v="521"/>
    <x v="21"/>
    <s v="HINJEWADI"/>
    <s v="SLK1"/>
    <x v="0"/>
    <x v="35"/>
    <s v="ACE"/>
    <s v="CNG"/>
    <n v="4"/>
    <n v="8"/>
    <x v="0"/>
    <n v="1000"/>
    <n v="55"/>
    <n v="31"/>
    <s v="PUN01 NC Cluster 106"/>
    <m/>
    <d v="1899-12-30T02:06:00"/>
    <d v="1899-12-30T02:06:00"/>
    <n v="45151"/>
    <d v="1899-12-30T07:11:00"/>
    <d v="1899-12-30T07:11:00"/>
    <n v="45182"/>
    <n v="31"/>
    <n v="31"/>
    <n v="0"/>
    <n v="31"/>
    <n v="31"/>
    <n v="0"/>
    <n v="0"/>
    <n v="0"/>
    <x v="0"/>
    <n v="0"/>
    <n v="0"/>
    <n v="0"/>
    <n v="0"/>
    <n v="806.45"/>
    <n v="0"/>
    <n v="806.45"/>
    <m/>
    <m/>
  </r>
  <r>
    <n v="522"/>
    <x v="21"/>
    <s v="HINJEWADI"/>
    <s v="SLK1"/>
    <x v="0"/>
    <x v="13"/>
    <s v="ACE"/>
    <s v="CNG"/>
    <n v="4"/>
    <n v="8"/>
    <x v="0"/>
    <n v="1000"/>
    <n v="55"/>
    <n v="31"/>
    <s v="PUN01 NC Cluster 92"/>
    <m/>
    <d v="1899-12-30T02:12:00"/>
    <d v="1899-12-30T02:12:00"/>
    <n v="37424"/>
    <d v="1899-12-30T07:05:00"/>
    <d v="1899-12-30T07:05:00"/>
    <n v="37445"/>
    <n v="26"/>
    <n v="26"/>
    <n v="0"/>
    <n v="21"/>
    <n v="21"/>
    <n v="0"/>
    <n v="0"/>
    <n v="0"/>
    <x v="0"/>
    <n v="0"/>
    <n v="0"/>
    <n v="0"/>
    <n v="0"/>
    <n v="806.45"/>
    <n v="0"/>
    <n v="806.45"/>
    <m/>
    <m/>
  </r>
  <r>
    <n v="523"/>
    <x v="21"/>
    <s v="HINJEWADI"/>
    <s v="SLK1"/>
    <x v="0"/>
    <x v="22"/>
    <s v="BOLERO"/>
    <s v="DIESEL"/>
    <n v="4"/>
    <n v="10"/>
    <x v="2"/>
    <n v="1000"/>
    <n v="55"/>
    <n v="31"/>
    <s v="PUN01 NC Cluster 11"/>
    <m/>
    <d v="1899-12-30T02:22:00"/>
    <d v="1899-12-30T02:22:00"/>
    <n v="139617"/>
    <d v="1899-12-30T07:36:00"/>
    <d v="1899-12-30T07:36:00"/>
    <n v="139644"/>
    <n v="38"/>
    <n v="38"/>
    <n v="0"/>
    <n v="27"/>
    <n v="27"/>
    <n v="0"/>
    <n v="0"/>
    <n v="0"/>
    <x v="0"/>
    <n v="0"/>
    <n v="0"/>
    <n v="0"/>
    <n v="0"/>
    <n v="935.48"/>
    <n v="0"/>
    <n v="935.48"/>
    <m/>
    <m/>
  </r>
  <r>
    <n v="524"/>
    <x v="21"/>
    <s v="HINJEWADI"/>
    <s v="SLK1"/>
    <x v="0"/>
    <x v="6"/>
    <s v="ACE"/>
    <s v="CNG"/>
    <n v="4"/>
    <n v="8"/>
    <x v="0"/>
    <n v="1000"/>
    <n v="55"/>
    <n v="31"/>
    <s v="PUN01 NC Cluster 10"/>
    <m/>
    <d v="1899-12-30T02:23:00"/>
    <d v="1899-12-30T02:23:00"/>
    <n v="145350"/>
    <d v="1899-12-30T07:08:00"/>
    <d v="1899-12-30T07:08:00"/>
    <n v="145373"/>
    <n v="37"/>
    <n v="37"/>
    <n v="0"/>
    <n v="23"/>
    <n v="23"/>
    <n v="0"/>
    <n v="0"/>
    <n v="0"/>
    <x v="0"/>
    <n v="0"/>
    <n v="0"/>
    <n v="0"/>
    <n v="0"/>
    <n v="806.45"/>
    <n v="0"/>
    <n v="806.45"/>
    <m/>
    <m/>
  </r>
  <r>
    <n v="525"/>
    <x v="21"/>
    <s v="HINJEWADI"/>
    <s v="SLK1"/>
    <x v="0"/>
    <x v="9"/>
    <s v="ACE"/>
    <s v="CNG"/>
    <n v="6"/>
    <n v="8"/>
    <x v="1"/>
    <n v="2000"/>
    <n v="55"/>
    <n v="31"/>
    <s v="PUN01 NC Cluster"/>
    <m/>
    <d v="1899-12-30T02:29:00"/>
    <d v="1899-12-30T02:29:00"/>
    <n v="48479"/>
    <d v="1899-12-30T08:00:00"/>
    <d v="1899-12-30T08:00:00"/>
    <n v="48537"/>
    <m/>
    <m/>
    <n v="0"/>
    <n v="58"/>
    <n v="58"/>
    <n v="0"/>
    <n v="0"/>
    <n v="0"/>
    <x v="0"/>
    <n v="0"/>
    <n v="0"/>
    <n v="0"/>
    <n v="0"/>
    <n v="1064.52"/>
    <n v="0"/>
    <n v="1064.52"/>
    <m/>
    <m/>
  </r>
  <r>
    <n v="526"/>
    <x v="21"/>
    <s v="HINJEWADI"/>
    <s v="SLK1"/>
    <x v="0"/>
    <x v="19"/>
    <s v="BOLERO"/>
    <s v="DIESEL"/>
    <n v="4"/>
    <n v="10"/>
    <x v="2"/>
    <n v="1000"/>
    <n v="55"/>
    <n v="31"/>
    <s v="PUN01 NC Cluster 73"/>
    <m/>
    <d v="1899-12-30T02:32:00"/>
    <d v="1899-12-30T02:32:00"/>
    <n v="33137"/>
    <m/>
    <m/>
    <n v="33146"/>
    <n v="37"/>
    <n v="37"/>
    <n v="0"/>
    <n v="9"/>
    <n v="9"/>
    <n v="0"/>
    <n v="0"/>
    <n v="0"/>
    <x v="0"/>
    <n v="0"/>
    <n v="0"/>
    <n v="0"/>
    <n v="0"/>
    <n v="935.48"/>
    <n v="0"/>
    <n v="935.48"/>
    <m/>
    <m/>
  </r>
  <r>
    <n v="527"/>
    <x v="21"/>
    <s v="HINJEWADI"/>
    <s v="SLK1"/>
    <x v="0"/>
    <x v="23"/>
    <s v="ACE"/>
    <s v="CNG"/>
    <n v="4"/>
    <n v="8"/>
    <x v="0"/>
    <n v="1000"/>
    <n v="55"/>
    <n v="31"/>
    <s v="PUN01 NC Cluster 15"/>
    <m/>
    <d v="1899-12-30T02:35:00"/>
    <d v="1899-12-30T02:35:00"/>
    <n v="79082"/>
    <d v="1899-12-30T07:29:00"/>
    <d v="1899-12-30T07:29:00"/>
    <n v="79097"/>
    <n v="39"/>
    <n v="39"/>
    <n v="0"/>
    <n v="15"/>
    <n v="15"/>
    <n v="0"/>
    <n v="0"/>
    <n v="0"/>
    <x v="0"/>
    <n v="0"/>
    <n v="0"/>
    <n v="0"/>
    <n v="0"/>
    <n v="806.45"/>
    <n v="0"/>
    <n v="806.45"/>
    <m/>
    <m/>
  </r>
  <r>
    <n v="528"/>
    <x v="21"/>
    <s v="HINJEWADI"/>
    <s v="SLK1"/>
    <x v="0"/>
    <x v="21"/>
    <s v="BOLERO"/>
    <s v="DIESEL"/>
    <n v="4"/>
    <n v="10"/>
    <x v="2"/>
    <n v="1000"/>
    <n v="55"/>
    <n v="31"/>
    <s v="PUN01 NC Cluster 155"/>
    <m/>
    <d v="1899-12-30T02:38:00"/>
    <d v="1899-12-30T02:38:00"/>
    <n v="3575"/>
    <d v="1899-12-30T07:24:00"/>
    <d v="1899-12-30T07:24:00"/>
    <n v="3598"/>
    <n v="46"/>
    <n v="46"/>
    <n v="0"/>
    <n v="23"/>
    <n v="23"/>
    <n v="0"/>
    <n v="0"/>
    <n v="0"/>
    <x v="0"/>
    <n v="0"/>
    <n v="0"/>
    <n v="0"/>
    <n v="0"/>
    <n v="935.48"/>
    <n v="0"/>
    <n v="935.48"/>
    <m/>
    <m/>
  </r>
  <r>
    <n v="529"/>
    <x v="21"/>
    <s v="HINJEWADI"/>
    <s v="SLK1"/>
    <x v="0"/>
    <x v="7"/>
    <s v="ACE"/>
    <s v="CNG"/>
    <n v="4"/>
    <n v="8"/>
    <x v="0"/>
    <n v="1000"/>
    <n v="55"/>
    <n v="31"/>
    <s v="PUN01 NC Cluster 5"/>
    <m/>
    <d v="1899-12-30T02:52:00"/>
    <d v="1899-12-30T02:52:00"/>
    <n v="159832"/>
    <d v="1899-12-30T06:50:00"/>
    <d v="1899-12-30T06:50:00"/>
    <n v="159849"/>
    <n v="40"/>
    <n v="40"/>
    <n v="0"/>
    <n v="17"/>
    <n v="17"/>
    <n v="0"/>
    <n v="0"/>
    <n v="0"/>
    <x v="0"/>
    <n v="0"/>
    <n v="0"/>
    <n v="0"/>
    <n v="0"/>
    <n v="806.45"/>
    <n v="0"/>
    <n v="806.45"/>
    <m/>
    <m/>
  </r>
  <r>
    <n v="530"/>
    <x v="22"/>
    <s v="HINJEWADI"/>
    <s v="SLK1"/>
    <x v="0"/>
    <x v="0"/>
    <s v="ACE"/>
    <s v="CNG"/>
    <n v="4"/>
    <n v="8"/>
    <x v="0"/>
    <n v="1000"/>
    <n v="55"/>
    <n v="31"/>
    <s v="PUN01 NC Cluster 1"/>
    <m/>
    <d v="1899-12-30T01:07:00"/>
    <d v="1899-12-30T01:07:00"/>
    <n v="57980"/>
    <d v="1899-12-30T06:10:00"/>
    <d v="1899-12-30T06:10:00"/>
    <n v="57986"/>
    <n v="27"/>
    <n v="27"/>
    <n v="0"/>
    <n v="6"/>
    <n v="6"/>
    <n v="0"/>
    <n v="0"/>
    <n v="0"/>
    <x v="0"/>
    <n v="0"/>
    <n v="0"/>
    <n v="0"/>
    <n v="0"/>
    <n v="806.45"/>
    <n v="0"/>
    <n v="806.45"/>
    <m/>
    <m/>
  </r>
  <r>
    <n v="531"/>
    <x v="22"/>
    <s v="HINJEWADI"/>
    <s v="SLK1"/>
    <x v="0"/>
    <x v="27"/>
    <s v="BOLERO"/>
    <s v="DIESEL"/>
    <n v="4"/>
    <n v="10"/>
    <x v="2"/>
    <n v="1000"/>
    <n v="55"/>
    <n v="31"/>
    <s v="PUN01 NC Cluster"/>
    <m/>
    <d v="1899-12-30T01:08:00"/>
    <d v="1899-12-30T01:08:00"/>
    <n v="23332"/>
    <d v="1899-12-30T08:28:00"/>
    <d v="1899-12-30T08:28:00"/>
    <n v="23355"/>
    <m/>
    <m/>
    <n v="0"/>
    <n v="23"/>
    <n v="23"/>
    <n v="0"/>
    <n v="0"/>
    <n v="1"/>
    <x v="1"/>
    <n v="0"/>
    <n v="0"/>
    <n v="0"/>
    <n v="0"/>
    <n v="1085.48"/>
    <n v="0"/>
    <n v="1085.48"/>
    <m/>
    <m/>
  </r>
  <r>
    <n v="532"/>
    <x v="22"/>
    <s v="HINJEWADI"/>
    <s v="SLK1"/>
    <x v="0"/>
    <x v="15"/>
    <s v="ACE"/>
    <s v="CNG"/>
    <n v="4"/>
    <n v="8"/>
    <x v="0"/>
    <n v="1000"/>
    <n v="55"/>
    <n v="31"/>
    <s v="PUN01 NC Cluster 40"/>
    <m/>
    <d v="1899-12-30T01:08:00"/>
    <d v="1899-12-30T01:08:00"/>
    <n v="39418"/>
    <d v="1899-12-30T08:24:00"/>
    <d v="1899-12-30T08:24:00"/>
    <n v="39434"/>
    <n v="38"/>
    <n v="38"/>
    <n v="0"/>
    <n v="16"/>
    <n v="16"/>
    <n v="0"/>
    <n v="0"/>
    <n v="1"/>
    <x v="1"/>
    <n v="0"/>
    <n v="0"/>
    <n v="0"/>
    <n v="0"/>
    <n v="956.45"/>
    <n v="0"/>
    <n v="956.45"/>
    <m/>
    <m/>
  </r>
  <r>
    <n v="533"/>
    <x v="22"/>
    <s v="HINJEWADI"/>
    <s v="SLK1"/>
    <x v="0"/>
    <x v="18"/>
    <s v="ACE"/>
    <s v="CNG"/>
    <n v="4"/>
    <n v="8"/>
    <x v="0"/>
    <n v="1000"/>
    <n v="55"/>
    <n v="31"/>
    <s v="PUN01 NC Cluster 39"/>
    <m/>
    <d v="1899-12-30T01:08:00"/>
    <d v="1899-12-30T01:08:00"/>
    <n v="5969"/>
    <d v="1899-12-30T08:30:00"/>
    <d v="1899-12-30T08:30:00"/>
    <n v="5989"/>
    <n v="23"/>
    <n v="23"/>
    <n v="0"/>
    <n v="20"/>
    <n v="20"/>
    <n v="0"/>
    <n v="0"/>
    <n v="1"/>
    <x v="1"/>
    <n v="0"/>
    <n v="0"/>
    <n v="0"/>
    <n v="0"/>
    <n v="956.45"/>
    <n v="0"/>
    <n v="956.45"/>
    <m/>
    <m/>
  </r>
  <r>
    <n v="534"/>
    <x v="22"/>
    <s v="HINJEWADI"/>
    <s v="SLK1"/>
    <x v="0"/>
    <x v="17"/>
    <s v="ACE"/>
    <s v="CNG"/>
    <n v="4"/>
    <n v="8"/>
    <x v="0"/>
    <n v="1000"/>
    <n v="55"/>
    <n v="31"/>
    <s v="PUN01 NC Cluster 200"/>
    <m/>
    <d v="1899-12-30T01:09:00"/>
    <d v="1899-12-30T01:09:00"/>
    <n v="8177"/>
    <d v="1899-12-30T07:35:00"/>
    <d v="1899-12-30T07:35:00"/>
    <n v="8209"/>
    <n v="51"/>
    <n v="51"/>
    <n v="0"/>
    <n v="32"/>
    <n v="32"/>
    <n v="0"/>
    <n v="0"/>
    <n v="0"/>
    <x v="0"/>
    <n v="0"/>
    <n v="0"/>
    <n v="0"/>
    <n v="0"/>
    <n v="806.45"/>
    <n v="0"/>
    <n v="806.45"/>
    <m/>
    <m/>
  </r>
  <r>
    <n v="535"/>
    <x v="22"/>
    <s v="HINJEWADI"/>
    <s v="SLK1"/>
    <x v="0"/>
    <x v="30"/>
    <s v="ACE"/>
    <s v="CNG"/>
    <n v="4"/>
    <n v="8"/>
    <x v="0"/>
    <n v="1000"/>
    <n v="55"/>
    <n v="31"/>
    <s v="PUN01 NC Cluster 140"/>
    <m/>
    <d v="1899-12-30T01:10:00"/>
    <d v="1899-12-30T01:10:00"/>
    <n v="39009"/>
    <d v="1899-12-30T07:35:00"/>
    <d v="1899-12-30T07:35:00"/>
    <n v="39034"/>
    <n v="46"/>
    <n v="46"/>
    <n v="0"/>
    <n v="25"/>
    <n v="25"/>
    <n v="0"/>
    <n v="0"/>
    <n v="0"/>
    <x v="0"/>
    <n v="0"/>
    <n v="0"/>
    <n v="0"/>
    <n v="0"/>
    <n v="806.45"/>
    <n v="0"/>
    <n v="806.45"/>
    <m/>
    <m/>
  </r>
  <r>
    <n v="536"/>
    <x v="22"/>
    <s v="HINJEWADI"/>
    <s v="SLK1"/>
    <x v="0"/>
    <x v="36"/>
    <s v="ACE"/>
    <s v="CNG"/>
    <n v="4"/>
    <n v="8"/>
    <x v="0"/>
    <n v="1000"/>
    <n v="55"/>
    <n v="31"/>
    <s v="PUN01 NC Cluster 19"/>
    <m/>
    <d v="1899-12-30T01:16:00"/>
    <d v="1899-12-30T01:16:00"/>
    <n v="116414"/>
    <d v="1899-12-30T08:15:00"/>
    <d v="1899-12-30T08:15:00"/>
    <n v="116434"/>
    <n v="54"/>
    <n v="54"/>
    <n v="0"/>
    <n v="20"/>
    <n v="20"/>
    <n v="0"/>
    <n v="0"/>
    <n v="1"/>
    <x v="1"/>
    <n v="0"/>
    <n v="0"/>
    <n v="0"/>
    <n v="0"/>
    <n v="956.45"/>
    <n v="0"/>
    <n v="956.45"/>
    <m/>
    <m/>
  </r>
  <r>
    <n v="537"/>
    <x v="22"/>
    <s v="HINJEWADI"/>
    <s v="SLK1"/>
    <x v="0"/>
    <x v="14"/>
    <s v="ACE"/>
    <s v="CNG"/>
    <n v="6"/>
    <n v="8"/>
    <x v="1"/>
    <n v="2000"/>
    <n v="55"/>
    <n v="31"/>
    <s v="PUN01 NC Cluster 303"/>
    <m/>
    <d v="1899-12-30T01:26:00"/>
    <d v="1899-12-30T01:26:00"/>
    <n v="34869"/>
    <d v="1899-12-30T06:50:00"/>
    <d v="1899-12-30T06:50:00"/>
    <n v="34936"/>
    <n v="27"/>
    <n v="27"/>
    <n v="0"/>
    <n v="67"/>
    <n v="67"/>
    <n v="0"/>
    <n v="0"/>
    <n v="0"/>
    <x v="0"/>
    <n v="0"/>
    <n v="0"/>
    <n v="0"/>
    <n v="0"/>
    <n v="1064.52"/>
    <n v="0"/>
    <n v="1064.52"/>
    <m/>
    <m/>
  </r>
  <r>
    <n v="538"/>
    <x v="22"/>
    <s v="HINJEWADI"/>
    <s v="SLK1"/>
    <x v="0"/>
    <x v="2"/>
    <s v="ACE"/>
    <s v="CNG"/>
    <n v="6"/>
    <n v="8"/>
    <x v="1"/>
    <n v="2000"/>
    <n v="55"/>
    <n v="31"/>
    <s v="PUN01 NC Cluster 237"/>
    <m/>
    <d v="1899-12-30T01:43:00"/>
    <d v="1899-12-30T01:43:00"/>
    <n v="101569"/>
    <d v="1899-12-30T08:57:00"/>
    <d v="1899-12-30T08:57:00"/>
    <n v="101612"/>
    <n v="58"/>
    <n v="58"/>
    <n v="0"/>
    <n v="43"/>
    <n v="43"/>
    <n v="0"/>
    <n v="0"/>
    <n v="0"/>
    <x v="0"/>
    <n v="0"/>
    <n v="0"/>
    <n v="0"/>
    <n v="0"/>
    <n v="1064.52"/>
    <n v="0"/>
    <n v="1064.52"/>
    <m/>
    <m/>
  </r>
  <r>
    <n v="539"/>
    <x v="22"/>
    <s v="HINJEWADI"/>
    <s v="SLK1"/>
    <x v="0"/>
    <x v="20"/>
    <s v="BOLERO"/>
    <s v="DIESEL"/>
    <n v="4"/>
    <n v="10"/>
    <x v="2"/>
    <n v="1000"/>
    <n v="55"/>
    <n v="31"/>
    <s v="PUN01 NC Cluster 131"/>
    <m/>
    <d v="1899-12-30T01:44:00"/>
    <d v="1899-12-30T01:44:00"/>
    <n v="39643"/>
    <d v="1899-12-30T07:30:00"/>
    <d v="1899-12-30T07:30:00"/>
    <n v="39674"/>
    <n v="63"/>
    <n v="63"/>
    <n v="0"/>
    <n v="31"/>
    <n v="31"/>
    <n v="0"/>
    <n v="0"/>
    <n v="0"/>
    <x v="0"/>
    <n v="0"/>
    <n v="0"/>
    <n v="0"/>
    <n v="0"/>
    <n v="935.48"/>
    <n v="0"/>
    <n v="935.48"/>
    <m/>
    <m/>
  </r>
  <r>
    <n v="540"/>
    <x v="22"/>
    <s v="HINJEWADI"/>
    <s v="SLK1"/>
    <x v="0"/>
    <x v="6"/>
    <s v="ACE"/>
    <s v="CNG"/>
    <n v="4"/>
    <n v="8"/>
    <x v="0"/>
    <n v="1000"/>
    <n v="55"/>
    <n v="31"/>
    <s v="PUN01 NC Cluster 10"/>
    <m/>
    <d v="1899-12-30T01:57:00"/>
    <d v="1899-12-30T01:57:00"/>
    <n v="145462"/>
    <d v="1899-12-30T07:23:00"/>
    <d v="1899-12-30T07:23:00"/>
    <n v="145489"/>
    <n v="55"/>
    <n v="55"/>
    <n v="0"/>
    <n v="27"/>
    <n v="27"/>
    <n v="0"/>
    <n v="0"/>
    <n v="0"/>
    <x v="0"/>
    <n v="0"/>
    <n v="0"/>
    <n v="0"/>
    <n v="0"/>
    <n v="806.45"/>
    <n v="0"/>
    <n v="806.45"/>
    <m/>
    <m/>
  </r>
  <r>
    <n v="541"/>
    <x v="22"/>
    <s v="HINJEWADI"/>
    <s v="SLK1"/>
    <x v="0"/>
    <x v="37"/>
    <s v="ACE"/>
    <s v="CNG"/>
    <n v="4"/>
    <n v="8"/>
    <x v="0"/>
    <n v="1000"/>
    <n v="55"/>
    <n v="31"/>
    <s v="PUN01 NC Cluster 93"/>
    <m/>
    <d v="1899-12-30T01:59:00"/>
    <d v="1899-12-30T01:59:00"/>
    <n v="66512"/>
    <d v="1899-12-30T08:23:00"/>
    <d v="1899-12-30T08:23:00"/>
    <n v="66531"/>
    <n v="24"/>
    <n v="24"/>
    <n v="0"/>
    <n v="19"/>
    <n v="19"/>
    <n v="0"/>
    <n v="0"/>
    <n v="1"/>
    <x v="1"/>
    <n v="0"/>
    <n v="0"/>
    <n v="0"/>
    <n v="0"/>
    <n v="956.45"/>
    <n v="0"/>
    <n v="956.45"/>
    <m/>
    <m/>
  </r>
  <r>
    <n v="542"/>
    <x v="22"/>
    <s v="HINJEWADI"/>
    <s v="SLK1"/>
    <x v="0"/>
    <x v="35"/>
    <s v="ACE"/>
    <s v="CNG"/>
    <n v="4"/>
    <n v="8"/>
    <x v="0"/>
    <n v="1000"/>
    <n v="55"/>
    <n v="31"/>
    <s v="PUN01 NC Cluster 41"/>
    <m/>
    <d v="1899-12-30T02:00:00"/>
    <d v="1899-12-30T02:00:00"/>
    <n v="45263"/>
    <d v="1899-12-30T08:20:00"/>
    <d v="1899-12-30T08:20:00"/>
    <n v="45290"/>
    <n v="25"/>
    <n v="25"/>
    <n v="0"/>
    <n v="27"/>
    <n v="27"/>
    <n v="0"/>
    <n v="0"/>
    <n v="1"/>
    <x v="1"/>
    <n v="0"/>
    <n v="0"/>
    <n v="0"/>
    <n v="0"/>
    <n v="956.45"/>
    <n v="0"/>
    <n v="956.45"/>
    <m/>
    <m/>
  </r>
  <r>
    <n v="543"/>
    <x v="22"/>
    <s v="HINJEWADI"/>
    <s v="SLK1"/>
    <x v="0"/>
    <x v="23"/>
    <s v="ACE"/>
    <s v="CNG"/>
    <n v="4"/>
    <n v="8"/>
    <x v="0"/>
    <n v="1000"/>
    <n v="55"/>
    <n v="31"/>
    <s v="PUN01 NC Cluster 130"/>
    <m/>
    <d v="1899-12-30T02:07:00"/>
    <d v="1899-12-30T02:07:00"/>
    <n v="79181"/>
    <d v="1899-12-30T07:46:00"/>
    <d v="1899-12-30T07:46:00"/>
    <n v="79209"/>
    <n v="42"/>
    <n v="42"/>
    <n v="0"/>
    <n v="28"/>
    <n v="28"/>
    <n v="0"/>
    <n v="0"/>
    <n v="0"/>
    <x v="0"/>
    <n v="0"/>
    <n v="0"/>
    <n v="0"/>
    <n v="0"/>
    <n v="806.45"/>
    <n v="0"/>
    <n v="806.45"/>
    <m/>
    <m/>
  </r>
  <r>
    <n v="544"/>
    <x v="22"/>
    <s v="HINJEWADI"/>
    <s v="SLK1"/>
    <x v="0"/>
    <x v="5"/>
    <s v="ACE"/>
    <s v="CNG"/>
    <n v="4"/>
    <n v="8"/>
    <x v="0"/>
    <n v="1000"/>
    <n v="55"/>
    <n v="31"/>
    <s v="PUN01 NC Cluster 87"/>
    <m/>
    <d v="1899-12-30T02:08:00"/>
    <d v="1899-12-30T02:08:00"/>
    <n v="145507"/>
    <d v="1899-12-30T06:50:00"/>
    <d v="1899-12-30T06:50:00"/>
    <n v="145528"/>
    <n v="20"/>
    <n v="20"/>
    <n v="0"/>
    <n v="21"/>
    <n v="21"/>
    <n v="0"/>
    <n v="0"/>
    <n v="0"/>
    <x v="0"/>
    <n v="0"/>
    <n v="0"/>
    <n v="0"/>
    <n v="0"/>
    <n v="806.45"/>
    <n v="0"/>
    <n v="806.45"/>
    <m/>
    <m/>
  </r>
  <r>
    <n v="545"/>
    <x v="22"/>
    <s v="HINJEWADI"/>
    <s v="SLK1"/>
    <x v="0"/>
    <x v="22"/>
    <s v="BOLERO"/>
    <s v="DIESEL"/>
    <n v="4"/>
    <n v="10"/>
    <x v="2"/>
    <n v="1000"/>
    <n v="55"/>
    <n v="31"/>
    <s v="PUN01 NC Cluster 71"/>
    <m/>
    <d v="1899-12-30T02:10:00"/>
    <d v="1899-12-30T02:10:00"/>
    <n v="139671"/>
    <m/>
    <m/>
    <n v="139671"/>
    <n v="36"/>
    <n v="36"/>
    <n v="0"/>
    <n v="0"/>
    <n v="0"/>
    <n v="0"/>
    <n v="0"/>
    <n v="0"/>
    <x v="0"/>
    <n v="0"/>
    <n v="0"/>
    <n v="0"/>
    <n v="0"/>
    <n v="935.48"/>
    <n v="0"/>
    <n v="935.48"/>
    <m/>
    <m/>
  </r>
  <r>
    <n v="546"/>
    <x v="22"/>
    <s v="HINJEWADI"/>
    <s v="SLK1"/>
    <x v="0"/>
    <x v="13"/>
    <s v="ACE"/>
    <s v="CNG"/>
    <n v="4"/>
    <n v="8"/>
    <x v="0"/>
    <n v="1000"/>
    <n v="55"/>
    <n v="31"/>
    <s v="PUN01 NC Cluster 6"/>
    <m/>
    <d v="1899-12-30T02:13:00"/>
    <d v="1899-12-30T02:13:00"/>
    <n v="37498"/>
    <d v="1899-12-30T07:01:00"/>
    <d v="1899-12-30T07:01:00"/>
    <n v="37540"/>
    <n v="19"/>
    <n v="19"/>
    <n v="0"/>
    <n v="42"/>
    <n v="42"/>
    <n v="0"/>
    <n v="0"/>
    <n v="0"/>
    <x v="0"/>
    <n v="0"/>
    <n v="0"/>
    <n v="0"/>
    <n v="0"/>
    <n v="806.45"/>
    <n v="0"/>
    <n v="806.45"/>
    <m/>
    <m/>
  </r>
  <r>
    <n v="547"/>
    <x v="22"/>
    <s v="HINJEWADI"/>
    <s v="SLK1"/>
    <x v="0"/>
    <x v="9"/>
    <s v="ACE"/>
    <s v="CNG"/>
    <n v="6"/>
    <n v="8"/>
    <x v="1"/>
    <n v="2000"/>
    <n v="55"/>
    <n v="31"/>
    <s v="PUN01 NC Cluster 299"/>
    <m/>
    <d v="1899-12-30T02:19:00"/>
    <d v="1899-12-30T02:19:00"/>
    <n v="48614"/>
    <d v="1899-12-30T08:23:00"/>
    <d v="1899-12-30T08:23:00"/>
    <n v="48674"/>
    <n v="33"/>
    <n v="33"/>
    <n v="0"/>
    <n v="60"/>
    <n v="60"/>
    <n v="0"/>
    <n v="0"/>
    <n v="0"/>
    <x v="0"/>
    <n v="0"/>
    <n v="0"/>
    <n v="0"/>
    <n v="0"/>
    <n v="1064.52"/>
    <n v="0"/>
    <n v="1064.52"/>
    <m/>
    <m/>
  </r>
  <r>
    <n v="548"/>
    <x v="22"/>
    <s v="HINJEWADI"/>
    <s v="SLK1"/>
    <x v="0"/>
    <x v="21"/>
    <s v="BOLERO"/>
    <s v="DIESEL"/>
    <n v="4"/>
    <n v="10"/>
    <x v="2"/>
    <n v="1000"/>
    <n v="55"/>
    <n v="31"/>
    <s v="PUN01 NC Cluster 155"/>
    <m/>
    <d v="1899-12-30T02:32:00"/>
    <d v="1899-12-30T02:32:00"/>
    <n v="3646"/>
    <d v="1899-12-30T08:03:00"/>
    <d v="1899-12-30T08:03:00"/>
    <n v="3676"/>
    <n v="44"/>
    <n v="44"/>
    <n v="0"/>
    <n v="30"/>
    <n v="30"/>
    <n v="0"/>
    <n v="0"/>
    <n v="1"/>
    <x v="1"/>
    <n v="0"/>
    <n v="0"/>
    <n v="0"/>
    <n v="0"/>
    <n v="1085.48"/>
    <n v="0"/>
    <n v="1085.48"/>
    <m/>
    <m/>
  </r>
  <r>
    <n v="549"/>
    <x v="22"/>
    <s v="HINJEWADI"/>
    <s v="SLK1"/>
    <x v="0"/>
    <x v="26"/>
    <s v="ACE"/>
    <s v="CNG"/>
    <n v="4"/>
    <n v="8"/>
    <x v="0"/>
    <n v="1000"/>
    <n v="55"/>
    <n v="31"/>
    <s v="PUN01 NC Cluster 61"/>
    <m/>
    <d v="1899-12-30T02:38:00"/>
    <d v="1899-12-30T02:38:00"/>
    <n v="41976"/>
    <d v="1899-12-30T08:10:00"/>
    <d v="1899-12-30T08:10:00"/>
    <n v="42004"/>
    <n v="30"/>
    <n v="30"/>
    <n v="0"/>
    <n v="28"/>
    <n v="28"/>
    <n v="0"/>
    <n v="0"/>
    <n v="1"/>
    <x v="1"/>
    <n v="0"/>
    <n v="0"/>
    <n v="0"/>
    <n v="0"/>
    <n v="956.45"/>
    <n v="0"/>
    <n v="956.45"/>
    <m/>
    <m/>
  </r>
  <r>
    <n v="550"/>
    <x v="22"/>
    <s v="HINJEWADI"/>
    <s v="SLK1"/>
    <x v="0"/>
    <x v="25"/>
    <s v="ACE"/>
    <s v="CNG"/>
    <n v="4"/>
    <n v="8"/>
    <x v="0"/>
    <n v="1000"/>
    <n v="55"/>
    <n v="31"/>
    <s v="PUN01 NC Cluster 201"/>
    <m/>
    <d v="1899-12-30T02:38:00"/>
    <d v="1899-12-30T02:38:00"/>
    <n v="118893"/>
    <d v="1899-12-30T08:11:00"/>
    <d v="1899-12-30T08:11:00"/>
    <n v="118921"/>
    <n v="31"/>
    <n v="31"/>
    <n v="0"/>
    <n v="28"/>
    <n v="28"/>
    <n v="0"/>
    <n v="0"/>
    <n v="1"/>
    <x v="1"/>
    <n v="0"/>
    <n v="0"/>
    <n v="0"/>
    <n v="0"/>
    <n v="956.45"/>
    <n v="0"/>
    <n v="956.45"/>
    <m/>
    <m/>
  </r>
  <r>
    <n v="551"/>
    <x v="22"/>
    <s v="HINJEWADI"/>
    <s v="SLK1"/>
    <x v="0"/>
    <x v="10"/>
    <s v="ACE"/>
    <s v="CNG"/>
    <n v="4"/>
    <n v="8"/>
    <x v="0"/>
    <n v="1000"/>
    <n v="55"/>
    <n v="31"/>
    <s v="PUN01 NC Cluster"/>
    <m/>
    <d v="1899-12-30T02:52:00"/>
    <d v="1899-12-30T02:52:00"/>
    <n v="76216"/>
    <d v="1899-12-30T08:14:00"/>
    <d v="1899-12-30T08:14:00"/>
    <n v="76230"/>
    <m/>
    <m/>
    <n v="0"/>
    <n v="14"/>
    <n v="14"/>
    <n v="0"/>
    <n v="0"/>
    <n v="1"/>
    <x v="1"/>
    <n v="0"/>
    <n v="0"/>
    <n v="0"/>
    <n v="0"/>
    <n v="956.45"/>
    <n v="0"/>
    <n v="956.45"/>
    <m/>
    <m/>
  </r>
  <r>
    <n v="552"/>
    <x v="22"/>
    <s v="HINJEWADI"/>
    <s v="SLK1"/>
    <x v="0"/>
    <x v="19"/>
    <s v="BOLERO"/>
    <s v="DIESEL"/>
    <n v="4"/>
    <n v="10"/>
    <x v="2"/>
    <n v="1000"/>
    <n v="55"/>
    <n v="31"/>
    <s v="PUN01 NC Cluster"/>
    <m/>
    <d v="1899-12-30T03:01:00"/>
    <d v="1899-12-30T03:01:00"/>
    <n v="33154"/>
    <d v="1899-12-30T08:36:00"/>
    <d v="1899-12-30T08:36:00"/>
    <n v="33163"/>
    <m/>
    <m/>
    <n v="0"/>
    <n v="9"/>
    <n v="9"/>
    <n v="0"/>
    <n v="0"/>
    <n v="1"/>
    <x v="1"/>
    <n v="0"/>
    <n v="0"/>
    <n v="0"/>
    <n v="0"/>
    <n v="1085.48"/>
    <n v="0"/>
    <n v="1085.48"/>
    <m/>
    <m/>
  </r>
  <r>
    <n v="553"/>
    <x v="22"/>
    <s v="HINJEWADI"/>
    <s v="SLK1"/>
    <x v="0"/>
    <x v="7"/>
    <s v="ACE"/>
    <s v="CNG"/>
    <n v="4"/>
    <n v="8"/>
    <x v="0"/>
    <n v="1000"/>
    <n v="55"/>
    <n v="31"/>
    <s v="PUN01 NC Cluster"/>
    <m/>
    <d v="1899-12-30T03:04:00"/>
    <d v="1899-12-30T03:04:00"/>
    <n v="159880"/>
    <d v="1899-12-30T08:38:00"/>
    <d v="1899-12-30T08:38:00"/>
    <n v="159927"/>
    <m/>
    <m/>
    <n v="0"/>
    <n v="47"/>
    <n v="47"/>
    <n v="0"/>
    <n v="0"/>
    <n v="1"/>
    <x v="1"/>
    <n v="0"/>
    <n v="0"/>
    <n v="0"/>
    <n v="0"/>
    <n v="956.45"/>
    <n v="0"/>
    <n v="956.45"/>
    <m/>
    <m/>
  </r>
  <r>
    <n v="554"/>
    <x v="22"/>
    <s v="HINJEWADI"/>
    <s v="SLK1"/>
    <x v="0"/>
    <x v="39"/>
    <s v="BOLERO"/>
    <s v="DIESEL"/>
    <n v="6"/>
    <n v="10"/>
    <x v="3"/>
    <n v="2000"/>
    <n v="55"/>
    <n v="31"/>
    <s v="Hinjewadi To Wagholi"/>
    <m/>
    <m/>
    <m/>
    <m/>
    <m/>
    <m/>
    <m/>
    <m/>
    <m/>
    <n v="0"/>
    <n v="0"/>
    <n v="0"/>
    <n v="0"/>
    <n v="0"/>
    <n v="0"/>
    <x v="0"/>
    <n v="0"/>
    <n v="0"/>
    <n v="0"/>
    <n v="0"/>
    <n v="1225.81"/>
    <n v="0"/>
    <n v="1225.81"/>
    <s v="Middle Mile Delivery (Hinjewadi To Wagholi Stock transfer)"/>
    <m/>
  </r>
  <r>
    <n v="555"/>
    <x v="22"/>
    <s v="HINJEWADI"/>
    <s v="SLK1"/>
    <x v="0"/>
    <x v="31"/>
    <s v="BOLERO"/>
    <s v="DIESEL"/>
    <n v="4"/>
    <n v="10"/>
    <x v="2"/>
    <n v="1000"/>
    <n v="55"/>
    <n v="31"/>
    <s v="Hinjewadi To Wagholi"/>
    <m/>
    <m/>
    <m/>
    <m/>
    <m/>
    <m/>
    <m/>
    <m/>
    <m/>
    <n v="0"/>
    <n v="0"/>
    <n v="0"/>
    <n v="0"/>
    <n v="0"/>
    <n v="0"/>
    <x v="0"/>
    <n v="0"/>
    <n v="0"/>
    <n v="0"/>
    <n v="0"/>
    <n v="935.48"/>
    <n v="0"/>
    <n v="935.48"/>
    <s v="Middle Mile Delivery (Hinjewadi To Wagholi Stock transfer)"/>
    <m/>
  </r>
  <r>
    <n v="556"/>
    <x v="22"/>
    <s v="HINJEWADI"/>
    <s v="SLK1"/>
    <x v="0"/>
    <x v="40"/>
    <s v="BOLERO"/>
    <s v="DIESEL"/>
    <n v="6"/>
    <n v="10"/>
    <x v="3"/>
    <n v="2000"/>
    <n v="55"/>
    <n v="31"/>
    <s v="Hinjewadi To Wagholi"/>
    <m/>
    <m/>
    <m/>
    <m/>
    <m/>
    <m/>
    <m/>
    <m/>
    <m/>
    <n v="0"/>
    <n v="0"/>
    <n v="0"/>
    <n v="0"/>
    <n v="0"/>
    <n v="0"/>
    <x v="0"/>
    <n v="0"/>
    <n v="0"/>
    <n v="0"/>
    <n v="0"/>
    <n v="1225.81"/>
    <n v="0"/>
    <n v="1225.81"/>
    <s v="Middle Mile Delivery (Hinjewadi To Wagholi Stock transfer)"/>
    <m/>
  </r>
  <r>
    <n v="557"/>
    <x v="23"/>
    <s v="HINJEWADI"/>
    <s v="SLK1"/>
    <x v="0"/>
    <x v="0"/>
    <s v="ACE"/>
    <s v="CNG"/>
    <n v="4"/>
    <n v="8"/>
    <x v="0"/>
    <n v="1000"/>
    <n v="55"/>
    <n v="31"/>
    <s v="PUN01 NC Cluster 1"/>
    <m/>
    <d v="1899-12-30T01:12:00"/>
    <d v="1899-12-30T03:21:42"/>
    <n v="58040"/>
    <d v="1899-12-30T06:52:29"/>
    <d v="1899-12-30T06:53:19"/>
    <n v="58047"/>
    <n v="31"/>
    <n v="82"/>
    <n v="-51"/>
    <n v="7"/>
    <n v="7"/>
    <n v="0"/>
    <n v="0"/>
    <n v="0"/>
    <x v="0"/>
    <n v="0"/>
    <n v="0"/>
    <n v="0"/>
    <n v="0"/>
    <n v="806.45"/>
    <n v="0"/>
    <n v="806.45"/>
    <m/>
    <m/>
  </r>
  <r>
    <n v="558"/>
    <x v="23"/>
    <s v="HINJEWADI"/>
    <s v="SLK1"/>
    <x v="0"/>
    <x v="29"/>
    <s v="ACE"/>
    <s v="CNG"/>
    <n v="4"/>
    <n v="8"/>
    <x v="0"/>
    <n v="1000"/>
    <n v="55"/>
    <n v="31"/>
    <s v="PUN01 NC Cluster 100"/>
    <m/>
    <d v="1899-12-30T01:06:00"/>
    <d v="1899-12-30T03:21:47"/>
    <n v="110786"/>
    <d v="1899-12-30T07:53:21"/>
    <d v="1899-12-30T07:53:32"/>
    <n v="110804"/>
    <n v="0"/>
    <n v="17"/>
    <n v="-17"/>
    <n v="18"/>
    <n v="18"/>
    <n v="0"/>
    <n v="0"/>
    <n v="0"/>
    <x v="0"/>
    <n v="0"/>
    <n v="0"/>
    <n v="0"/>
    <n v="0"/>
    <n v="806.45"/>
    <n v="0"/>
    <n v="806.45"/>
    <m/>
    <m/>
  </r>
  <r>
    <n v="559"/>
    <x v="23"/>
    <s v="HINJEWADI"/>
    <s v="SLK1"/>
    <x v="0"/>
    <x v="3"/>
    <s v="ACE"/>
    <s v="CNG"/>
    <n v="4"/>
    <n v="8"/>
    <x v="0"/>
    <n v="1000"/>
    <n v="55"/>
    <n v="31"/>
    <s v="PUN01 NC Cluster 113"/>
    <m/>
    <d v="1899-12-30T02:41:00"/>
    <d v="1899-12-30T03:26:21"/>
    <n v="84315"/>
    <d v="1899-12-30T06:58:04"/>
    <d v="1899-12-30T06:58:11"/>
    <n v="84344"/>
    <n v="35"/>
    <n v="49"/>
    <n v="-14"/>
    <n v="29"/>
    <n v="29"/>
    <n v="0"/>
    <n v="0"/>
    <n v="0"/>
    <x v="0"/>
    <n v="0"/>
    <n v="0"/>
    <n v="0"/>
    <n v="0"/>
    <n v="806.45"/>
    <n v="0"/>
    <n v="806.45"/>
    <m/>
    <m/>
  </r>
  <r>
    <n v="560"/>
    <x v="23"/>
    <s v="HINJEWADI"/>
    <s v="SLK1"/>
    <x v="0"/>
    <x v="30"/>
    <s v="ACE"/>
    <s v="CNG"/>
    <n v="4"/>
    <n v="8"/>
    <x v="0"/>
    <n v="1000"/>
    <n v="55"/>
    <n v="31"/>
    <s v="PUN01 NC Cluster 62"/>
    <m/>
    <d v="1899-12-30T01:06:00"/>
    <d v="1899-12-30T03:15:06"/>
    <n v="39141"/>
    <d v="1899-12-30T07:48:26"/>
    <d v="1899-12-30T07:48:31"/>
    <n v="39158"/>
    <n v="36"/>
    <n v="36"/>
    <n v="0"/>
    <n v="17"/>
    <n v="17"/>
    <n v="0"/>
    <n v="0"/>
    <n v="0"/>
    <x v="0"/>
    <n v="0"/>
    <n v="0"/>
    <n v="0"/>
    <n v="0"/>
    <n v="806.45"/>
    <n v="0"/>
    <n v="806.45"/>
    <m/>
    <m/>
  </r>
  <r>
    <n v="561"/>
    <x v="23"/>
    <s v="HINJEWADI"/>
    <s v="SLK1"/>
    <x v="0"/>
    <x v="4"/>
    <s v="ACE"/>
    <s v="CNG"/>
    <n v="4"/>
    <n v="8"/>
    <x v="0"/>
    <n v="1000"/>
    <n v="55"/>
    <n v="31"/>
    <s v="PUN01 NC Cluster 37"/>
    <m/>
    <d v="1899-12-30T01:16:00"/>
    <d v="1899-12-30T03:23:25"/>
    <n v="12936"/>
    <d v="1899-12-30T07:05:57"/>
    <d v="1899-12-30T07:06:07"/>
    <n v="12952"/>
    <n v="27"/>
    <n v="27"/>
    <n v="0"/>
    <n v="16"/>
    <n v="16"/>
    <n v="0"/>
    <n v="0"/>
    <n v="0"/>
    <x v="0"/>
    <n v="0"/>
    <n v="0"/>
    <n v="0"/>
    <n v="0"/>
    <n v="806.45"/>
    <n v="0"/>
    <n v="806.45"/>
    <m/>
    <m/>
  </r>
  <r>
    <n v="562"/>
    <x v="23"/>
    <s v="HINJEWADI"/>
    <s v="SLK1"/>
    <x v="0"/>
    <x v="5"/>
    <s v="ACE"/>
    <s v="CNG"/>
    <n v="4"/>
    <n v="8"/>
    <x v="0"/>
    <n v="1000"/>
    <n v="55"/>
    <n v="31"/>
    <s v="PUN01 NC Cluster 87"/>
    <m/>
    <d v="1899-12-30T02:06:00"/>
    <d v="1899-12-30T03:24:17"/>
    <n v="145531"/>
    <d v="1899-12-30T06:53:41"/>
    <d v="1899-12-30T06:53:47"/>
    <n v="145544"/>
    <n v="30"/>
    <n v="20"/>
    <n v="10"/>
    <n v="13"/>
    <n v="13"/>
    <n v="0"/>
    <n v="0"/>
    <n v="0"/>
    <x v="0"/>
    <n v="0"/>
    <n v="0"/>
    <n v="0"/>
    <n v="0"/>
    <n v="806.45"/>
    <n v="0"/>
    <n v="806.45"/>
    <m/>
    <m/>
  </r>
  <r>
    <n v="563"/>
    <x v="23"/>
    <s v="HINJEWADI"/>
    <s v="SLK1"/>
    <x v="0"/>
    <x v="36"/>
    <s v="ACE"/>
    <s v="CNG"/>
    <n v="4"/>
    <n v="8"/>
    <x v="0"/>
    <n v="1000"/>
    <n v="55"/>
    <n v="31"/>
    <s v="PUN01 NC Cluster 12"/>
    <m/>
    <d v="1899-12-30T01:09:00"/>
    <d v="1899-12-30T03:18:13"/>
    <n v="116570"/>
    <d v="1899-12-30T07:24:12"/>
    <d v="1899-12-30T07:24:22"/>
    <n v="116589"/>
    <n v="35"/>
    <n v="37"/>
    <n v="-2"/>
    <n v="19"/>
    <n v="19"/>
    <n v="0"/>
    <n v="0"/>
    <n v="0"/>
    <x v="0"/>
    <n v="0"/>
    <n v="0"/>
    <n v="0"/>
    <n v="0"/>
    <n v="806.45"/>
    <n v="0"/>
    <n v="806.45"/>
    <m/>
    <m/>
  </r>
  <r>
    <n v="564"/>
    <x v="23"/>
    <s v="HINJEWADI"/>
    <s v="SLK1"/>
    <x v="0"/>
    <x v="6"/>
    <s v="ACE"/>
    <s v="CNG"/>
    <n v="4"/>
    <n v="8"/>
    <x v="0"/>
    <n v="1000"/>
    <n v="55"/>
    <n v="31"/>
    <s v="PUN01 NC Cluster 10"/>
    <m/>
    <d v="1899-12-30T01:10:00"/>
    <d v="1899-12-30T03:17:07"/>
    <n v="145792"/>
    <d v="1899-12-30T07:26:09"/>
    <d v="1899-12-30T07:26:18"/>
    <n v="145823"/>
    <n v="30"/>
    <n v="69"/>
    <n v="-39"/>
    <n v="31"/>
    <n v="31"/>
    <n v="0"/>
    <n v="0"/>
    <n v="0"/>
    <x v="0"/>
    <n v="0"/>
    <n v="0"/>
    <n v="0"/>
    <n v="0"/>
    <n v="806.45"/>
    <n v="0"/>
    <n v="806.45"/>
    <m/>
    <m/>
  </r>
  <r>
    <n v="565"/>
    <x v="23"/>
    <s v="HINJEWADI"/>
    <s v="SLK1"/>
    <x v="0"/>
    <x v="7"/>
    <s v="ACE"/>
    <s v="CNG"/>
    <n v="4"/>
    <n v="8"/>
    <x v="0"/>
    <n v="1000"/>
    <n v="55"/>
    <n v="31"/>
    <s v="PUN01 NC Cluster 208"/>
    <m/>
    <d v="1899-12-30T02:54:00"/>
    <d v="1899-12-30T03:24:04"/>
    <n v="159948"/>
    <d v="1899-12-30T07:52:40"/>
    <d v="1899-12-30T07:52:47"/>
    <n v="159985"/>
    <n v="0"/>
    <n v="0"/>
    <n v="0"/>
    <n v="37"/>
    <n v="37"/>
    <n v="0"/>
    <n v="0"/>
    <n v="0"/>
    <x v="0"/>
    <n v="0"/>
    <n v="0"/>
    <n v="0"/>
    <n v="0"/>
    <n v="806.45"/>
    <n v="0"/>
    <n v="806.45"/>
    <m/>
    <m/>
  </r>
  <r>
    <n v="566"/>
    <x v="23"/>
    <s v="HINJEWADI"/>
    <s v="SLK1"/>
    <x v="0"/>
    <x v="8"/>
    <s v="ACE"/>
    <s v="CNG"/>
    <n v="4"/>
    <n v="8"/>
    <x v="0"/>
    <n v="1000"/>
    <n v="55"/>
    <n v="31"/>
    <s v="PUN01 NC Cluster 42"/>
    <m/>
    <d v="1899-12-30T01:18:00"/>
    <d v="1899-12-30T03:22:21"/>
    <n v="114825"/>
    <d v="1899-12-30T06:56:13"/>
    <d v="1899-12-30T07:50:38"/>
    <n v="114847"/>
    <n v="32"/>
    <n v="33"/>
    <n v="-1"/>
    <n v="22"/>
    <n v="22"/>
    <n v="0"/>
    <n v="0"/>
    <n v="0"/>
    <x v="0"/>
    <n v="0"/>
    <n v="0"/>
    <n v="0"/>
    <n v="0"/>
    <n v="806.45"/>
    <n v="0"/>
    <n v="806.45"/>
    <m/>
    <m/>
  </r>
  <r>
    <n v="567"/>
    <x v="23"/>
    <s v="HINJEWADI"/>
    <s v="SLK1"/>
    <x v="0"/>
    <x v="9"/>
    <s v="ACE"/>
    <s v="CNG"/>
    <n v="6"/>
    <n v="8"/>
    <x v="1"/>
    <n v="2000"/>
    <n v="55"/>
    <n v="31"/>
    <s v="PUN01 NC Cluster 300"/>
    <m/>
    <d v="1899-12-30T02:25:00"/>
    <d v="1899-12-30T03:27:57"/>
    <n v="48691"/>
    <d v="1899-12-30T07:14:19"/>
    <d v="1899-12-30T07:14:25"/>
    <n v="48750"/>
    <n v="23"/>
    <n v="30"/>
    <n v="-7"/>
    <n v="59"/>
    <n v="59"/>
    <n v="0"/>
    <n v="0"/>
    <n v="0"/>
    <x v="0"/>
    <n v="0"/>
    <n v="0"/>
    <n v="0"/>
    <n v="0"/>
    <n v="1064.52"/>
    <n v="0"/>
    <n v="1064.52"/>
    <m/>
    <m/>
  </r>
  <r>
    <n v="568"/>
    <x v="23"/>
    <s v="HINJEWADI"/>
    <s v="SLK1"/>
    <x v="0"/>
    <x v="25"/>
    <s v="ACE"/>
    <s v="CNG"/>
    <n v="4"/>
    <n v="8"/>
    <x v="0"/>
    <n v="1000"/>
    <n v="55"/>
    <n v="31"/>
    <s v="PUN01 NC Cluster 199"/>
    <m/>
    <d v="1899-12-30T02:05:00"/>
    <d v="1899-12-30T03:21:24"/>
    <n v="118947"/>
    <d v="1899-12-30T07:23:42"/>
    <d v="1899-12-30T07:23:52"/>
    <n v="118982"/>
    <n v="10"/>
    <n v="10"/>
    <n v="0"/>
    <n v="35"/>
    <n v="35"/>
    <n v="0"/>
    <n v="0"/>
    <n v="0"/>
    <x v="0"/>
    <n v="0"/>
    <n v="0"/>
    <n v="0"/>
    <n v="0"/>
    <n v="806.45"/>
    <n v="0"/>
    <n v="806.45"/>
    <m/>
    <m/>
  </r>
  <r>
    <n v="569"/>
    <x v="23"/>
    <s v="HINJEWADI"/>
    <s v="SLK1"/>
    <x v="0"/>
    <x v="10"/>
    <s v="ACE"/>
    <s v="CNG"/>
    <n v="4"/>
    <n v="8"/>
    <x v="0"/>
    <n v="1000"/>
    <n v="55"/>
    <n v="31"/>
    <s v="PUN01 NC Cluster 15"/>
    <m/>
    <d v="1899-12-30T02:49:00"/>
    <d v="1899-12-30T03:18:47"/>
    <n v="76288"/>
    <d v="1899-12-30T07:38:31"/>
    <d v="1899-12-30T07:38:38"/>
    <n v="76305"/>
    <n v="32"/>
    <n v="37"/>
    <n v="-5"/>
    <n v="17"/>
    <n v="17"/>
    <n v="0"/>
    <n v="0"/>
    <n v="0"/>
    <x v="0"/>
    <n v="0"/>
    <n v="0"/>
    <n v="0"/>
    <n v="0"/>
    <n v="806.45"/>
    <n v="0"/>
    <n v="806.45"/>
    <m/>
    <m/>
  </r>
  <r>
    <n v="570"/>
    <x v="23"/>
    <s v="HINJEWADI"/>
    <s v="SLK1"/>
    <x v="0"/>
    <x v="13"/>
    <s v="ACE"/>
    <s v="CNG"/>
    <n v="4"/>
    <n v="8"/>
    <x v="0"/>
    <n v="1000"/>
    <n v="55"/>
    <n v="31"/>
    <s v="PUN01 NC Cluster 143"/>
    <m/>
    <d v="1899-12-30T02:18:00"/>
    <d v="1899-12-30T03:24:22"/>
    <n v="37562"/>
    <d v="1899-12-30T07:44:16"/>
    <d v="1899-12-30T07:44:41"/>
    <n v="37588"/>
    <n v="51"/>
    <n v="51"/>
    <n v="0"/>
    <n v="26"/>
    <n v="26"/>
    <n v="0"/>
    <n v="0"/>
    <n v="0"/>
    <x v="0"/>
    <n v="0"/>
    <n v="0"/>
    <n v="0"/>
    <n v="0"/>
    <n v="806.45"/>
    <n v="0"/>
    <n v="806.45"/>
    <m/>
    <m/>
  </r>
  <r>
    <n v="571"/>
    <x v="23"/>
    <s v="HINJEWADI"/>
    <s v="SLK1"/>
    <x v="0"/>
    <x v="14"/>
    <s v="ACE"/>
    <s v="CNG"/>
    <n v="6"/>
    <n v="8"/>
    <x v="1"/>
    <n v="2000"/>
    <n v="55"/>
    <n v="31"/>
    <s v="PUN01 NC Cluster 303"/>
    <m/>
    <d v="1899-12-30T01:42:00"/>
    <d v="1899-12-30T03:16:47"/>
    <n v="35029"/>
    <d v="1899-12-30T07:51:56"/>
    <d v="1899-12-30T07:52:03"/>
    <n v="35095"/>
    <n v="22"/>
    <n v="22"/>
    <n v="0"/>
    <n v="66"/>
    <n v="66"/>
    <n v="0"/>
    <n v="0"/>
    <n v="0"/>
    <x v="0"/>
    <n v="0"/>
    <n v="0"/>
    <n v="0"/>
    <n v="0"/>
    <n v="1064.52"/>
    <n v="0"/>
    <n v="1064.52"/>
    <m/>
    <m/>
  </r>
  <r>
    <n v="572"/>
    <x v="23"/>
    <s v="HINJEWADI"/>
    <s v="SLK1"/>
    <x v="0"/>
    <x v="15"/>
    <s v="ACE"/>
    <s v="CNG"/>
    <n v="4"/>
    <n v="8"/>
    <x v="0"/>
    <n v="1000"/>
    <n v="55"/>
    <n v="31"/>
    <s v="PUN01 NC Cluster 40"/>
    <m/>
    <d v="1899-12-30T01:17:00"/>
    <d v="1899-12-30T03:20:32"/>
    <n v="39478"/>
    <d v="1899-12-30T06:54:12"/>
    <d v="1899-12-30T06:54:24"/>
    <n v="39494"/>
    <n v="32"/>
    <n v="43"/>
    <n v="-11"/>
    <n v="16"/>
    <n v="16"/>
    <n v="0"/>
    <n v="0"/>
    <n v="0"/>
    <x v="0"/>
    <n v="0"/>
    <n v="0"/>
    <n v="0"/>
    <n v="0"/>
    <n v="806.45"/>
    <n v="0"/>
    <n v="806.45"/>
    <m/>
    <m/>
  </r>
  <r>
    <n v="573"/>
    <x v="23"/>
    <s v="HINJEWADI"/>
    <s v="SLK1"/>
    <x v="0"/>
    <x v="17"/>
    <s v="ACE"/>
    <s v="CNG"/>
    <n v="4"/>
    <n v="8"/>
    <x v="0"/>
    <n v="1000"/>
    <n v="55"/>
    <n v="31"/>
    <s v="PUN01 NC Cluster 201"/>
    <m/>
    <d v="1899-12-30T01:59:00"/>
    <d v="1899-12-30T03:23:09"/>
    <n v="8310"/>
    <d v="1899-12-30T07:19:41"/>
    <d v="1899-12-30T07:20:02"/>
    <n v="8333"/>
    <n v="22"/>
    <n v="27"/>
    <n v="-5"/>
    <n v="23"/>
    <n v="23"/>
    <n v="0"/>
    <n v="0"/>
    <n v="0"/>
    <x v="0"/>
    <n v="0"/>
    <n v="0"/>
    <n v="0"/>
    <n v="0"/>
    <n v="806.45"/>
    <n v="0"/>
    <n v="806.45"/>
    <m/>
    <m/>
  </r>
  <r>
    <n v="574"/>
    <x v="23"/>
    <s v="HINJEWADI"/>
    <s v="SLK1"/>
    <x v="0"/>
    <x v="18"/>
    <s v="ACE"/>
    <s v="CNG"/>
    <n v="4"/>
    <n v="8"/>
    <x v="0"/>
    <n v="1000"/>
    <n v="55"/>
    <n v="31"/>
    <s v="PUN01 NC Cluster 39"/>
    <m/>
    <d v="1899-12-30T01:16:00"/>
    <d v="1899-12-30T03:21:07"/>
    <n v="6049"/>
    <d v="1899-12-30T06:58:05"/>
    <d v="1899-12-30T06:58:18"/>
    <n v="6066"/>
    <n v="40"/>
    <n v="36"/>
    <n v="4"/>
    <n v="17"/>
    <n v="17"/>
    <n v="0"/>
    <n v="0"/>
    <n v="0"/>
    <x v="0"/>
    <n v="0"/>
    <n v="0"/>
    <n v="0"/>
    <n v="0"/>
    <n v="806.45"/>
    <n v="0"/>
    <n v="806.45"/>
    <m/>
    <m/>
  </r>
  <r>
    <n v="575"/>
    <x v="23"/>
    <s v="HINJEWADI"/>
    <s v="SLK1"/>
    <x v="0"/>
    <x v="26"/>
    <s v="ACE"/>
    <s v="CNG"/>
    <n v="4"/>
    <n v="8"/>
    <x v="0"/>
    <n v="1000"/>
    <n v="55"/>
    <n v="31"/>
    <s v="PUN01 NC Cluster 8"/>
    <m/>
    <d v="1899-12-30T02:45:00"/>
    <d v="1899-12-30T03:19:07"/>
    <n v="42104"/>
    <d v="1899-12-30T06:57:40"/>
    <d v="1899-12-30T06:57:47"/>
    <n v="42118"/>
    <n v="35"/>
    <n v="54"/>
    <n v="-19"/>
    <n v="14"/>
    <n v="14"/>
    <n v="0"/>
    <n v="0"/>
    <n v="0"/>
    <x v="0"/>
    <n v="0"/>
    <n v="0"/>
    <n v="0"/>
    <n v="0"/>
    <n v="806.45"/>
    <n v="0"/>
    <n v="806.45"/>
    <m/>
    <m/>
  </r>
  <r>
    <n v="576"/>
    <x v="23"/>
    <s v="HINJEWADI"/>
    <s v="SLK1"/>
    <x v="0"/>
    <x v="20"/>
    <s v="BOLERO"/>
    <s v="DIESEL"/>
    <n v="4"/>
    <n v="10"/>
    <x v="2"/>
    <n v="1000"/>
    <n v="55"/>
    <n v="31"/>
    <s v="PUN01 NC Cluster 61"/>
    <m/>
    <d v="1899-12-30T02:05:00"/>
    <d v="1899-12-30T03:17:51"/>
    <n v="39741"/>
    <d v="1899-12-30T06:57:08"/>
    <d v="1899-12-30T06:57:18"/>
    <n v="39773"/>
    <n v="46"/>
    <n v="47"/>
    <n v="-1"/>
    <n v="32"/>
    <n v="32"/>
    <n v="0"/>
    <n v="0"/>
    <n v="0"/>
    <x v="0"/>
    <n v="0"/>
    <n v="0"/>
    <n v="0"/>
    <n v="0"/>
    <n v="935.48"/>
    <n v="0"/>
    <n v="935.48"/>
    <m/>
    <m/>
  </r>
  <r>
    <n v="577"/>
    <x v="23"/>
    <s v="HINJEWADI"/>
    <s v="SLK1"/>
    <x v="0"/>
    <x v="21"/>
    <s v="BOLERO"/>
    <s v="DIESEL"/>
    <n v="4"/>
    <n v="10"/>
    <x v="2"/>
    <n v="1000"/>
    <n v="55"/>
    <n v="31"/>
    <s v="PUN01 NC Cluster 110"/>
    <m/>
    <d v="1899-12-30T02:31:00"/>
    <d v="1899-12-30T03:17:57"/>
    <n v="3697"/>
    <d v="1899-12-30T07:29:00"/>
    <d v="1899-12-30T07:29:08"/>
    <n v="3726"/>
    <n v="45"/>
    <n v="45"/>
    <n v="0"/>
    <n v="29"/>
    <n v="29"/>
    <n v="0"/>
    <n v="0"/>
    <n v="0"/>
    <x v="0"/>
    <n v="0"/>
    <n v="0"/>
    <n v="0"/>
    <n v="0"/>
    <n v="935.48"/>
    <n v="0"/>
    <n v="935.48"/>
    <m/>
    <m/>
  </r>
  <r>
    <n v="578"/>
    <x v="23"/>
    <s v="HINJEWADI"/>
    <s v="SLK1"/>
    <x v="0"/>
    <x v="40"/>
    <s v="BOLERO"/>
    <s v="DIESEL"/>
    <n v="6"/>
    <n v="10"/>
    <x v="3"/>
    <n v="2000"/>
    <n v="55"/>
    <n v="31"/>
    <s v="Back Up"/>
    <m/>
    <m/>
    <m/>
    <n v="162153"/>
    <m/>
    <m/>
    <n v="162153"/>
    <m/>
    <m/>
    <n v="0"/>
    <n v="0"/>
    <n v="0"/>
    <n v="0"/>
    <n v="0"/>
    <n v="0"/>
    <x v="0"/>
    <n v="0"/>
    <n v="0"/>
    <n v="0"/>
    <n v="0"/>
    <n v="1225.81"/>
    <n v="0"/>
    <n v="1225.81"/>
    <m/>
    <m/>
  </r>
  <r>
    <n v="579"/>
    <x v="23"/>
    <s v="HINJEWADI"/>
    <s v="SLK1"/>
    <x v="0"/>
    <x v="22"/>
    <s v="BOLERO"/>
    <s v="DIESEL"/>
    <n v="4"/>
    <n v="10"/>
    <x v="2"/>
    <n v="1000"/>
    <n v="55"/>
    <n v="31"/>
    <s v="PUN01 NC Cluster 292"/>
    <m/>
    <d v="1899-12-30T02:13:00"/>
    <d v="1899-12-30T03:19:29"/>
    <n v="139725"/>
    <d v="1899-12-30T09:05:12"/>
    <d v="1899-12-30T09:11:22"/>
    <n v="139753"/>
    <n v="34"/>
    <n v="40"/>
    <n v="-6"/>
    <n v="28"/>
    <n v="28"/>
    <n v="0"/>
    <n v="0"/>
    <n v="2"/>
    <x v="2"/>
    <n v="0"/>
    <n v="0"/>
    <n v="0"/>
    <n v="0"/>
    <n v="1235.48"/>
    <n v="0"/>
    <n v="1235.48"/>
    <m/>
    <m/>
  </r>
  <r>
    <n v="580"/>
    <x v="24"/>
    <s v="HINJEWADI"/>
    <s v="SLK1"/>
    <x v="0"/>
    <x v="0"/>
    <s v="ACE"/>
    <s v="CNG"/>
    <n v="4"/>
    <n v="8"/>
    <x v="0"/>
    <n v="1000"/>
    <n v="55"/>
    <n v="31"/>
    <s v="PUN01 NC Cluster 1"/>
    <m/>
    <d v="1899-12-30T01:06:00"/>
    <d v="1899-12-30T03:23:46"/>
    <n v="58111"/>
    <d v="1899-12-30T06:59:24"/>
    <d v="1899-12-30T06:59:33"/>
    <n v="58117"/>
    <n v="29"/>
    <n v="29"/>
    <n v="0"/>
    <n v="6"/>
    <n v="6"/>
    <n v="0"/>
    <n v="0"/>
    <n v="0"/>
    <x v="0"/>
    <n v="0"/>
    <n v="0"/>
    <n v="0"/>
    <n v="0"/>
    <n v="806.45"/>
    <n v="0"/>
    <n v="806.45"/>
    <m/>
    <m/>
  </r>
  <r>
    <n v="581"/>
    <x v="24"/>
    <s v="HINJEWADI"/>
    <s v="SLK1"/>
    <x v="0"/>
    <x v="29"/>
    <s v="ACE"/>
    <s v="CNG"/>
    <n v="4"/>
    <n v="8"/>
    <x v="0"/>
    <n v="1000"/>
    <n v="55"/>
    <n v="31"/>
    <s v="PUN01 NC Cluster 125"/>
    <m/>
    <d v="1899-12-30T01:02:00"/>
    <d v="1899-12-30T03:25:35"/>
    <n v="110828"/>
    <d v="1899-12-30T07:33:36"/>
    <d v="1899-12-30T07:33:45"/>
    <n v="110853"/>
    <n v="25"/>
    <n v="40"/>
    <n v="-15"/>
    <n v="25"/>
    <n v="25"/>
    <n v="0"/>
    <n v="0"/>
    <n v="0"/>
    <x v="0"/>
    <n v="0"/>
    <n v="0"/>
    <n v="0"/>
    <n v="0"/>
    <n v="806.45"/>
    <n v="0"/>
    <n v="806.45"/>
    <m/>
    <m/>
  </r>
  <r>
    <n v="582"/>
    <x v="24"/>
    <s v="HINJEWADI"/>
    <s v="SLK1"/>
    <x v="0"/>
    <x v="2"/>
    <s v="ACE"/>
    <s v="CNG"/>
    <n v="6"/>
    <n v="8"/>
    <x v="1"/>
    <n v="2000"/>
    <n v="55"/>
    <n v="31"/>
    <s v="PUN01 NC Cluster 229"/>
    <m/>
    <d v="1899-12-30T01:00:00"/>
    <d v="1899-12-30T03:28:22"/>
    <n v="101688"/>
    <d v="1899-12-30T07:36:54"/>
    <d v="1899-12-30T07:37:01"/>
    <n v="101739"/>
    <n v="34"/>
    <n v="34"/>
    <n v="0"/>
    <n v="51"/>
    <n v="51"/>
    <n v="0"/>
    <n v="0"/>
    <n v="0"/>
    <x v="0"/>
    <n v="0"/>
    <n v="0"/>
    <n v="0"/>
    <n v="0"/>
    <n v="1064.52"/>
    <n v="0"/>
    <n v="1064.52"/>
    <m/>
    <m/>
  </r>
  <r>
    <n v="583"/>
    <x v="24"/>
    <s v="HINJEWADI"/>
    <s v="SLK1"/>
    <x v="0"/>
    <x v="3"/>
    <s v="ACE"/>
    <s v="CNG"/>
    <n v="4"/>
    <n v="8"/>
    <x v="0"/>
    <n v="1000"/>
    <n v="55"/>
    <n v="31"/>
    <s v="PUN01 NC Cluster 1"/>
    <m/>
    <d v="1899-12-30T02:55:00"/>
    <d v="1899-12-30T08:00:21"/>
    <n v="84376"/>
    <d v="1899-12-30T08:00:30"/>
    <d v="1899-12-30T08:01:29"/>
    <n v="84376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584"/>
    <x v="24"/>
    <s v="HINJEWADI"/>
    <s v="SLK1"/>
    <x v="0"/>
    <x v="30"/>
    <s v="ACE"/>
    <s v="CNG"/>
    <n v="4"/>
    <n v="8"/>
    <x v="0"/>
    <n v="1000"/>
    <n v="55"/>
    <n v="31"/>
    <s v="PUN01 NC Cluster 62"/>
    <m/>
    <d v="1899-12-30T01:03:00"/>
    <d v="1899-12-30T03:13:22"/>
    <n v="39272"/>
    <d v="1899-12-30T07:34:24"/>
    <d v="1899-12-30T07:34:36"/>
    <n v="39360"/>
    <n v="34"/>
    <n v="22"/>
    <n v="12"/>
    <n v="88"/>
    <n v="88"/>
    <n v="0"/>
    <n v="0"/>
    <n v="0"/>
    <x v="0"/>
    <n v="0"/>
    <n v="0"/>
    <n v="0"/>
    <n v="0"/>
    <n v="806.45"/>
    <n v="0"/>
    <n v="806.45"/>
    <m/>
    <m/>
  </r>
  <r>
    <n v="585"/>
    <x v="24"/>
    <s v="HINJEWADI"/>
    <s v="SLK1"/>
    <x v="0"/>
    <x v="4"/>
    <s v="ACE"/>
    <s v="CNG"/>
    <n v="4"/>
    <n v="8"/>
    <x v="0"/>
    <n v="1000"/>
    <n v="55"/>
    <n v="31"/>
    <s v="PUN01 NC Cluster 2"/>
    <m/>
    <d v="1899-12-30T02:51:00"/>
    <d v="1899-12-30T03:40:51"/>
    <n v="13035"/>
    <d v="1899-12-30T09:25:01"/>
    <d v="1899-12-30T09:25:10"/>
    <n v="13044"/>
    <n v="36"/>
    <n v="37"/>
    <n v="-1"/>
    <n v="9"/>
    <n v="9"/>
    <n v="0"/>
    <n v="0"/>
    <n v="2"/>
    <x v="2"/>
    <n v="0"/>
    <n v="0"/>
    <n v="0"/>
    <n v="0"/>
    <n v="1106.45"/>
    <n v="0"/>
    <n v="1106.45"/>
    <m/>
    <m/>
  </r>
  <r>
    <n v="586"/>
    <x v="24"/>
    <s v="HINJEWADI"/>
    <s v="SLK1"/>
    <x v="0"/>
    <x v="5"/>
    <s v="ACE"/>
    <s v="CNG"/>
    <n v="4"/>
    <n v="8"/>
    <x v="0"/>
    <n v="1000"/>
    <n v="55"/>
    <n v="31"/>
    <s v="PUN01 NC Cluster 87"/>
    <m/>
    <d v="1899-12-30T02:05:00"/>
    <d v="1899-12-30T03:22:04"/>
    <n v="145553"/>
    <d v="1899-12-30T07:23:42"/>
    <d v="1899-12-30T07:23:52"/>
    <n v="145570"/>
    <n v="25"/>
    <n v="25"/>
    <n v="0"/>
    <n v="17"/>
    <n v="17"/>
    <n v="0"/>
    <n v="0"/>
    <n v="0"/>
    <x v="0"/>
    <n v="0"/>
    <n v="0"/>
    <n v="0"/>
    <n v="0"/>
    <n v="806.45"/>
    <n v="0"/>
    <n v="806.45"/>
    <m/>
    <m/>
  </r>
  <r>
    <n v="587"/>
    <x v="24"/>
    <s v="HINJEWADI"/>
    <s v="SLK1"/>
    <x v="0"/>
    <x v="33"/>
    <s v="ACE"/>
    <s v="CNG"/>
    <n v="4"/>
    <n v="8"/>
    <x v="0"/>
    <n v="1000"/>
    <n v="55"/>
    <n v="31"/>
    <s v="PUN01 NC Cluster 13"/>
    <m/>
    <d v="1899-12-30T01:02:00"/>
    <d v="1899-12-30T03:28:47"/>
    <n v="166041"/>
    <d v="1899-12-30T08:02:08"/>
    <d v="1899-12-30T08:02:16"/>
    <n v="166062"/>
    <n v="32"/>
    <n v="32"/>
    <n v="0"/>
    <n v="21"/>
    <n v="21"/>
    <n v="0"/>
    <n v="0"/>
    <n v="1"/>
    <x v="1"/>
    <n v="0"/>
    <n v="0"/>
    <n v="0"/>
    <n v="0"/>
    <n v="956.45"/>
    <n v="0"/>
    <n v="956.45"/>
    <m/>
    <m/>
  </r>
  <r>
    <n v="588"/>
    <x v="24"/>
    <s v="HINJEWADI"/>
    <s v="SLK1"/>
    <x v="0"/>
    <x v="36"/>
    <s v="ACE"/>
    <s v="CNG"/>
    <n v="4"/>
    <n v="8"/>
    <x v="0"/>
    <n v="1000"/>
    <n v="55"/>
    <n v="31"/>
    <s v="PUN01 NC Cluster 12"/>
    <m/>
    <d v="1899-12-30T01:02:00"/>
    <d v="1899-12-30T03:30:18"/>
    <n v="116698"/>
    <d v="1899-12-30T08:00:53"/>
    <d v="1899-12-30T08:01:00"/>
    <n v="116725"/>
    <n v="29"/>
    <n v="53"/>
    <n v="-24"/>
    <n v="27"/>
    <n v="27"/>
    <n v="0"/>
    <n v="0"/>
    <n v="0"/>
    <x v="0"/>
    <n v="0"/>
    <n v="0"/>
    <n v="0"/>
    <n v="0"/>
    <n v="806.45"/>
    <n v="0"/>
    <n v="806.45"/>
    <m/>
    <m/>
  </r>
  <r>
    <n v="589"/>
    <x v="24"/>
    <s v="HINJEWADI"/>
    <s v="SLK1"/>
    <x v="0"/>
    <x v="6"/>
    <s v="ACE"/>
    <s v="CNG"/>
    <n v="4"/>
    <n v="8"/>
    <x v="0"/>
    <n v="1000"/>
    <n v="55"/>
    <n v="31"/>
    <s v="PUN01 NC Cluster 10"/>
    <m/>
    <d v="1899-12-30T01:03:00"/>
    <d v="1899-12-30T03:28:59"/>
    <n v="145951"/>
    <d v="1899-12-30T08:01:13"/>
    <d v="1899-12-30T08:01:21"/>
    <n v="145978"/>
    <n v="33"/>
    <n v="33"/>
    <n v="0"/>
    <n v="27"/>
    <n v="27"/>
    <n v="0"/>
    <n v="0"/>
    <n v="1"/>
    <x v="1"/>
    <n v="0"/>
    <n v="0"/>
    <n v="0"/>
    <n v="0"/>
    <n v="956.45"/>
    <n v="0"/>
    <n v="956.45"/>
    <m/>
    <m/>
  </r>
  <r>
    <n v="590"/>
    <x v="24"/>
    <s v="HINJEWADI"/>
    <s v="SLK1"/>
    <x v="0"/>
    <x v="7"/>
    <s v="ACE"/>
    <s v="CNG"/>
    <n v="4"/>
    <n v="8"/>
    <x v="0"/>
    <n v="1000"/>
    <n v="55"/>
    <n v="31"/>
    <s v="PUN01 NC Cluster 35"/>
    <m/>
    <d v="1899-12-30T02:51:00"/>
    <d v="1899-12-30T03:31:20"/>
    <n v="160083"/>
    <d v="1899-12-30T08:10:02"/>
    <d v="1899-12-30T08:10:16"/>
    <n v="160104"/>
    <n v="23"/>
    <n v="0"/>
    <n v="23"/>
    <n v="21"/>
    <n v="21"/>
    <n v="0"/>
    <n v="0"/>
    <n v="1"/>
    <x v="1"/>
    <n v="0"/>
    <n v="0"/>
    <n v="0"/>
    <n v="0"/>
    <n v="956.45"/>
    <n v="0"/>
    <n v="956.45"/>
    <m/>
    <m/>
  </r>
  <r>
    <n v="591"/>
    <x v="24"/>
    <s v="HINJEWADI"/>
    <s v="SLK1"/>
    <x v="0"/>
    <x v="23"/>
    <s v="ACE"/>
    <s v="CNG"/>
    <n v="4"/>
    <n v="8"/>
    <x v="0"/>
    <n v="1000"/>
    <n v="55"/>
    <n v="31"/>
    <s v="PUN01 NC Cluster 208"/>
    <m/>
    <d v="1899-12-30T01:11:00"/>
    <d v="1899-12-30T03:15:33"/>
    <n v="79302"/>
    <d v="1899-12-30T07:19:30"/>
    <d v="1899-12-30T07:19:39"/>
    <n v="79337"/>
    <n v="34"/>
    <n v="34"/>
    <n v="0"/>
    <n v="35"/>
    <n v="35"/>
    <n v="0"/>
    <n v="0"/>
    <n v="0"/>
    <x v="0"/>
    <n v="0"/>
    <n v="0"/>
    <n v="0"/>
    <n v="0"/>
    <n v="806.45"/>
    <n v="0"/>
    <n v="806.45"/>
    <m/>
    <m/>
  </r>
  <r>
    <n v="592"/>
    <x v="24"/>
    <s v="HINJEWADI"/>
    <s v="SLK1"/>
    <x v="0"/>
    <x v="9"/>
    <s v="ACE"/>
    <s v="CNG"/>
    <n v="6"/>
    <n v="8"/>
    <x v="1"/>
    <n v="2000"/>
    <n v="55"/>
    <n v="31"/>
    <s v="PUN01 NC Cluster 300"/>
    <m/>
    <d v="1899-12-30T01:01:00"/>
    <d v="1899-12-30T03:28:35"/>
    <n v="48803"/>
    <d v="1899-12-30T07:55:47"/>
    <d v="1899-12-30T07:58:05"/>
    <n v="48862"/>
    <n v="20"/>
    <n v="58"/>
    <n v="-38"/>
    <n v="59"/>
    <n v="59"/>
    <n v="0"/>
    <n v="0"/>
    <n v="0"/>
    <x v="0"/>
    <n v="0"/>
    <n v="0"/>
    <n v="0"/>
    <n v="0"/>
    <n v="1064.52"/>
    <n v="0"/>
    <n v="1064.52"/>
    <m/>
    <m/>
  </r>
  <r>
    <n v="593"/>
    <x v="24"/>
    <s v="HINJEWADI"/>
    <s v="SLK1"/>
    <x v="0"/>
    <x v="25"/>
    <s v="ACE"/>
    <s v="CNG"/>
    <n v="4"/>
    <n v="8"/>
    <x v="0"/>
    <n v="1000"/>
    <n v="55"/>
    <n v="31"/>
    <s v="PUN01 NC Cluster 199"/>
    <m/>
    <d v="1899-12-30T02:06:00"/>
    <d v="1899-12-30T03:21:21"/>
    <n v="119014"/>
    <d v="1899-12-30T07:28:25"/>
    <d v="1899-12-30T07:28:43"/>
    <n v="119037"/>
    <n v="12"/>
    <n v="12"/>
    <n v="0"/>
    <n v="23"/>
    <n v="23"/>
    <n v="0"/>
    <n v="0"/>
    <n v="0"/>
    <x v="0"/>
    <n v="0"/>
    <n v="0"/>
    <n v="0"/>
    <n v="0"/>
    <n v="806.45"/>
    <n v="0"/>
    <n v="806.45"/>
    <m/>
    <m/>
  </r>
  <r>
    <n v="594"/>
    <x v="24"/>
    <s v="HINJEWADI"/>
    <s v="SLK1"/>
    <x v="0"/>
    <x v="37"/>
    <s v="ACE"/>
    <s v="CNG"/>
    <n v="4"/>
    <n v="8"/>
    <x v="0"/>
    <n v="1000"/>
    <n v="55"/>
    <n v="31"/>
    <s v="PUN01 NC Cluster 93"/>
    <m/>
    <d v="1899-12-30T01:20:00"/>
    <d v="1899-12-30T03:29:28"/>
    <n v="66592"/>
    <d v="1899-12-30T09:22:39"/>
    <d v="1899-12-30T09:23:04"/>
    <n v="66601"/>
    <n v="34"/>
    <n v="24"/>
    <n v="10"/>
    <n v="9"/>
    <n v="9"/>
    <n v="0"/>
    <n v="0"/>
    <n v="2"/>
    <x v="2"/>
    <n v="0"/>
    <n v="0"/>
    <n v="0"/>
    <n v="0"/>
    <n v="1106.45"/>
    <n v="0"/>
    <n v="1106.45"/>
    <m/>
    <m/>
  </r>
  <r>
    <n v="595"/>
    <x v="24"/>
    <s v="HINJEWADI"/>
    <s v="SLK1"/>
    <x v="0"/>
    <x v="12"/>
    <s v="ACE"/>
    <s v="CNG"/>
    <n v="4"/>
    <n v="8"/>
    <x v="0"/>
    <n v="1000"/>
    <n v="55"/>
    <n v="31"/>
    <s v="PUN01 NC Cluster 36"/>
    <m/>
    <d v="1899-12-30T01:06:00"/>
    <d v="1899-12-30T03:20:41"/>
    <n v="85635"/>
    <d v="1899-12-30T07:20:37"/>
    <d v="1899-12-30T07:20:45"/>
    <n v="85652"/>
    <n v="22"/>
    <n v="22"/>
    <n v="0"/>
    <n v="17"/>
    <n v="17"/>
    <n v="0"/>
    <n v="0"/>
    <n v="0"/>
    <x v="0"/>
    <n v="0"/>
    <n v="0"/>
    <n v="0"/>
    <n v="0"/>
    <n v="806.45"/>
    <n v="0"/>
    <n v="806.45"/>
    <m/>
    <m/>
  </r>
  <r>
    <n v="596"/>
    <x v="24"/>
    <s v="HINJEWADI"/>
    <s v="SLK1"/>
    <x v="0"/>
    <x v="13"/>
    <s v="ACE"/>
    <s v="CNG"/>
    <n v="4"/>
    <n v="8"/>
    <x v="0"/>
    <n v="1000"/>
    <n v="55"/>
    <n v="31"/>
    <s v="PUN01 NC Cluster 128"/>
    <m/>
    <d v="1899-12-30T02:12:00"/>
    <d v="1899-12-30T03:26:37"/>
    <n v="37650"/>
    <d v="1899-12-30T09:22:45"/>
    <d v="1899-12-30T09:23:51"/>
    <n v="37680"/>
    <n v="32"/>
    <n v="31"/>
    <n v="1"/>
    <n v="30"/>
    <n v="30"/>
    <n v="0"/>
    <n v="0"/>
    <n v="2"/>
    <x v="2"/>
    <n v="0"/>
    <n v="0"/>
    <n v="0"/>
    <n v="0"/>
    <n v="1106.45"/>
    <n v="0"/>
    <n v="1106.45"/>
    <m/>
    <m/>
  </r>
  <r>
    <n v="597"/>
    <x v="24"/>
    <s v="HINJEWADI"/>
    <s v="SLK1"/>
    <x v="0"/>
    <x v="14"/>
    <s v="ACE"/>
    <s v="CNG"/>
    <n v="6"/>
    <n v="8"/>
    <x v="1"/>
    <n v="2000"/>
    <n v="55"/>
    <n v="31"/>
    <s v="PUN01 NC Cluster 303"/>
    <m/>
    <d v="1899-12-30T01:57:00"/>
    <d v="1899-12-30T03:30:34"/>
    <n v="35158"/>
    <d v="1899-12-30T08:36:30"/>
    <d v="1899-12-30T08:37:33"/>
    <n v="35226"/>
    <n v="25"/>
    <n v="23"/>
    <n v="2"/>
    <n v="68"/>
    <n v="68"/>
    <n v="0"/>
    <n v="0"/>
    <n v="0"/>
    <x v="0"/>
    <n v="0"/>
    <n v="0"/>
    <n v="0"/>
    <n v="0"/>
    <n v="1064.52"/>
    <n v="0"/>
    <n v="1064.52"/>
    <m/>
    <m/>
  </r>
  <r>
    <n v="598"/>
    <x v="24"/>
    <s v="HINJEWADI"/>
    <s v="SLK1"/>
    <x v="0"/>
    <x v="15"/>
    <s v="ACE"/>
    <s v="CNG"/>
    <n v="4"/>
    <n v="8"/>
    <x v="0"/>
    <n v="1000"/>
    <n v="55"/>
    <n v="31"/>
    <s v="PUN01 NC Cluster 208"/>
    <m/>
    <d v="1899-12-30T02:54:00"/>
    <d v="1899-12-30T03:29:26"/>
    <n v="39611"/>
    <d v="1899-12-30T07:21:31"/>
    <d v="1899-12-30T07:21:44"/>
    <n v="39635"/>
    <n v="22"/>
    <n v="0"/>
    <n v="22"/>
    <n v="24"/>
    <n v="24"/>
    <n v="0"/>
    <n v="0"/>
    <n v="0"/>
    <x v="0"/>
    <n v="0"/>
    <n v="0"/>
    <n v="0"/>
    <n v="0"/>
    <n v="806.45"/>
    <n v="0"/>
    <n v="806.45"/>
    <m/>
    <m/>
  </r>
  <r>
    <n v="599"/>
    <x v="24"/>
    <s v="HINJEWADI"/>
    <s v="SLK1"/>
    <x v="0"/>
    <x v="17"/>
    <s v="ACE"/>
    <s v="CNG"/>
    <n v="4"/>
    <n v="8"/>
    <x v="0"/>
    <n v="1000"/>
    <n v="55"/>
    <n v="31"/>
    <s v="PUN01 NC Cluster 201"/>
    <m/>
    <d v="1899-12-30T01:08:00"/>
    <d v="1899-12-30T03:20:23"/>
    <n v="8372"/>
    <d v="1899-12-30T08:03:34"/>
    <d v="1899-12-30T08:03:40"/>
    <n v="8406"/>
    <n v="27"/>
    <n v="27"/>
    <n v="0"/>
    <n v="34"/>
    <n v="34"/>
    <n v="0"/>
    <n v="0"/>
    <n v="1"/>
    <x v="1"/>
    <n v="0"/>
    <n v="0"/>
    <n v="0"/>
    <n v="0"/>
    <n v="956.45"/>
    <n v="0"/>
    <n v="956.45"/>
    <m/>
    <m/>
  </r>
  <r>
    <n v="600"/>
    <x v="24"/>
    <s v="HINJEWADI"/>
    <s v="SLK1"/>
    <x v="0"/>
    <x v="18"/>
    <s v="ACE"/>
    <s v="CNG"/>
    <n v="4"/>
    <n v="8"/>
    <x v="0"/>
    <n v="1000"/>
    <n v="55"/>
    <n v="31"/>
    <s v="PUN01 NC Cluster 38"/>
    <m/>
    <d v="1899-12-30T01:07:00"/>
    <d v="1899-12-30T03:21:36"/>
    <n v="6134"/>
    <d v="1899-12-30T07:19:05"/>
    <d v="1899-12-30T07:19:14"/>
    <n v="6147"/>
    <n v="30"/>
    <n v="35"/>
    <n v="-5"/>
    <n v="13"/>
    <n v="13"/>
    <n v="0"/>
    <n v="0"/>
    <n v="0"/>
    <x v="0"/>
    <n v="0"/>
    <n v="0"/>
    <n v="0"/>
    <n v="0"/>
    <n v="806.45"/>
    <n v="0"/>
    <n v="806.45"/>
    <m/>
    <m/>
  </r>
  <r>
    <n v="601"/>
    <x v="24"/>
    <s v="HINJEWADI"/>
    <s v="SLK1"/>
    <x v="0"/>
    <x v="26"/>
    <s v="ACE"/>
    <s v="CNG"/>
    <n v="4"/>
    <n v="8"/>
    <x v="0"/>
    <n v="1000"/>
    <n v="55"/>
    <n v="31"/>
    <s v="PUN01 NC Cluster 37"/>
    <m/>
    <d v="1899-12-30T02:40:00"/>
    <d v="1899-12-30T03:26:16"/>
    <n v="42232"/>
    <d v="1899-12-30T07:15:51"/>
    <d v="1899-12-30T07:16:24"/>
    <n v="42245"/>
    <n v="10"/>
    <n v="27"/>
    <n v="-17"/>
    <n v="13"/>
    <n v="13"/>
    <n v="0"/>
    <n v="0"/>
    <n v="0"/>
    <x v="0"/>
    <n v="0"/>
    <n v="0"/>
    <n v="0"/>
    <n v="0"/>
    <n v="806.45"/>
    <n v="0"/>
    <n v="806.45"/>
    <m/>
    <m/>
  </r>
  <r>
    <n v="602"/>
    <x v="24"/>
    <s v="HINJEWADI"/>
    <s v="SLK1"/>
    <x v="0"/>
    <x v="41"/>
    <s v="BOLERO"/>
    <s v="DIESEL"/>
    <n v="4"/>
    <n v="10"/>
    <x v="2"/>
    <n v="1000"/>
    <n v="55"/>
    <n v="31"/>
    <s v="PUN01 NC Cluster 1"/>
    <m/>
    <d v="1899-12-30T02:57:00"/>
    <d v="1899-12-30T07:59:49"/>
    <n v="124"/>
    <d v="1899-12-30T08:00:00"/>
    <d v="1899-12-30T08:00:06"/>
    <n v="124"/>
    <n v="0"/>
    <n v="0"/>
    <n v="0"/>
    <n v="0"/>
    <n v="0"/>
    <n v="0"/>
    <n v="0"/>
    <n v="0"/>
    <x v="0"/>
    <n v="0"/>
    <n v="0"/>
    <n v="0"/>
    <n v="0"/>
    <n v="935.48"/>
    <n v="0"/>
    <n v="935.48"/>
    <m/>
    <m/>
  </r>
  <r>
    <n v="603"/>
    <x v="24"/>
    <s v="HINJEWADI"/>
    <s v="SLK1"/>
    <x v="0"/>
    <x v="19"/>
    <s v="BOLERO"/>
    <s v="DIESEL"/>
    <n v="4"/>
    <n v="10"/>
    <x v="2"/>
    <n v="1000"/>
    <n v="55"/>
    <n v="31"/>
    <s v="PUN01 NC Cluster 72"/>
    <m/>
    <d v="1899-12-30T02:40:00"/>
    <d v="1899-12-30T03:26:00"/>
    <n v="33213"/>
    <d v="1899-12-30T08:03:03"/>
    <d v="1899-12-30T08:03:14"/>
    <n v="33230"/>
    <n v="35"/>
    <n v="36"/>
    <n v="-1"/>
    <n v="17"/>
    <n v="17"/>
    <n v="0"/>
    <n v="0"/>
    <n v="1"/>
    <x v="1"/>
    <n v="0"/>
    <n v="0"/>
    <n v="0"/>
    <n v="0"/>
    <n v="1085.48"/>
    <n v="0"/>
    <n v="1085.48"/>
    <m/>
    <m/>
  </r>
  <r>
    <n v="604"/>
    <x v="24"/>
    <s v="HINJEWADI"/>
    <s v="SLK1"/>
    <x v="0"/>
    <x v="20"/>
    <s v="BOLERO"/>
    <s v="DIESEL"/>
    <n v="4"/>
    <n v="10"/>
    <x v="2"/>
    <n v="1000"/>
    <n v="55"/>
    <n v="31"/>
    <s v="PUN01 NC Cluster 114"/>
    <m/>
    <d v="1899-12-30T01:50:00"/>
    <d v="1899-12-30T03:14:27"/>
    <n v="39843"/>
    <d v="1899-12-30T07:37:35"/>
    <d v="1899-12-30T07:37:42"/>
    <n v="39879"/>
    <n v="50"/>
    <n v="50"/>
    <n v="0"/>
    <n v="36"/>
    <n v="36"/>
    <n v="0"/>
    <n v="0"/>
    <n v="0"/>
    <x v="0"/>
    <n v="0"/>
    <n v="0"/>
    <n v="0"/>
    <n v="0"/>
    <n v="935.48"/>
    <n v="0"/>
    <n v="935.48"/>
    <m/>
    <m/>
  </r>
  <r>
    <n v="605"/>
    <x v="24"/>
    <s v="HINJEWADI"/>
    <s v="SLK1"/>
    <x v="0"/>
    <x v="21"/>
    <s v="BOLERO"/>
    <s v="DIESEL"/>
    <n v="4"/>
    <n v="10"/>
    <x v="2"/>
    <n v="1000"/>
    <n v="55"/>
    <n v="31"/>
    <s v="PUN01 NC Cluster 142"/>
    <m/>
    <d v="1899-12-30T02:25:00"/>
    <d v="1899-12-30T03:23:00"/>
    <n v="3748"/>
    <d v="1899-12-30T06:58:39"/>
    <d v="1899-12-30T06:59:00"/>
    <n v="3775"/>
    <n v="53"/>
    <n v="53"/>
    <n v="0"/>
    <n v="27"/>
    <n v="27"/>
    <n v="0"/>
    <n v="0"/>
    <n v="0"/>
    <x v="0"/>
    <n v="0"/>
    <n v="0"/>
    <n v="0"/>
    <n v="0"/>
    <n v="935.48"/>
    <n v="0"/>
    <n v="935.48"/>
    <m/>
    <m/>
  </r>
  <r>
    <n v="606"/>
    <x v="24"/>
    <s v="HINJEWADI"/>
    <s v="SLK1"/>
    <x v="0"/>
    <x v="22"/>
    <s v="BOLERO"/>
    <s v="DIESEL"/>
    <n v="4"/>
    <n v="10"/>
    <x v="2"/>
    <n v="1000"/>
    <n v="55"/>
    <n v="31"/>
    <s v="PUN01 NC Cluster 135"/>
    <m/>
    <d v="1899-12-30T02:16:00"/>
    <d v="1899-12-30T03:27:12"/>
    <n v="139770"/>
    <d v="1899-12-30T07:38:25"/>
    <d v="1899-12-30T07:38:36"/>
    <n v="139801"/>
    <n v="35"/>
    <n v="77"/>
    <n v="-42"/>
    <n v="31"/>
    <n v="31"/>
    <n v="0"/>
    <n v="0"/>
    <n v="0"/>
    <x v="0"/>
    <n v="0"/>
    <n v="0"/>
    <n v="0"/>
    <n v="0"/>
    <n v="935.48"/>
    <n v="0"/>
    <n v="935.48"/>
    <m/>
    <m/>
  </r>
  <r>
    <n v="607"/>
    <x v="25"/>
    <s v="HINJEWADI"/>
    <s v="SLK1"/>
    <x v="0"/>
    <x v="0"/>
    <s v="ACE"/>
    <s v="CNG"/>
    <n v="4"/>
    <n v="8"/>
    <x v="0"/>
    <n v="1000"/>
    <n v="55"/>
    <n v="31"/>
    <s v="PUN01 NC Cluster 1"/>
    <m/>
    <d v="1899-12-30T01:13:00"/>
    <d v="1899-12-30T03:38:51"/>
    <n v="58297"/>
    <d v="1899-12-30T07:28:03"/>
    <d v="1899-12-30T07:28:38"/>
    <n v="58304"/>
    <n v="34"/>
    <n v="40"/>
    <n v="-6"/>
    <n v="7"/>
    <n v="7"/>
    <n v="0"/>
    <n v="0"/>
    <n v="0"/>
    <x v="0"/>
    <n v="0"/>
    <n v="0"/>
    <n v="0"/>
    <n v="0"/>
    <n v="806.45"/>
    <n v="0"/>
    <n v="806.45"/>
    <m/>
    <m/>
  </r>
  <r>
    <n v="608"/>
    <x v="25"/>
    <s v="HINJEWADI"/>
    <s v="SLK1"/>
    <x v="0"/>
    <x v="2"/>
    <s v="ACE"/>
    <s v="CNG"/>
    <n v="6"/>
    <n v="8"/>
    <x v="1"/>
    <n v="2000"/>
    <n v="55"/>
    <n v="31"/>
    <s v="PUN01 NC Cluster 229"/>
    <m/>
    <d v="1899-12-30T01:09:00"/>
    <d v="1899-12-30T03:48:39"/>
    <n v="101837"/>
    <d v="1899-12-30T07:41:38"/>
    <d v="1899-12-30T07:42:05"/>
    <n v="101881"/>
    <n v="29"/>
    <n v="34"/>
    <n v="-5"/>
    <n v="44"/>
    <n v="44"/>
    <n v="0"/>
    <n v="0"/>
    <n v="0"/>
    <x v="0"/>
    <n v="0"/>
    <n v="0"/>
    <n v="0"/>
    <n v="0"/>
    <n v="1064.52"/>
    <n v="0"/>
    <n v="1064.52"/>
    <m/>
    <m/>
  </r>
  <r>
    <n v="609"/>
    <x v="25"/>
    <s v="HINJEWADI"/>
    <s v="SLK1"/>
    <x v="0"/>
    <x v="3"/>
    <s v="ACE"/>
    <s v="CNG"/>
    <n v="4"/>
    <n v="8"/>
    <x v="0"/>
    <n v="1000"/>
    <n v="55"/>
    <n v="31"/>
    <s v="PUN01 NC Cluster 59"/>
    <m/>
    <d v="1899-12-30T02:46:00"/>
    <d v="1899-12-30T03:42:28"/>
    <n v="84394"/>
    <d v="1899-12-30T07:21:03"/>
    <d v="1899-12-30T07:21:11"/>
    <n v="84413"/>
    <n v="20"/>
    <n v="22"/>
    <n v="-2"/>
    <n v="19"/>
    <n v="19"/>
    <n v="0"/>
    <n v="0"/>
    <n v="0"/>
    <x v="0"/>
    <n v="0"/>
    <n v="0"/>
    <n v="0"/>
    <n v="0"/>
    <n v="806.45"/>
    <n v="0"/>
    <n v="806.45"/>
    <m/>
    <m/>
  </r>
  <r>
    <n v="610"/>
    <x v="25"/>
    <s v="HINJEWADI"/>
    <s v="SLK1"/>
    <x v="0"/>
    <x v="30"/>
    <s v="ACE"/>
    <s v="CNG"/>
    <n v="4"/>
    <n v="8"/>
    <x v="0"/>
    <n v="1000"/>
    <n v="55"/>
    <n v="31"/>
    <s v="PUN01 NC Cluster 139"/>
    <m/>
    <d v="1899-12-30T01:10:00"/>
    <d v="1899-12-30T03:35:21"/>
    <n v="39326"/>
    <d v="1899-12-30T07:15:10"/>
    <d v="1899-12-30T07:51:10"/>
    <n v="39356"/>
    <n v="20"/>
    <n v="55"/>
    <n v="-35"/>
    <n v="30"/>
    <n v="30"/>
    <n v="0"/>
    <n v="0"/>
    <n v="0"/>
    <x v="0"/>
    <n v="0"/>
    <n v="0"/>
    <n v="0"/>
    <n v="0"/>
    <n v="806.45"/>
    <n v="0"/>
    <n v="806.45"/>
    <m/>
    <m/>
  </r>
  <r>
    <n v="611"/>
    <x v="25"/>
    <s v="HINJEWADI"/>
    <s v="SLK1"/>
    <x v="0"/>
    <x v="4"/>
    <s v="ACE"/>
    <s v="CNG"/>
    <n v="4"/>
    <n v="8"/>
    <x v="0"/>
    <n v="1000"/>
    <n v="55"/>
    <n v="31"/>
    <s v="PUN01 NC Cluster 114"/>
    <m/>
    <d v="1899-12-30T02:50:00"/>
    <d v="1899-12-30T03:54:34"/>
    <n v="13049"/>
    <d v="1899-12-30T09:11:22"/>
    <d v="1899-12-30T09:11:29"/>
    <n v="13072"/>
    <n v="0"/>
    <n v="0"/>
    <n v="0"/>
    <n v="23"/>
    <n v="23"/>
    <n v="0"/>
    <n v="0"/>
    <n v="2"/>
    <x v="2"/>
    <n v="0"/>
    <n v="0"/>
    <n v="0"/>
    <n v="0"/>
    <n v="1106.45"/>
    <n v="0"/>
    <n v="1106.45"/>
    <m/>
    <m/>
  </r>
  <r>
    <n v="612"/>
    <x v="25"/>
    <s v="HINJEWADI"/>
    <s v="SLK1"/>
    <x v="0"/>
    <x v="5"/>
    <s v="ACE"/>
    <s v="CNG"/>
    <n v="4"/>
    <n v="8"/>
    <x v="0"/>
    <n v="1000"/>
    <n v="55"/>
    <n v="31"/>
    <s v="PUN01 NC Cluster 87"/>
    <m/>
    <d v="1899-12-30T02:09:00"/>
    <d v="1899-12-30T03:39:33"/>
    <n v="145574"/>
    <d v="1899-12-30T07:33:40"/>
    <d v="1899-12-30T07:33:53"/>
    <n v="145591"/>
    <n v="28"/>
    <n v="28"/>
    <n v="0"/>
    <n v="17"/>
    <n v="17"/>
    <n v="0"/>
    <n v="0"/>
    <n v="0"/>
    <x v="0"/>
    <n v="0"/>
    <n v="0"/>
    <n v="0"/>
    <n v="0"/>
    <n v="806.45"/>
    <n v="0"/>
    <n v="806.45"/>
    <m/>
    <m/>
  </r>
  <r>
    <n v="613"/>
    <x v="25"/>
    <s v="HINJEWADI"/>
    <s v="SLK1"/>
    <x v="0"/>
    <x v="33"/>
    <s v="ACE"/>
    <s v="CNG"/>
    <n v="4"/>
    <n v="8"/>
    <x v="0"/>
    <n v="1000"/>
    <n v="55"/>
    <n v="31"/>
    <s v="PUN01 NC Cluster 13"/>
    <m/>
    <d v="1899-12-30T01:11:00"/>
    <d v="1899-12-30T03:52:17"/>
    <n v="166162"/>
    <d v="1899-12-30T08:07:41"/>
    <d v="1899-12-30T08:07:48"/>
    <n v="166182"/>
    <n v="30"/>
    <n v="39"/>
    <n v="-9"/>
    <n v="20"/>
    <n v="20"/>
    <n v="0"/>
    <n v="0"/>
    <n v="1"/>
    <x v="1"/>
    <n v="0"/>
    <n v="0"/>
    <n v="0"/>
    <n v="0"/>
    <n v="956.45"/>
    <n v="0"/>
    <n v="956.45"/>
    <m/>
    <m/>
  </r>
  <r>
    <n v="614"/>
    <x v="25"/>
    <s v="HINJEWADI"/>
    <s v="SLK1"/>
    <x v="0"/>
    <x v="36"/>
    <s v="ACE"/>
    <s v="CNG"/>
    <n v="4"/>
    <n v="8"/>
    <x v="0"/>
    <n v="1000"/>
    <n v="55"/>
    <n v="31"/>
    <s v="PUN01 NC Cluster 19"/>
    <m/>
    <d v="1899-12-30T01:51:00"/>
    <d v="1899-12-30T03:41:02"/>
    <n v="116766"/>
    <d v="1899-12-30T08:07:56"/>
    <d v="1899-12-30T08:08:09"/>
    <n v="116792"/>
    <n v="22"/>
    <n v="61"/>
    <n v="-39"/>
    <n v="26"/>
    <n v="26"/>
    <n v="0"/>
    <n v="0"/>
    <n v="1"/>
    <x v="1"/>
    <n v="0"/>
    <n v="0"/>
    <n v="0"/>
    <n v="0"/>
    <n v="956.45"/>
    <n v="0"/>
    <n v="956.45"/>
    <m/>
    <m/>
  </r>
  <r>
    <n v="615"/>
    <x v="25"/>
    <s v="HINJEWADI"/>
    <s v="SLK1"/>
    <x v="0"/>
    <x v="6"/>
    <s v="ACE"/>
    <s v="CNG"/>
    <n v="4"/>
    <n v="8"/>
    <x v="0"/>
    <n v="1000"/>
    <n v="55"/>
    <n v="31"/>
    <s v="PUN01 NC Cluster 10"/>
    <m/>
    <d v="1899-12-30T01:28:00"/>
    <d v="1899-12-30T03:49:22"/>
    <n v="146293"/>
    <d v="1899-12-30T08:06:39"/>
    <d v="1899-12-30T08:07:07"/>
    <n v="146316"/>
    <n v="30"/>
    <n v="40"/>
    <n v="-10"/>
    <n v="23"/>
    <n v="23"/>
    <n v="0"/>
    <n v="0"/>
    <n v="1"/>
    <x v="1"/>
    <n v="0"/>
    <n v="0"/>
    <n v="0"/>
    <n v="0"/>
    <n v="956.45"/>
    <n v="0"/>
    <n v="956.45"/>
    <m/>
    <m/>
  </r>
  <r>
    <n v="616"/>
    <x v="25"/>
    <s v="HINJEWADI"/>
    <s v="SLK1"/>
    <x v="0"/>
    <x v="7"/>
    <s v="ACE"/>
    <s v="CNG"/>
    <n v="4"/>
    <n v="8"/>
    <x v="0"/>
    <n v="1000"/>
    <n v="55"/>
    <n v="31"/>
    <s v="PUN01 NC Cluster 1"/>
    <m/>
    <d v="1899-12-30T02:57:00"/>
    <d v="1899-12-30T07:56:38"/>
    <n v="160131"/>
    <d v="1899-12-30T07:56:50"/>
    <d v="1899-12-30T07:56:59"/>
    <n v="160131"/>
    <n v="0"/>
    <n v="0"/>
    <n v="0"/>
    <n v="0"/>
    <n v="0"/>
    <n v="0"/>
    <n v="0"/>
    <n v="0"/>
    <x v="0"/>
    <n v="0"/>
    <n v="0"/>
    <n v="0"/>
    <n v="0"/>
    <n v="806.45"/>
    <n v="0"/>
    <n v="806.45"/>
    <m/>
    <m/>
  </r>
  <r>
    <n v="617"/>
    <x v="25"/>
    <s v="HINJEWADI"/>
    <s v="SLK1"/>
    <x v="0"/>
    <x v="8"/>
    <s v="ACE"/>
    <s v="CNG"/>
    <n v="4"/>
    <n v="8"/>
    <x v="0"/>
    <n v="1000"/>
    <n v="55"/>
    <n v="31"/>
    <s v="PUN01 NC Cluster 38"/>
    <m/>
    <d v="1899-12-30T01:15:00"/>
    <d v="1899-12-30T03:38:18"/>
    <n v="114940"/>
    <d v="1899-12-30T07:48:20"/>
    <d v="1899-12-30T07:48:30"/>
    <n v="114956"/>
    <n v="40"/>
    <n v="42"/>
    <n v="-2"/>
    <n v="16"/>
    <n v="16"/>
    <n v="0"/>
    <n v="0"/>
    <n v="0"/>
    <x v="0"/>
    <n v="0"/>
    <n v="0"/>
    <n v="0"/>
    <n v="0"/>
    <n v="806.45"/>
    <n v="0"/>
    <n v="806.45"/>
    <m/>
    <m/>
  </r>
  <r>
    <n v="618"/>
    <x v="25"/>
    <s v="HINJEWADI"/>
    <s v="SLK1"/>
    <x v="0"/>
    <x v="23"/>
    <s v="ACE"/>
    <s v="CNG"/>
    <n v="4"/>
    <n v="8"/>
    <x v="0"/>
    <n v="1000"/>
    <n v="55"/>
    <n v="31"/>
    <s v="PUN01 NC Cluster 131"/>
    <m/>
    <d v="1899-12-30T01:40:00"/>
    <d v="1899-12-30T03:52:59"/>
    <n v="79355"/>
    <d v="1899-12-30T07:24:30"/>
    <d v="1899-12-30T07:24:41"/>
    <n v="79381"/>
    <n v="42"/>
    <n v="41"/>
    <n v="1"/>
    <n v="26"/>
    <n v="26"/>
    <n v="0"/>
    <n v="0"/>
    <n v="0"/>
    <x v="0"/>
    <n v="0"/>
    <n v="0"/>
    <n v="0"/>
    <n v="0"/>
    <n v="806.45"/>
    <n v="0"/>
    <n v="806.45"/>
    <m/>
    <m/>
  </r>
  <r>
    <n v="619"/>
    <x v="25"/>
    <s v="HINJEWADI"/>
    <s v="SLK1"/>
    <x v="0"/>
    <x v="9"/>
    <s v="ACE"/>
    <s v="CNG"/>
    <n v="6"/>
    <n v="8"/>
    <x v="1"/>
    <n v="2000"/>
    <n v="55"/>
    <n v="31"/>
    <s v="PUN01 NC Cluster 299"/>
    <m/>
    <d v="1899-12-30T01:10:00"/>
    <d v="1899-12-30T03:49:39"/>
    <n v="48883"/>
    <d v="1899-12-30T08:45:18"/>
    <d v="1899-12-30T08:45:26"/>
    <n v="48939"/>
    <n v="23"/>
    <n v="25"/>
    <n v="-2"/>
    <n v="56"/>
    <n v="56"/>
    <n v="0"/>
    <n v="0"/>
    <n v="0"/>
    <x v="0"/>
    <n v="0"/>
    <n v="0"/>
    <n v="0"/>
    <n v="0"/>
    <n v="1064.52"/>
    <n v="0"/>
    <n v="1064.52"/>
    <m/>
    <m/>
  </r>
  <r>
    <n v="620"/>
    <x v="25"/>
    <s v="HINJEWADI"/>
    <s v="SLK1"/>
    <x v="0"/>
    <x v="25"/>
    <s v="ACE"/>
    <s v="CNG"/>
    <n v="4"/>
    <n v="8"/>
    <x v="0"/>
    <n v="1000"/>
    <n v="55"/>
    <n v="31"/>
    <s v="PUN01 NC Cluster 201"/>
    <m/>
    <d v="1899-12-30T02:26:00"/>
    <d v="1899-12-30T03:46:41"/>
    <n v="119065"/>
    <d v="1899-12-30T07:58:00"/>
    <d v="1899-12-30T07:58:07"/>
    <n v="119090"/>
    <n v="32"/>
    <n v="32"/>
    <n v="0"/>
    <n v="25"/>
    <n v="25"/>
    <n v="0"/>
    <n v="0"/>
    <n v="0"/>
    <x v="0"/>
    <n v="0"/>
    <n v="0"/>
    <n v="0"/>
    <n v="0"/>
    <n v="806.45"/>
    <n v="0"/>
    <n v="806.45"/>
    <m/>
    <m/>
  </r>
  <r>
    <n v="621"/>
    <x v="25"/>
    <s v="HINJEWADI"/>
    <s v="SLK1"/>
    <x v="0"/>
    <x v="37"/>
    <s v="ACE"/>
    <s v="CNG"/>
    <n v="4"/>
    <n v="8"/>
    <x v="0"/>
    <n v="1000"/>
    <n v="55"/>
    <n v="31"/>
    <s v="PUN01 NC Cluster 93"/>
    <m/>
    <d v="1899-12-30T01:25:00"/>
    <d v="1899-12-30T03:52:02"/>
    <n v="66611"/>
    <d v="1899-12-30T08:32:42"/>
    <d v="1899-12-30T08:33:08"/>
    <n v="66662"/>
    <n v="0"/>
    <n v="27"/>
    <n v="-27"/>
    <n v="51"/>
    <n v="51"/>
    <n v="0"/>
    <n v="0"/>
    <n v="1"/>
    <x v="1"/>
    <n v="0"/>
    <n v="0"/>
    <n v="0"/>
    <n v="0"/>
    <n v="956.45"/>
    <n v="0"/>
    <n v="956.45"/>
    <m/>
    <m/>
  </r>
  <r>
    <n v="622"/>
    <x v="25"/>
    <s v="HINJEWADI"/>
    <s v="SLK1"/>
    <x v="0"/>
    <x v="35"/>
    <s v="ACE"/>
    <s v="CNG"/>
    <n v="4"/>
    <n v="8"/>
    <x v="0"/>
    <n v="1000"/>
    <n v="55"/>
    <n v="31"/>
    <s v="PUN01 NC Cluster 8"/>
    <m/>
    <d v="1899-12-30T01:10:00"/>
    <d v="1899-12-30T03:36:38"/>
    <n v="45462"/>
    <d v="1899-12-30T07:33:16"/>
    <d v="1899-12-30T07:33:27"/>
    <n v="45477"/>
    <n v="66"/>
    <n v="66"/>
    <n v="0"/>
    <n v="15"/>
    <n v="15"/>
    <n v="0"/>
    <n v="0"/>
    <n v="0"/>
    <x v="0"/>
    <n v="0"/>
    <n v="0"/>
    <n v="0"/>
    <n v="0"/>
    <n v="806.45"/>
    <n v="0"/>
    <n v="806.45"/>
    <m/>
    <m/>
  </r>
  <r>
    <n v="623"/>
    <x v="25"/>
    <s v="HINJEWADI"/>
    <s v="SLK1"/>
    <x v="0"/>
    <x v="12"/>
    <s v="ACE"/>
    <s v="CNG"/>
    <n v="4"/>
    <n v="8"/>
    <x v="0"/>
    <n v="1000"/>
    <n v="55"/>
    <n v="31"/>
    <s v="PUN01 NC Cluster 36"/>
    <m/>
    <d v="1899-12-30T01:17:00"/>
    <d v="1899-12-30T03:39:14"/>
    <n v="85739"/>
    <d v="1899-12-30T07:31:57"/>
    <d v="1899-12-30T07:32:04"/>
    <n v="85756"/>
    <n v="32"/>
    <n v="31"/>
    <n v="1"/>
    <n v="17"/>
    <n v="17"/>
    <n v="0"/>
    <n v="0"/>
    <n v="0"/>
    <x v="0"/>
    <n v="0"/>
    <n v="0"/>
    <n v="0"/>
    <n v="0"/>
    <n v="806.45"/>
    <n v="0"/>
    <n v="806.45"/>
    <m/>
    <m/>
  </r>
  <r>
    <n v="624"/>
    <x v="25"/>
    <s v="HINJEWADI"/>
    <s v="SLK1"/>
    <x v="0"/>
    <x v="15"/>
    <s v="ACE"/>
    <s v="CNG"/>
    <n v="4"/>
    <n v="8"/>
    <x v="0"/>
    <n v="1000"/>
    <n v="55"/>
    <n v="31"/>
    <s v="PUN01 NC Cluster 37"/>
    <m/>
    <d v="1899-12-30T01:16:00"/>
    <d v="1899-12-30T03:38:32"/>
    <n v="39650"/>
    <d v="1899-12-30T07:30:22"/>
    <d v="1899-12-30T07:53:06"/>
    <n v="39664"/>
    <n v="40"/>
    <n v="30"/>
    <n v="10"/>
    <n v="14"/>
    <n v="14"/>
    <n v="0"/>
    <n v="0"/>
    <n v="0"/>
    <x v="0"/>
    <n v="0"/>
    <n v="0"/>
    <n v="0"/>
    <n v="0"/>
    <n v="806.45"/>
    <n v="0"/>
    <n v="806.45"/>
    <m/>
    <m/>
  </r>
  <r>
    <n v="625"/>
    <x v="25"/>
    <s v="HINJEWADI"/>
    <s v="SLK1"/>
    <x v="0"/>
    <x v="17"/>
    <s v="ACE"/>
    <s v="CNG"/>
    <n v="4"/>
    <n v="8"/>
    <x v="0"/>
    <n v="1000"/>
    <n v="55"/>
    <n v="31"/>
    <s v="PUN01 NC Cluster 60"/>
    <m/>
    <d v="1899-12-30T02:09:00"/>
    <d v="1899-12-30T03:46:24"/>
    <n v="8531"/>
    <d v="1899-12-30T07:31:15"/>
    <d v="1899-12-30T07:31:25"/>
    <n v="8559"/>
    <n v="50"/>
    <n v="21"/>
    <n v="29"/>
    <n v="28"/>
    <n v="28"/>
    <n v="0"/>
    <n v="0"/>
    <n v="0"/>
    <x v="0"/>
    <n v="0"/>
    <n v="0"/>
    <n v="0"/>
    <n v="0"/>
    <n v="806.45"/>
    <n v="0"/>
    <n v="806.45"/>
    <m/>
    <m/>
  </r>
  <r>
    <n v="626"/>
    <x v="25"/>
    <s v="HINJEWADI"/>
    <s v="SLK1"/>
    <x v="0"/>
    <x v="18"/>
    <s v="ACE"/>
    <s v="CNG"/>
    <n v="4"/>
    <n v="8"/>
    <x v="0"/>
    <n v="1000"/>
    <n v="55"/>
    <n v="31"/>
    <s v="PUN01 NC Cluster 40"/>
    <m/>
    <d v="1899-12-30T02:34:00"/>
    <d v="1899-12-30T03:40:31"/>
    <n v="6276"/>
    <d v="1899-12-30T07:21:31"/>
    <d v="1899-12-30T07:21:42"/>
    <n v="6289"/>
    <n v="39"/>
    <n v="44"/>
    <n v="-5"/>
    <n v="13"/>
    <n v="13"/>
    <n v="0"/>
    <n v="0"/>
    <n v="0"/>
    <x v="0"/>
    <n v="0"/>
    <n v="0"/>
    <n v="0"/>
    <n v="0"/>
    <n v="806.45"/>
    <n v="0"/>
    <n v="806.45"/>
    <m/>
    <m/>
  </r>
  <r>
    <n v="627"/>
    <x v="25"/>
    <s v="HINJEWADI"/>
    <s v="SLK1"/>
    <x v="0"/>
    <x v="26"/>
    <s v="ACE"/>
    <s v="CNG"/>
    <n v="4"/>
    <n v="8"/>
    <x v="0"/>
    <n v="1000"/>
    <n v="55"/>
    <n v="31"/>
    <s v="PUN01 NC Cluster 26"/>
    <m/>
    <d v="1899-12-30T02:46:00"/>
    <d v="1899-12-30T03:46:10"/>
    <n v="42272"/>
    <d v="1899-12-30T07:30:54"/>
    <d v="1899-12-30T07:31:02"/>
    <n v="42302"/>
    <n v="40"/>
    <n v="28"/>
    <n v="12"/>
    <n v="30"/>
    <n v="30"/>
    <n v="0"/>
    <n v="0"/>
    <n v="0"/>
    <x v="0"/>
    <n v="0"/>
    <n v="0"/>
    <n v="0"/>
    <n v="0"/>
    <n v="806.45"/>
    <n v="0"/>
    <n v="806.45"/>
    <m/>
    <m/>
  </r>
  <r>
    <n v="628"/>
    <x v="25"/>
    <s v="HINJEWADI"/>
    <s v="SLK1"/>
    <x v="0"/>
    <x v="19"/>
    <s v="BOLERO"/>
    <s v="DIESEL"/>
    <n v="4"/>
    <n v="10"/>
    <x v="2"/>
    <n v="1000"/>
    <n v="55"/>
    <n v="31"/>
    <s v="PUN01 NC Cluster 73"/>
    <m/>
    <d v="1899-12-30T02:43:00"/>
    <d v="1899-12-30T03:40:47"/>
    <n v="32240"/>
    <m/>
    <m/>
    <n v="32240"/>
    <m/>
    <n v="43"/>
    <n v="-43"/>
    <n v="0"/>
    <n v="0"/>
    <n v="0"/>
    <n v="0"/>
    <n v="0"/>
    <x v="0"/>
    <n v="0"/>
    <n v="0"/>
    <n v="0"/>
    <n v="0"/>
    <n v="935.48"/>
    <n v="0"/>
    <n v="935.48"/>
    <m/>
    <m/>
  </r>
  <r>
    <n v="629"/>
    <x v="25"/>
    <s v="HINJEWADI"/>
    <s v="SLK1"/>
    <x v="0"/>
    <x v="20"/>
    <s v="BOLERO"/>
    <s v="DIESEL"/>
    <n v="4"/>
    <n v="10"/>
    <x v="2"/>
    <n v="1000"/>
    <n v="55"/>
    <n v="31"/>
    <s v="PUN01 NC Cluster 125"/>
    <m/>
    <d v="1899-12-30T01:50:00"/>
    <d v="1899-12-30T03:42:15"/>
    <n v="39946"/>
    <d v="1899-12-30T08:37:51"/>
    <d v="1899-12-30T08:38:25"/>
    <n v="39974"/>
    <n v="30"/>
    <n v="36"/>
    <n v="-6"/>
    <n v="28"/>
    <n v="28"/>
    <n v="0"/>
    <n v="0"/>
    <n v="1"/>
    <x v="1"/>
    <n v="0"/>
    <n v="0"/>
    <n v="0"/>
    <n v="0"/>
    <n v="1085.48"/>
    <n v="0"/>
    <n v="1085.48"/>
    <m/>
    <m/>
  </r>
  <r>
    <n v="630"/>
    <x v="25"/>
    <s v="HINJEWADI"/>
    <s v="SLK1"/>
    <x v="0"/>
    <x v="21"/>
    <s v="BOLERO"/>
    <s v="DIESEL"/>
    <n v="4"/>
    <n v="10"/>
    <x v="2"/>
    <n v="1000"/>
    <n v="55"/>
    <n v="31"/>
    <s v="PUN01 NC Cluster 97"/>
    <m/>
    <d v="1899-12-30T02:41:00"/>
    <d v="1899-12-30T03:41:02"/>
    <n v="3980"/>
    <d v="1899-12-30T07:13:50"/>
    <d v="1899-12-30T07:14:05"/>
    <n v="4008"/>
    <n v="43"/>
    <n v="48"/>
    <n v="-5"/>
    <n v="28"/>
    <n v="28"/>
    <n v="0"/>
    <n v="0"/>
    <n v="0"/>
    <x v="0"/>
    <n v="0"/>
    <n v="0"/>
    <n v="0"/>
    <n v="0"/>
    <n v="935.48"/>
    <n v="0"/>
    <n v="935.48"/>
    <m/>
    <m/>
  </r>
  <r>
    <n v="631"/>
    <x v="25"/>
    <s v="HINJEWADI"/>
    <s v="SLK1"/>
    <x v="0"/>
    <x v="22"/>
    <s v="BOLERO"/>
    <s v="DIESEL"/>
    <n v="4"/>
    <n v="10"/>
    <x v="2"/>
    <n v="1000"/>
    <n v="55"/>
    <n v="31"/>
    <s v="PUN01 NC Cluster 135"/>
    <m/>
    <d v="1899-12-30T02:04:00"/>
    <d v="1899-12-30T03:51:34"/>
    <n v="139830"/>
    <d v="1899-12-30T07:48:02"/>
    <d v="1899-12-30T07:48:11"/>
    <n v="139861"/>
    <n v="40"/>
    <n v="40"/>
    <n v="0"/>
    <n v="31"/>
    <n v="31"/>
    <n v="0"/>
    <n v="0"/>
    <n v="0"/>
    <x v="0"/>
    <n v="0"/>
    <n v="0"/>
    <n v="0"/>
    <n v="0"/>
    <n v="935.48"/>
    <n v="0"/>
    <n v="935.48"/>
    <m/>
    <m/>
  </r>
  <r>
    <n v="632"/>
    <x v="26"/>
    <s v="HINJEWADI"/>
    <s v="SLK1"/>
    <x v="0"/>
    <x v="0"/>
    <s v="ACE"/>
    <s v="CNG"/>
    <n v="4"/>
    <n v="8"/>
    <x v="0"/>
    <n v="1000"/>
    <n v="55"/>
    <n v="31"/>
    <s v="PUN01 NC Cluster 1"/>
    <m/>
    <d v="1899-12-30T01:13:00"/>
    <d v="1899-12-30T03:51:31"/>
    <n v="58336"/>
    <d v="1899-12-30T06:32:09"/>
    <d v="1899-12-30T06:32:24"/>
    <n v="58353"/>
    <n v="30"/>
    <n v="35"/>
    <n v="-5"/>
    <n v="17"/>
    <n v="17"/>
    <n v="0"/>
    <n v="0"/>
    <n v="0"/>
    <x v="0"/>
    <n v="0"/>
    <n v="0"/>
    <n v="0"/>
    <n v="0"/>
    <n v="806.45"/>
    <n v="0"/>
    <n v="806.45"/>
    <m/>
    <m/>
  </r>
  <r>
    <n v="633"/>
    <x v="26"/>
    <s v="HINJEWADI"/>
    <s v="SLK1"/>
    <x v="0"/>
    <x v="2"/>
    <s v="ACE"/>
    <s v="CNG"/>
    <n v="6"/>
    <n v="8"/>
    <x v="1"/>
    <n v="2000"/>
    <n v="55"/>
    <n v="31"/>
    <s v="PUN01 NC Cluster 230"/>
    <m/>
    <d v="1899-12-30T01:09:00"/>
    <d v="1899-12-30T04:09:28"/>
    <n v="101972"/>
    <d v="1899-12-30T07:44:20"/>
    <d v="1899-12-30T07:44:27"/>
    <n v="102020"/>
    <n v="30"/>
    <n v="51"/>
    <n v="-21"/>
    <n v="48"/>
    <n v="48"/>
    <n v="0"/>
    <n v="0"/>
    <n v="0"/>
    <x v="0"/>
    <n v="0"/>
    <n v="0"/>
    <n v="0"/>
    <n v="0"/>
    <n v="1064.52"/>
    <n v="0"/>
    <n v="1064.52"/>
    <m/>
    <m/>
  </r>
  <r>
    <n v="634"/>
    <x v="26"/>
    <s v="HINJEWADI"/>
    <s v="SLK1"/>
    <x v="0"/>
    <x v="3"/>
    <s v="ACE"/>
    <s v="CNG"/>
    <n v="4"/>
    <n v="8"/>
    <x v="0"/>
    <n v="1000"/>
    <n v="55"/>
    <n v="31"/>
    <s v="PUN01 NC Cluster 100"/>
    <m/>
    <d v="1899-12-30T02:51:00"/>
    <d v="1899-12-30T04:07:23"/>
    <n v="84434"/>
    <d v="1899-12-30T07:22:29"/>
    <d v="1899-12-30T07:22:42"/>
    <n v="84452"/>
    <n v="40"/>
    <n v="23"/>
    <n v="17"/>
    <n v="18"/>
    <n v="18"/>
    <n v="0"/>
    <n v="0"/>
    <n v="0"/>
    <x v="0"/>
    <n v="0"/>
    <n v="0"/>
    <n v="0"/>
    <n v="0"/>
    <n v="806.45"/>
    <n v="0"/>
    <n v="806.45"/>
    <m/>
    <m/>
  </r>
  <r>
    <n v="635"/>
    <x v="26"/>
    <s v="HINJEWADI"/>
    <s v="SLK1"/>
    <x v="0"/>
    <x v="30"/>
    <s v="ACE"/>
    <s v="CNG"/>
    <n v="4"/>
    <n v="8"/>
    <x v="0"/>
    <n v="1000"/>
    <n v="55"/>
    <n v="31"/>
    <s v="PUN01 NC Cluster 140"/>
    <m/>
    <d v="1899-12-30T01:11:00"/>
    <d v="1899-12-30T03:54:33"/>
    <n v="39467"/>
    <d v="1899-12-30T09:06:41"/>
    <d v="1899-12-30T09:06:57"/>
    <n v="39493"/>
    <n v="35"/>
    <n v="52"/>
    <n v="-17"/>
    <n v="26"/>
    <n v="26"/>
    <n v="0"/>
    <n v="0"/>
    <n v="2"/>
    <x v="2"/>
    <n v="0"/>
    <n v="0"/>
    <n v="0"/>
    <n v="0"/>
    <n v="1106.45"/>
    <n v="0"/>
    <n v="1106.45"/>
    <m/>
    <m/>
  </r>
  <r>
    <n v="636"/>
    <x v="26"/>
    <s v="HINJEWADI"/>
    <s v="SLK1"/>
    <x v="0"/>
    <x v="4"/>
    <s v="ACE"/>
    <s v="CNG"/>
    <n v="4"/>
    <n v="8"/>
    <x v="0"/>
    <n v="1000"/>
    <n v="55"/>
    <n v="31"/>
    <s v="PUN01 NC Cluster 37"/>
    <m/>
    <d v="1899-12-30T02:50:00"/>
    <d v="1899-12-30T03:58:58"/>
    <n v="13169"/>
    <d v="1899-12-30T07:34:10"/>
    <d v="1899-12-30T07:34:20"/>
    <n v="13189"/>
    <n v="26"/>
    <n v="23"/>
    <n v="3"/>
    <n v="20"/>
    <n v="20"/>
    <n v="0"/>
    <n v="0"/>
    <n v="0"/>
    <x v="0"/>
    <n v="0"/>
    <n v="0"/>
    <n v="0"/>
    <n v="0"/>
    <n v="806.45"/>
    <n v="0"/>
    <n v="806.45"/>
    <m/>
    <m/>
  </r>
  <r>
    <n v="637"/>
    <x v="26"/>
    <s v="HINJEWADI"/>
    <s v="SLK1"/>
    <x v="0"/>
    <x v="5"/>
    <s v="ACE"/>
    <s v="CNG"/>
    <n v="4"/>
    <n v="8"/>
    <x v="0"/>
    <n v="1000"/>
    <n v="55"/>
    <n v="31"/>
    <s v="PUN01 NC Cluster 87"/>
    <m/>
    <d v="1899-12-30T02:05:00"/>
    <d v="1899-12-30T03:58:36"/>
    <n v="145595"/>
    <d v="1899-12-30T07:06:52"/>
    <d v="1899-12-30T07:07:58"/>
    <n v="145612"/>
    <n v="29"/>
    <n v="29"/>
    <n v="0"/>
    <n v="17"/>
    <n v="17"/>
    <n v="0"/>
    <n v="0"/>
    <n v="0"/>
    <x v="0"/>
    <n v="0"/>
    <n v="0"/>
    <n v="0"/>
    <n v="0"/>
    <n v="806.45"/>
    <n v="0"/>
    <n v="806.45"/>
    <m/>
    <m/>
  </r>
  <r>
    <n v="638"/>
    <x v="26"/>
    <s v="HINJEWADI"/>
    <s v="SLK1"/>
    <x v="0"/>
    <x v="33"/>
    <s v="ACE"/>
    <s v="CNG"/>
    <n v="4"/>
    <n v="8"/>
    <x v="0"/>
    <n v="1000"/>
    <n v="55"/>
    <n v="31"/>
    <s v="PUN01 NC Cluster 13"/>
    <m/>
    <d v="1899-12-30T01:19:00"/>
    <d v="1899-12-30T04:11:13"/>
    <n v="166286"/>
    <d v="1899-12-30T08:18:05"/>
    <d v="1899-12-30T08:18:15"/>
    <n v="166307"/>
    <n v="40"/>
    <n v="40"/>
    <n v="0"/>
    <n v="21"/>
    <n v="21"/>
    <n v="0"/>
    <n v="0"/>
    <n v="1"/>
    <x v="1"/>
    <n v="0"/>
    <n v="0"/>
    <n v="0"/>
    <n v="0"/>
    <n v="956.45"/>
    <n v="0"/>
    <n v="956.45"/>
    <m/>
    <m/>
  </r>
  <r>
    <n v="639"/>
    <x v="26"/>
    <s v="HINJEWADI"/>
    <s v="SLK1"/>
    <x v="0"/>
    <x v="36"/>
    <s v="ACE"/>
    <s v="CNG"/>
    <n v="4"/>
    <n v="8"/>
    <x v="0"/>
    <n v="1000"/>
    <n v="55"/>
    <n v="31"/>
    <s v="PUN01 NC Cluster 12A"/>
    <m/>
    <d v="1899-12-30T01:10:00"/>
    <d v="1899-12-30T04:13:46"/>
    <n v="116911"/>
    <d v="1899-12-30T08:16:37"/>
    <d v="1899-12-30T08:16:52"/>
    <n v="116933"/>
    <n v="63"/>
    <n v="63"/>
    <n v="0"/>
    <n v="22"/>
    <n v="22"/>
    <n v="0"/>
    <n v="0"/>
    <n v="1"/>
    <x v="1"/>
    <n v="0"/>
    <n v="0"/>
    <n v="0"/>
    <n v="0"/>
    <n v="956.45"/>
    <n v="0"/>
    <n v="956.45"/>
    <m/>
    <m/>
  </r>
  <r>
    <n v="640"/>
    <x v="26"/>
    <s v="HINJEWADI"/>
    <s v="SLK1"/>
    <x v="0"/>
    <x v="6"/>
    <s v="ACE"/>
    <s v="CNG"/>
    <n v="4"/>
    <n v="8"/>
    <x v="0"/>
    <n v="1000"/>
    <n v="55"/>
    <n v="31"/>
    <s v="PUN01 NC Cluster 10"/>
    <m/>
    <d v="1899-12-30T01:11:00"/>
    <d v="1899-12-30T04:13:28"/>
    <n v="146479"/>
    <d v="1899-12-30T08:17:07"/>
    <d v="1899-12-30T08:17:16"/>
    <n v="146503"/>
    <n v="54"/>
    <n v="54"/>
    <n v="0"/>
    <n v="24"/>
    <n v="24"/>
    <n v="0"/>
    <n v="0"/>
    <n v="1"/>
    <x v="1"/>
    <n v="0"/>
    <n v="0"/>
    <n v="0"/>
    <n v="0"/>
    <n v="956.45"/>
    <n v="0"/>
    <n v="956.45"/>
    <m/>
    <m/>
  </r>
  <r>
    <n v="641"/>
    <x v="26"/>
    <s v="HINJEWADI"/>
    <s v="SLK1"/>
    <x v="0"/>
    <x v="7"/>
    <s v="ACE"/>
    <s v="CNG"/>
    <n v="4"/>
    <n v="8"/>
    <x v="0"/>
    <n v="1000"/>
    <n v="55"/>
    <n v="31"/>
    <s v="PUN01 NC Cluster 97"/>
    <m/>
    <d v="1899-12-30T02:48:00"/>
    <d v="1899-12-30T04:08:42"/>
    <n v="160237"/>
    <d v="1899-12-30T09:07:13"/>
    <d v="1899-12-30T09:07:47"/>
    <n v="160268"/>
    <n v="25"/>
    <n v="30"/>
    <n v="-5"/>
    <n v="31"/>
    <n v="31"/>
    <n v="0"/>
    <n v="0"/>
    <n v="2"/>
    <x v="2"/>
    <n v="0"/>
    <n v="0"/>
    <n v="0"/>
    <n v="0"/>
    <n v="1106.45"/>
    <n v="0"/>
    <n v="1106.45"/>
    <m/>
    <m/>
  </r>
  <r>
    <n v="642"/>
    <x v="26"/>
    <s v="HINJEWADI"/>
    <s v="SLK1"/>
    <x v="0"/>
    <x v="8"/>
    <s v="ACE"/>
    <s v="CNG"/>
    <n v="4"/>
    <n v="8"/>
    <x v="0"/>
    <n v="1000"/>
    <n v="55"/>
    <n v="31"/>
    <s v="PUN01 NC Cluster 40"/>
    <m/>
    <d v="1899-12-30T01:48:00"/>
    <d v="1899-12-30T03:59:17"/>
    <n v="114976"/>
    <d v="1899-12-30T07:55:49"/>
    <d v="1899-12-30T07:58:38"/>
    <n v="114997"/>
    <n v="49"/>
    <n v="49"/>
    <n v="0"/>
    <n v="21"/>
    <n v="21"/>
    <n v="0"/>
    <n v="0"/>
    <n v="0"/>
    <x v="0"/>
    <n v="0"/>
    <n v="0"/>
    <n v="0"/>
    <n v="0"/>
    <n v="806.45"/>
    <n v="0"/>
    <n v="806.45"/>
    <m/>
    <m/>
  </r>
  <r>
    <n v="643"/>
    <x v="26"/>
    <s v="HINJEWADI"/>
    <s v="SLK1"/>
    <x v="0"/>
    <x v="23"/>
    <s v="ACE"/>
    <s v="CNG"/>
    <n v="4"/>
    <n v="8"/>
    <x v="0"/>
    <n v="1000"/>
    <n v="55"/>
    <n v="31"/>
    <s v="PUN01 NC Cluster 113"/>
    <m/>
    <d v="1899-12-30T03:10:00"/>
    <d v="1899-12-30T04:08:21"/>
    <n v="79431"/>
    <d v="1899-12-30T07:38:45"/>
    <d v="1899-12-30T07:39:00"/>
    <n v="79454"/>
    <n v="30"/>
    <n v="59"/>
    <n v="-29"/>
    <n v="23"/>
    <n v="23"/>
    <n v="0"/>
    <n v="0"/>
    <n v="0"/>
    <x v="0"/>
    <n v="0"/>
    <n v="0"/>
    <n v="0"/>
    <n v="0"/>
    <n v="806.45"/>
    <n v="0"/>
    <n v="806.45"/>
    <m/>
    <m/>
  </r>
  <r>
    <n v="644"/>
    <x v="26"/>
    <s v="HINJEWADI"/>
    <s v="SLK1"/>
    <x v="0"/>
    <x v="9"/>
    <s v="ACE"/>
    <s v="CNG"/>
    <n v="6"/>
    <n v="8"/>
    <x v="1"/>
    <n v="2000"/>
    <n v="55"/>
    <n v="31"/>
    <s v="PUN01 NC Cluster 299"/>
    <m/>
    <d v="1899-12-30T02:42:00"/>
    <d v="1899-12-30T04:15:04"/>
    <n v="48957"/>
    <d v="1899-12-30T08:33:49"/>
    <d v="1899-12-30T08:33:58"/>
    <n v="49012"/>
    <n v="40"/>
    <n v="25"/>
    <n v="15"/>
    <n v="55"/>
    <n v="55"/>
    <n v="0"/>
    <n v="0"/>
    <n v="0"/>
    <x v="0"/>
    <n v="0"/>
    <n v="0"/>
    <n v="0"/>
    <n v="0"/>
    <n v="1064.52"/>
    <n v="0"/>
    <n v="1064.52"/>
    <m/>
    <m/>
  </r>
  <r>
    <n v="645"/>
    <x v="26"/>
    <s v="HINJEWADI"/>
    <s v="SLK1"/>
    <x v="0"/>
    <x v="25"/>
    <s v="ACE"/>
    <s v="CNG"/>
    <n v="4"/>
    <n v="8"/>
    <x v="0"/>
    <n v="1000"/>
    <n v="55"/>
    <n v="31"/>
    <s v="PUN01 NC Cluster 199"/>
    <m/>
    <d v="1899-12-30T03:06:00"/>
    <d v="1899-12-30T03:58:10"/>
    <n v="119141"/>
    <d v="1899-12-30T08:42:22"/>
    <d v="1899-12-30T08:42:37"/>
    <n v="119168"/>
    <n v="40"/>
    <n v="15"/>
    <n v="25"/>
    <n v="27"/>
    <n v="27"/>
    <n v="0"/>
    <n v="0"/>
    <n v="1"/>
    <x v="1"/>
    <n v="0"/>
    <n v="0"/>
    <n v="0"/>
    <n v="0"/>
    <n v="956.45"/>
    <n v="0"/>
    <n v="956.45"/>
    <m/>
    <m/>
  </r>
  <r>
    <n v="646"/>
    <x v="26"/>
    <s v="HINJEWADI"/>
    <s v="SLK1"/>
    <x v="0"/>
    <x v="37"/>
    <s v="ACE"/>
    <s v="CNG"/>
    <n v="4"/>
    <n v="8"/>
    <x v="0"/>
    <n v="1000"/>
    <n v="55"/>
    <n v="31"/>
    <s v="PUN01 NC Cluster 92"/>
    <m/>
    <d v="1899-12-30T01:11:00"/>
    <d v="1899-12-30T04:11:43"/>
    <n v="66652"/>
    <d v="1899-12-30T08:19:59"/>
    <d v="1899-12-30T08:20:18"/>
    <n v="66662"/>
    <n v="29"/>
    <n v="29"/>
    <n v="0"/>
    <n v="10"/>
    <n v="10"/>
    <n v="0"/>
    <n v="0"/>
    <n v="1"/>
    <x v="1"/>
    <n v="0"/>
    <n v="0"/>
    <n v="0"/>
    <n v="0"/>
    <n v="956.45"/>
    <n v="0"/>
    <n v="956.45"/>
    <m/>
    <m/>
  </r>
  <r>
    <n v="647"/>
    <x v="26"/>
    <s v="HINJEWADI"/>
    <s v="SLK1"/>
    <x v="0"/>
    <x v="35"/>
    <s v="ACE"/>
    <s v="CNG"/>
    <n v="4"/>
    <n v="8"/>
    <x v="0"/>
    <n v="1000"/>
    <n v="55"/>
    <n v="31"/>
    <s v="PUN01 NC Cluster 2"/>
    <m/>
    <d v="1899-12-30T01:52:00"/>
    <d v="1899-12-30T03:55:53"/>
    <n v="45560"/>
    <d v="1899-12-30T06:32:42"/>
    <d v="1899-12-30T06:33:34"/>
    <n v="45572"/>
    <n v="46"/>
    <n v="53"/>
    <n v="-7"/>
    <n v="12"/>
    <n v="12"/>
    <n v="0"/>
    <n v="0"/>
    <n v="0"/>
    <x v="0"/>
    <n v="0"/>
    <n v="0"/>
    <n v="0"/>
    <n v="0"/>
    <n v="806.45"/>
    <n v="0"/>
    <n v="806.45"/>
    <m/>
    <m/>
  </r>
  <r>
    <n v="648"/>
    <x v="26"/>
    <s v="HINJEWADI"/>
    <s v="SLK1"/>
    <x v="0"/>
    <x v="12"/>
    <s v="ACE"/>
    <s v="CNG"/>
    <n v="4"/>
    <n v="8"/>
    <x v="0"/>
    <n v="1000"/>
    <n v="55"/>
    <n v="31"/>
    <s v="PUN01 NC Cluster 36"/>
    <m/>
    <d v="1899-12-30T01:14:00"/>
    <d v="1899-12-30T04:16:48"/>
    <n v="85858"/>
    <d v="1899-12-30T07:36:50"/>
    <d v="1899-12-30T07:37:00"/>
    <n v="85875"/>
    <n v="22"/>
    <n v="37"/>
    <n v="-15"/>
    <n v="17"/>
    <n v="17"/>
    <n v="0"/>
    <n v="0"/>
    <n v="0"/>
    <x v="0"/>
    <n v="0"/>
    <n v="0"/>
    <n v="0"/>
    <n v="0"/>
    <n v="806.45"/>
    <n v="0"/>
    <n v="806.45"/>
    <m/>
    <m/>
  </r>
  <r>
    <n v="649"/>
    <x v="26"/>
    <s v="HINJEWADI"/>
    <s v="SLK1"/>
    <x v="0"/>
    <x v="13"/>
    <s v="ACE"/>
    <s v="CNG"/>
    <n v="4"/>
    <n v="8"/>
    <x v="0"/>
    <n v="1000"/>
    <n v="55"/>
    <n v="31"/>
    <s v="PUN01 NC Cluster 132"/>
    <m/>
    <d v="1899-12-30T02:13:00"/>
    <d v="1899-12-30T04:04:12"/>
    <n v="37776"/>
    <d v="1899-12-30T07:15:25"/>
    <d v="1899-12-30T07:15:38"/>
    <n v="37801"/>
    <n v="38"/>
    <n v="36"/>
    <n v="2"/>
    <n v="25"/>
    <n v="25"/>
    <n v="0"/>
    <n v="0"/>
    <n v="0"/>
    <x v="0"/>
    <n v="0"/>
    <n v="0"/>
    <n v="0"/>
    <n v="0"/>
    <n v="806.45"/>
    <n v="0"/>
    <n v="806.45"/>
    <m/>
    <m/>
  </r>
  <r>
    <n v="650"/>
    <x v="26"/>
    <s v="HINJEWADI"/>
    <s v="SLK1"/>
    <x v="0"/>
    <x v="15"/>
    <s v="ACE"/>
    <s v="CNG"/>
    <n v="4"/>
    <n v="8"/>
    <x v="0"/>
    <n v="1000"/>
    <n v="55"/>
    <n v="31"/>
    <s v="PUN01 NC Cluster 41"/>
    <m/>
    <d v="1899-12-30T01:15:00"/>
    <d v="1899-12-30T04:16:22"/>
    <n v="39840"/>
    <d v="1899-12-30T07:14:24"/>
    <d v="1899-12-30T07:14:36"/>
    <n v="39856"/>
    <n v="44"/>
    <n v="44"/>
    <n v="0"/>
    <n v="16"/>
    <n v="16"/>
    <n v="0"/>
    <n v="0"/>
    <n v="0"/>
    <x v="0"/>
    <n v="0"/>
    <n v="0"/>
    <n v="0"/>
    <n v="0"/>
    <n v="806.45"/>
    <n v="0"/>
    <n v="806.45"/>
    <m/>
    <m/>
  </r>
  <r>
    <n v="651"/>
    <x v="26"/>
    <s v="HINJEWADI"/>
    <s v="SLK1"/>
    <x v="0"/>
    <x v="17"/>
    <s v="ACE"/>
    <s v="CNG"/>
    <n v="4"/>
    <n v="8"/>
    <x v="0"/>
    <n v="1000"/>
    <n v="55"/>
    <n v="31"/>
    <s v="PUN01 NC Cluster 201"/>
    <m/>
    <d v="1899-12-30T01:16:00"/>
    <d v="1899-12-30T03:56:31"/>
    <n v="8703"/>
    <d v="1899-12-30T08:00:25"/>
    <d v="1899-12-30T08:00:32"/>
    <n v="8736"/>
    <n v="44"/>
    <n v="33"/>
    <n v="11"/>
    <n v="33"/>
    <n v="33"/>
    <n v="0"/>
    <n v="0"/>
    <n v="0"/>
    <x v="0"/>
    <n v="0"/>
    <n v="0"/>
    <n v="0"/>
    <n v="0"/>
    <n v="806.45"/>
    <n v="0"/>
    <n v="806.45"/>
    <m/>
    <m/>
  </r>
  <r>
    <n v="652"/>
    <x v="26"/>
    <s v="HINJEWADI"/>
    <s v="SLK1"/>
    <x v="0"/>
    <x v="18"/>
    <s v="ACE"/>
    <s v="CNG"/>
    <n v="4"/>
    <n v="8"/>
    <x v="0"/>
    <n v="1000"/>
    <n v="55"/>
    <n v="31"/>
    <s v="PUN01 NC Cluster 39"/>
    <m/>
    <d v="1899-12-30T01:14:00"/>
    <d v="1899-12-30T03:56:51"/>
    <n v="6410"/>
    <d v="1899-12-30T07:44:40"/>
    <d v="1899-12-30T07:44:47"/>
    <n v="6428"/>
    <n v="35"/>
    <n v="47"/>
    <n v="-12"/>
    <n v="18"/>
    <n v="18"/>
    <n v="0"/>
    <n v="0"/>
    <n v="0"/>
    <x v="0"/>
    <n v="0"/>
    <n v="0"/>
    <n v="0"/>
    <n v="0"/>
    <n v="806.45"/>
    <n v="0"/>
    <n v="806.45"/>
    <m/>
    <m/>
  </r>
  <r>
    <n v="653"/>
    <x v="26"/>
    <s v="HINJEWADI"/>
    <s v="SLK1"/>
    <x v="0"/>
    <x v="26"/>
    <s v="ACE"/>
    <s v="CNG"/>
    <n v="4"/>
    <n v="8"/>
    <x v="0"/>
    <n v="1000"/>
    <n v="55"/>
    <n v="31"/>
    <s v="PUN01 NC Cluster 26"/>
    <m/>
    <d v="1899-12-30T02:48:00"/>
    <d v="1899-12-30T04:07:37"/>
    <n v="42379"/>
    <d v="1899-12-30T07:48:02"/>
    <d v="1899-12-30T07:48:09"/>
    <n v="42404"/>
    <n v="40"/>
    <n v="32"/>
    <n v="8"/>
    <n v="25"/>
    <n v="25"/>
    <n v="0"/>
    <n v="0"/>
    <n v="0"/>
    <x v="0"/>
    <n v="0"/>
    <n v="0"/>
    <n v="0"/>
    <n v="0"/>
    <n v="806.45"/>
    <n v="0"/>
    <n v="806.45"/>
    <m/>
    <m/>
  </r>
  <r>
    <n v="654"/>
    <x v="26"/>
    <s v="HINJEWADI"/>
    <s v="SLK1"/>
    <x v="0"/>
    <x v="41"/>
    <s v="BOLERO"/>
    <s v="DIESEL"/>
    <n v="4"/>
    <n v="10"/>
    <x v="2"/>
    <n v="1000"/>
    <n v="55"/>
    <n v="31"/>
    <s v="PUN01 NC Cluster 74"/>
    <m/>
    <d v="1899-12-30T02:52:00"/>
    <d v="1899-12-30T03:59:11"/>
    <n v="171"/>
    <d v="1899-12-30T08:23:24"/>
    <d v="1899-12-30T08:23:37"/>
    <n v="192"/>
    <n v="43"/>
    <n v="42"/>
    <n v="1"/>
    <n v="21"/>
    <n v="21"/>
    <n v="0"/>
    <n v="0"/>
    <n v="1"/>
    <x v="1"/>
    <n v="0"/>
    <n v="0"/>
    <n v="0"/>
    <n v="0"/>
    <n v="1085.48"/>
    <n v="0"/>
    <n v="1085.48"/>
    <m/>
    <m/>
  </r>
  <r>
    <n v="655"/>
    <x v="26"/>
    <s v="HINJEWADI"/>
    <s v="SLK1"/>
    <x v="0"/>
    <x v="19"/>
    <s v="BOLERO"/>
    <s v="DIESEL"/>
    <n v="4"/>
    <n v="10"/>
    <x v="2"/>
    <n v="1000"/>
    <n v="55"/>
    <n v="31"/>
    <s v="PUN01 NC Cluster 72"/>
    <m/>
    <d v="1899-12-30T02:56:00"/>
    <d v="1899-12-30T03:59:36"/>
    <n v="33257"/>
    <m/>
    <m/>
    <n v="33257"/>
    <m/>
    <n v="52"/>
    <n v="-52"/>
    <n v="0"/>
    <n v="0"/>
    <n v="0"/>
    <n v="0"/>
    <n v="0"/>
    <x v="0"/>
    <n v="0"/>
    <n v="0"/>
    <n v="0"/>
    <n v="0"/>
    <n v="935.48"/>
    <n v="0"/>
    <n v="935.48"/>
    <m/>
    <m/>
  </r>
  <r>
    <n v="656"/>
    <x v="26"/>
    <s v="HINJEWADI"/>
    <s v="SLK1"/>
    <x v="0"/>
    <x v="20"/>
    <s v="BOLERO"/>
    <s v="DIESEL"/>
    <n v="4"/>
    <n v="10"/>
    <x v="2"/>
    <n v="1000"/>
    <n v="55"/>
    <n v="31"/>
    <s v="PUN01 NC Cluster 136"/>
    <m/>
    <d v="1899-12-30T01:27:00"/>
    <d v="1899-12-30T04:02:55"/>
    <n v="40044"/>
    <d v="1899-12-30T07:22:17"/>
    <d v="1899-12-30T07:23:23"/>
    <n v="40076"/>
    <n v="40"/>
    <n v="59"/>
    <n v="-19"/>
    <n v="32"/>
    <n v="32"/>
    <n v="0"/>
    <n v="0"/>
    <n v="0"/>
    <x v="0"/>
    <n v="0"/>
    <n v="0"/>
    <n v="0"/>
    <n v="0"/>
    <n v="935.48"/>
    <n v="0"/>
    <n v="935.48"/>
    <m/>
    <m/>
  </r>
  <r>
    <n v="657"/>
    <x v="26"/>
    <s v="HINJEWADI"/>
    <s v="SLK1"/>
    <x v="0"/>
    <x v="21"/>
    <s v="BOLERO"/>
    <s v="DIESEL"/>
    <n v="4"/>
    <n v="10"/>
    <x v="2"/>
    <n v="1000"/>
    <n v="55"/>
    <n v="31"/>
    <s v="PUN01 NC Cluster 182"/>
    <m/>
    <d v="1899-12-30T02:41:00"/>
    <d v="1899-12-30T04:06:56"/>
    <n v="4035"/>
    <d v="1899-12-30T07:22:05"/>
    <d v="1899-12-30T07:27:27"/>
    <n v="4080"/>
    <n v="24"/>
    <n v="77"/>
    <n v="-53"/>
    <n v="45"/>
    <n v="45"/>
    <n v="0"/>
    <n v="0"/>
    <n v="0"/>
    <x v="0"/>
    <n v="0"/>
    <n v="0"/>
    <n v="0"/>
    <n v="0"/>
    <n v="935.48"/>
    <n v="0"/>
    <n v="935.48"/>
    <m/>
    <m/>
  </r>
  <r>
    <n v="658"/>
    <x v="26"/>
    <s v="HINJEWADI"/>
    <s v="SLK1"/>
    <x v="0"/>
    <x v="22"/>
    <s v="BOLERO"/>
    <s v="DIESEL"/>
    <n v="4"/>
    <n v="10"/>
    <x v="2"/>
    <n v="1000"/>
    <n v="55"/>
    <n v="31"/>
    <s v="PUN01 NC Cluster 130"/>
    <m/>
    <d v="1899-12-30T02:09:00"/>
    <d v="1899-12-30T04:04:56"/>
    <n v="139897"/>
    <d v="1899-12-30T07:26:40"/>
    <d v="1899-12-30T07:26:50"/>
    <n v="139927"/>
    <n v="24"/>
    <n v="46"/>
    <n v="-22"/>
    <n v="30"/>
    <n v="30"/>
    <n v="0"/>
    <n v="0"/>
    <n v="0"/>
    <x v="0"/>
    <n v="0"/>
    <n v="0"/>
    <n v="0"/>
    <n v="0"/>
    <n v="935.48"/>
    <n v="0"/>
    <n v="935.48"/>
    <m/>
    <m/>
  </r>
  <r>
    <n v="659"/>
    <x v="27"/>
    <s v="HINJEWADI"/>
    <s v="SLK1"/>
    <x v="0"/>
    <x v="0"/>
    <s v="ACE"/>
    <s v="CNG"/>
    <n v="4"/>
    <n v="8"/>
    <x v="0"/>
    <n v="1000"/>
    <n v="55"/>
    <n v="31"/>
    <s v="PUN01 NC Cluster 1"/>
    <m/>
    <d v="1899-12-30T01:05:00"/>
    <d v="1899-12-30T04:02:41"/>
    <n v="58369"/>
    <d v="1899-12-30T07:02:40"/>
    <d v="1899-12-30T07:02:48"/>
    <n v="58376"/>
    <n v="37"/>
    <n v="37"/>
    <n v="0"/>
    <n v="7"/>
    <n v="7"/>
    <n v="0"/>
    <n v="0"/>
    <n v="0"/>
    <x v="0"/>
    <n v="0"/>
    <n v="0"/>
    <n v="0"/>
    <n v="0"/>
    <n v="806.45"/>
    <n v="0"/>
    <n v="806.45"/>
    <m/>
    <m/>
  </r>
  <r>
    <n v="660"/>
    <x v="27"/>
    <s v="HINJEWADI"/>
    <s v="SLK1"/>
    <x v="0"/>
    <x v="2"/>
    <s v="ACE"/>
    <s v="CNG"/>
    <n v="6"/>
    <n v="8"/>
    <x v="1"/>
    <n v="2000"/>
    <n v="55"/>
    <n v="31"/>
    <s v="PUN01 NC Cluster 230"/>
    <m/>
    <d v="1899-12-30T01:44:00"/>
    <d v="1899-12-30T03:46:35"/>
    <n v="102129"/>
    <d v="1899-12-30T08:00:49"/>
    <d v="1899-12-30T08:05:09"/>
    <n v="102182"/>
    <n v="25"/>
    <n v="65"/>
    <n v="-40"/>
    <n v="53"/>
    <n v="53"/>
    <n v="0"/>
    <n v="0"/>
    <n v="0"/>
    <x v="0"/>
    <n v="0"/>
    <n v="0"/>
    <n v="0"/>
    <n v="0"/>
    <n v="1064.52"/>
    <n v="0"/>
    <n v="1064.52"/>
    <m/>
    <m/>
  </r>
  <r>
    <n v="661"/>
    <x v="27"/>
    <s v="HINJEWADI"/>
    <s v="SLK1"/>
    <x v="0"/>
    <x v="3"/>
    <s v="ACE"/>
    <s v="CNG"/>
    <n v="4"/>
    <n v="8"/>
    <x v="0"/>
    <n v="1000"/>
    <n v="55"/>
    <n v="31"/>
    <s v="PUN01 NC Cluster 1"/>
    <m/>
    <d v="1899-12-30T02:55:00"/>
    <d v="1899-12-30T07:20:05"/>
    <n v="84551"/>
    <d v="1899-12-30T07:20:21"/>
    <d v="1899-12-30T07:20:45"/>
    <n v="84582"/>
    <n v="0"/>
    <n v="0"/>
    <n v="0"/>
    <n v="31"/>
    <n v="31"/>
    <n v="0"/>
    <n v="0"/>
    <n v="0"/>
    <x v="0"/>
    <n v="0"/>
    <n v="0"/>
    <n v="0"/>
    <n v="0"/>
    <n v="806.45"/>
    <n v="0"/>
    <n v="806.45"/>
    <m/>
    <m/>
  </r>
  <r>
    <n v="662"/>
    <x v="27"/>
    <s v="HINJEWADI"/>
    <s v="SLK1"/>
    <x v="0"/>
    <x v="30"/>
    <s v="ACE"/>
    <s v="CNG"/>
    <n v="4"/>
    <n v="8"/>
    <x v="0"/>
    <n v="1000"/>
    <n v="55"/>
    <n v="31"/>
    <s v="PUN01 NC Cluster 2"/>
    <m/>
    <d v="1899-12-30T01:09:00"/>
    <d v="1899-12-30T03:49:45"/>
    <n v="39605"/>
    <d v="1899-12-30T07:03:28"/>
    <d v="1899-12-30T07:07:36"/>
    <n v="39633"/>
    <n v="55"/>
    <n v="51"/>
    <n v="4"/>
    <n v="28"/>
    <n v="28"/>
    <n v="0"/>
    <n v="0"/>
    <n v="0"/>
    <x v="0"/>
    <n v="0"/>
    <n v="0"/>
    <n v="0"/>
    <n v="0"/>
    <n v="806.45"/>
    <n v="0"/>
    <n v="806.45"/>
    <m/>
    <m/>
  </r>
  <r>
    <n v="663"/>
    <x v="27"/>
    <s v="HINJEWADI"/>
    <s v="SLK1"/>
    <x v="0"/>
    <x v="4"/>
    <s v="ACE"/>
    <s v="CNG"/>
    <n v="4"/>
    <n v="8"/>
    <x v="0"/>
    <n v="1000"/>
    <n v="55"/>
    <n v="31"/>
    <s v="PUN01 NC Cluster 37"/>
    <m/>
    <d v="1899-12-30T02:50:00"/>
    <d v="1899-12-30T04:05:54"/>
    <n v="13220"/>
    <d v="1899-12-30T07:49:54"/>
    <d v="1899-12-30T07:57:52"/>
    <n v="13237"/>
    <n v="24"/>
    <n v="35"/>
    <n v="-11"/>
    <n v="17"/>
    <n v="17"/>
    <n v="0"/>
    <n v="0"/>
    <n v="0"/>
    <x v="0"/>
    <n v="0"/>
    <n v="0"/>
    <n v="0"/>
    <n v="0"/>
    <n v="806.45"/>
    <n v="0"/>
    <n v="806.45"/>
    <m/>
    <m/>
  </r>
  <r>
    <n v="664"/>
    <x v="27"/>
    <s v="HINJEWADI"/>
    <s v="SLK1"/>
    <x v="0"/>
    <x v="5"/>
    <s v="ACE"/>
    <s v="CNG"/>
    <n v="4"/>
    <n v="8"/>
    <x v="0"/>
    <n v="1000"/>
    <n v="55"/>
    <n v="31"/>
    <s v="PUN01 NC Cluster 87"/>
    <m/>
    <d v="1899-12-30T02:07:00"/>
    <d v="1899-12-30T04:03:10"/>
    <n v="145617"/>
    <d v="1899-12-30T07:01:42"/>
    <d v="1899-12-30T07:01:52"/>
    <n v="145633"/>
    <n v="30"/>
    <n v="30"/>
    <n v="0"/>
    <n v="16"/>
    <n v="16"/>
    <n v="0"/>
    <n v="0"/>
    <n v="0"/>
    <x v="0"/>
    <n v="0"/>
    <n v="0"/>
    <n v="0"/>
    <n v="0"/>
    <n v="806.45"/>
    <n v="0"/>
    <n v="806.45"/>
    <m/>
    <m/>
  </r>
  <r>
    <n v="665"/>
    <x v="27"/>
    <s v="HINJEWADI"/>
    <s v="SLK1"/>
    <x v="0"/>
    <x v="33"/>
    <s v="ACE"/>
    <s v="CNG"/>
    <n v="4"/>
    <n v="8"/>
    <x v="0"/>
    <n v="1000"/>
    <n v="55"/>
    <n v="31"/>
    <s v="PUN01 NC Cluster 13"/>
    <m/>
    <d v="1899-12-30T01:02:00"/>
    <d v="1899-12-30T03:51:49"/>
    <n v="166408"/>
    <d v="1899-12-30T08:02:49"/>
    <d v="1899-12-30T08:03:24"/>
    <n v="166427"/>
    <n v="50"/>
    <n v="34"/>
    <n v="16"/>
    <n v="19"/>
    <n v="19"/>
    <n v="0"/>
    <n v="0"/>
    <n v="1"/>
    <x v="1"/>
    <n v="0"/>
    <n v="0"/>
    <n v="0"/>
    <n v="0"/>
    <n v="956.45"/>
    <n v="0"/>
    <n v="956.45"/>
    <m/>
    <m/>
  </r>
  <r>
    <n v="666"/>
    <x v="27"/>
    <s v="HINJEWADI"/>
    <s v="SLK1"/>
    <x v="0"/>
    <x v="36"/>
    <s v="ACE"/>
    <s v="CNG"/>
    <n v="4"/>
    <n v="8"/>
    <x v="0"/>
    <n v="1000"/>
    <n v="55"/>
    <n v="31"/>
    <s v="PUN01 NC Cluster 19"/>
    <m/>
    <d v="1899-12-30T01:02:00"/>
    <d v="1899-12-30T03:51:03"/>
    <n v="117027"/>
    <d v="1899-12-30T08:08:05"/>
    <d v="1899-12-30T08:08:17"/>
    <n v="117047"/>
    <n v="60"/>
    <n v="60"/>
    <n v="0"/>
    <n v="20"/>
    <n v="20"/>
    <n v="0"/>
    <n v="0"/>
    <n v="1"/>
    <x v="1"/>
    <n v="0"/>
    <n v="0"/>
    <n v="0"/>
    <n v="0"/>
    <n v="956.45"/>
    <n v="0"/>
    <n v="956.45"/>
    <m/>
    <m/>
  </r>
  <r>
    <n v="667"/>
    <x v="27"/>
    <s v="HINJEWADI"/>
    <s v="SLK1"/>
    <x v="0"/>
    <x v="6"/>
    <s v="ACE"/>
    <s v="CNG"/>
    <n v="4"/>
    <n v="8"/>
    <x v="0"/>
    <n v="1000"/>
    <n v="55"/>
    <n v="31"/>
    <s v="PUN01 NC Cluster 10"/>
    <m/>
    <d v="1899-12-30T01:03:00"/>
    <d v="1899-12-30T03:47:54"/>
    <n v="146748"/>
    <d v="1899-12-30T08:03:39"/>
    <d v="1899-12-30T08:03:49"/>
    <n v="146770"/>
    <n v="50"/>
    <n v="50"/>
    <n v="0"/>
    <n v="22"/>
    <n v="22"/>
    <n v="0"/>
    <n v="0"/>
    <n v="1"/>
    <x v="1"/>
    <n v="0"/>
    <n v="0"/>
    <n v="0"/>
    <n v="0"/>
    <n v="956.45"/>
    <n v="0"/>
    <n v="956.45"/>
    <m/>
    <m/>
  </r>
  <r>
    <n v="668"/>
    <x v="27"/>
    <s v="HINJEWADI"/>
    <s v="SLK1"/>
    <x v="0"/>
    <x v="8"/>
    <s v="ACE"/>
    <s v="CNG"/>
    <n v="4"/>
    <n v="8"/>
    <x v="0"/>
    <n v="1000"/>
    <n v="55"/>
    <n v="31"/>
    <s v="PUN01 NC Cluster 41"/>
    <m/>
    <d v="1899-12-30T01:07:00"/>
    <d v="1899-12-30T04:04:42"/>
    <n v="115051"/>
    <d v="1899-12-30T07:30:02"/>
    <d v="1899-12-30T07:30:12"/>
    <n v="115069"/>
    <n v="41"/>
    <n v="41"/>
    <n v="0"/>
    <n v="18"/>
    <n v="18"/>
    <n v="0"/>
    <n v="0"/>
    <n v="0"/>
    <x v="0"/>
    <n v="0"/>
    <n v="0"/>
    <n v="0"/>
    <n v="0"/>
    <n v="806.45"/>
    <n v="0"/>
    <n v="806.45"/>
    <m/>
    <m/>
  </r>
  <r>
    <n v="669"/>
    <x v="27"/>
    <s v="HINJEWADI"/>
    <s v="SLK1"/>
    <x v="0"/>
    <x v="23"/>
    <s v="ACE"/>
    <s v="CNG"/>
    <n v="4"/>
    <n v="8"/>
    <x v="0"/>
    <n v="1000"/>
    <n v="55"/>
    <n v="31"/>
    <s v="PUN01 NC Cluster 112"/>
    <m/>
    <d v="1899-12-30T01:42:00"/>
    <d v="1899-12-30T03:53:16"/>
    <n v="79554"/>
    <d v="1899-12-30T09:49:06"/>
    <d v="1899-12-30T09:49:43"/>
    <n v="79571"/>
    <n v="35"/>
    <n v="53"/>
    <n v="-18"/>
    <n v="17"/>
    <n v="17"/>
    <n v="0"/>
    <n v="0"/>
    <n v="2"/>
    <x v="2"/>
    <n v="0"/>
    <n v="0"/>
    <n v="0"/>
    <n v="0"/>
    <n v="1106.45"/>
    <n v="0"/>
    <n v="1106.45"/>
    <m/>
    <m/>
  </r>
  <r>
    <n v="670"/>
    <x v="27"/>
    <s v="HINJEWADI"/>
    <s v="SLK1"/>
    <x v="0"/>
    <x v="42"/>
    <s v="ACE"/>
    <s v="CNG"/>
    <n v="4"/>
    <n v="8"/>
    <x v="0"/>
    <n v="1000"/>
    <n v="55"/>
    <n v="31"/>
    <s v="PUN01 NC Cluster 121"/>
    <m/>
    <d v="1899-12-30T02:49:00"/>
    <d v="1899-12-30T03:55:02"/>
    <n v="29505"/>
    <d v="1899-12-30T07:35:09"/>
    <d v="1899-12-30T07:35:18"/>
    <n v="29536"/>
    <n v="29"/>
    <n v="29"/>
    <n v="0"/>
    <n v="31"/>
    <n v="31"/>
    <n v="0"/>
    <n v="0"/>
    <n v="0"/>
    <x v="0"/>
    <n v="0"/>
    <n v="0"/>
    <n v="0"/>
    <n v="0"/>
    <n v="806.45"/>
    <n v="0"/>
    <n v="806.45"/>
    <m/>
    <m/>
  </r>
  <r>
    <n v="671"/>
    <x v="27"/>
    <s v="HINJEWADI"/>
    <s v="SLK1"/>
    <x v="0"/>
    <x v="37"/>
    <s v="ACE"/>
    <s v="CNG"/>
    <n v="4"/>
    <n v="8"/>
    <x v="0"/>
    <n v="1000"/>
    <n v="55"/>
    <n v="31"/>
    <s v="PUN01 NC Cluster 211"/>
    <m/>
    <d v="1899-12-30T01:03:00"/>
    <d v="1899-12-30T03:47:39"/>
    <n v="66688"/>
    <d v="1899-12-30T09:47:09"/>
    <d v="1899-12-30T09:47:31"/>
    <n v="66698"/>
    <n v="30"/>
    <n v="62"/>
    <n v="-32"/>
    <n v="10"/>
    <n v="10"/>
    <n v="0"/>
    <n v="0"/>
    <n v="2"/>
    <x v="2"/>
    <n v="0"/>
    <n v="0"/>
    <n v="0"/>
    <n v="0"/>
    <n v="1106.45"/>
    <n v="0"/>
    <n v="1106.45"/>
    <m/>
    <m/>
  </r>
  <r>
    <n v="672"/>
    <x v="27"/>
    <s v="HINJEWADI"/>
    <s v="SLK1"/>
    <x v="0"/>
    <x v="12"/>
    <s v="ACE"/>
    <s v="CNG"/>
    <n v="4"/>
    <n v="8"/>
    <x v="0"/>
    <n v="1000"/>
    <n v="55"/>
    <n v="31"/>
    <s v="PUN01 NC Cluster 36"/>
    <m/>
    <d v="1899-12-30T01:09:00"/>
    <d v="1899-12-30T04:05:03"/>
    <n v="85983"/>
    <d v="1899-12-30T07:43:44"/>
    <d v="1899-12-30T07:43:53"/>
    <n v="86002"/>
    <n v="30"/>
    <n v="30"/>
    <n v="0"/>
    <n v="19"/>
    <n v="19"/>
    <n v="0"/>
    <n v="0"/>
    <n v="0"/>
    <x v="0"/>
    <n v="0"/>
    <n v="0"/>
    <n v="0"/>
    <n v="0"/>
    <n v="806.45"/>
    <n v="0"/>
    <n v="806.45"/>
    <m/>
    <m/>
  </r>
  <r>
    <n v="673"/>
    <x v="27"/>
    <s v="HINJEWADI"/>
    <s v="SLK1"/>
    <x v="0"/>
    <x v="13"/>
    <s v="ACE"/>
    <s v="CNG"/>
    <n v="4"/>
    <n v="8"/>
    <x v="0"/>
    <n v="1000"/>
    <n v="55"/>
    <n v="31"/>
    <s v="PUN01 NC Cluster 124"/>
    <m/>
    <d v="1899-12-30T02:15:00"/>
    <d v="1899-12-30T03:43:56"/>
    <n v="37867"/>
    <d v="1899-12-30T07:23:00"/>
    <d v="1899-12-30T07:23:06"/>
    <n v="37895"/>
    <n v="45"/>
    <n v="45"/>
    <n v="0"/>
    <n v="28"/>
    <n v="28"/>
    <n v="0"/>
    <n v="0"/>
    <n v="0"/>
    <x v="0"/>
    <n v="0"/>
    <n v="0"/>
    <n v="0"/>
    <n v="0"/>
    <n v="806.45"/>
    <n v="0"/>
    <n v="806.45"/>
    <m/>
    <m/>
  </r>
  <r>
    <n v="674"/>
    <x v="27"/>
    <s v="HINJEWADI"/>
    <s v="SLK1"/>
    <x v="0"/>
    <x v="14"/>
    <s v="ACE"/>
    <s v="CNG"/>
    <n v="6"/>
    <n v="8"/>
    <x v="1"/>
    <n v="2000"/>
    <n v="55"/>
    <n v="31"/>
    <s v="PUN01 NC Cluster 303"/>
    <m/>
    <d v="1899-12-30T02:03:00"/>
    <d v="1899-12-30T03:46:07"/>
    <n v="35356"/>
    <d v="1899-12-30T07:18:03"/>
    <d v="1899-12-30T07:18:17"/>
    <n v="35432"/>
    <n v="26"/>
    <n v="26"/>
    <n v="0"/>
    <n v="76"/>
    <n v="76"/>
    <n v="0"/>
    <n v="0"/>
    <n v="0"/>
    <x v="0"/>
    <n v="0"/>
    <n v="0"/>
    <n v="0"/>
    <n v="0"/>
    <n v="1064.52"/>
    <n v="0"/>
    <n v="1064.52"/>
    <m/>
    <m/>
  </r>
  <r>
    <n v="675"/>
    <x v="27"/>
    <s v="HINJEWADI"/>
    <s v="SLK1"/>
    <x v="0"/>
    <x v="15"/>
    <s v="ACE"/>
    <s v="CNG"/>
    <n v="4"/>
    <n v="8"/>
    <x v="0"/>
    <n v="1000"/>
    <n v="55"/>
    <n v="31"/>
    <s v="PUN01 NC Cluster 16"/>
    <m/>
    <d v="1899-12-30T01:08:00"/>
    <d v="1899-12-30T04:05:37"/>
    <n v="39949"/>
    <d v="1899-12-30T07:32:21"/>
    <d v="1899-12-30T07:32:29"/>
    <n v="39965"/>
    <n v="67"/>
    <n v="31"/>
    <n v="36"/>
    <n v="16"/>
    <n v="16"/>
    <n v="0"/>
    <n v="0"/>
    <n v="0"/>
    <x v="0"/>
    <n v="0"/>
    <n v="0"/>
    <n v="0"/>
    <n v="0"/>
    <n v="806.45"/>
    <n v="0"/>
    <n v="806.45"/>
    <m/>
    <m/>
  </r>
  <r>
    <n v="676"/>
    <x v="27"/>
    <s v="HINJEWADI"/>
    <s v="SLK1"/>
    <x v="0"/>
    <x v="17"/>
    <s v="ACE"/>
    <s v="CNG"/>
    <n v="4"/>
    <n v="8"/>
    <x v="0"/>
    <n v="1000"/>
    <n v="55"/>
    <n v="31"/>
    <s v="PUN01 NC Cluster 72"/>
    <m/>
    <d v="1899-12-30T01:45:00"/>
    <d v="1899-12-30T04:02:28"/>
    <n v="8876"/>
    <d v="1899-12-30T10:33:09"/>
    <d v="1899-12-30T10:33:15"/>
    <n v="8899"/>
    <n v="37"/>
    <n v="37"/>
    <n v="0"/>
    <n v="23"/>
    <n v="23"/>
    <n v="0"/>
    <n v="0"/>
    <n v="3"/>
    <x v="3"/>
    <n v="0"/>
    <n v="0"/>
    <n v="0"/>
    <n v="0"/>
    <n v="1256.45"/>
    <n v="0"/>
    <n v="1256.45"/>
    <m/>
    <m/>
  </r>
  <r>
    <n v="677"/>
    <x v="27"/>
    <s v="HINJEWADI"/>
    <s v="SLK1"/>
    <x v="0"/>
    <x v="18"/>
    <s v="ACE"/>
    <s v="CNG"/>
    <n v="4"/>
    <n v="8"/>
    <x v="0"/>
    <n v="1000"/>
    <n v="55"/>
    <n v="31"/>
    <s v="PUN01 NC Cluster 38"/>
    <m/>
    <d v="1899-12-30T01:08:00"/>
    <d v="1899-12-30T04:04:23"/>
    <n v="6607"/>
    <d v="1899-12-30T08:10:39"/>
    <d v="1899-12-30T08:10:52"/>
    <n v="6622"/>
    <n v="54"/>
    <n v="54"/>
    <n v="0"/>
    <n v="15"/>
    <n v="15"/>
    <n v="0"/>
    <n v="0"/>
    <n v="1"/>
    <x v="1"/>
    <n v="0"/>
    <n v="0"/>
    <n v="0"/>
    <n v="0"/>
    <n v="956.45"/>
    <n v="0"/>
    <n v="956.45"/>
    <m/>
    <m/>
  </r>
  <r>
    <n v="678"/>
    <x v="27"/>
    <s v="HINJEWADI"/>
    <s v="SLK1"/>
    <x v="0"/>
    <x v="26"/>
    <s v="ACE"/>
    <s v="CNG"/>
    <n v="4"/>
    <n v="8"/>
    <x v="0"/>
    <n v="1000"/>
    <n v="55"/>
    <n v="31"/>
    <s v="PUN01 NC Cluster 26"/>
    <m/>
    <d v="1899-12-30T02:27:00"/>
    <d v="1899-12-30T03:58:17"/>
    <n v="42429"/>
    <d v="1899-12-30T07:05:05"/>
    <d v="1899-12-30T07:05:15"/>
    <n v="42455"/>
    <n v="29"/>
    <n v="29"/>
    <n v="0"/>
    <n v="26"/>
    <n v="26"/>
    <n v="0"/>
    <n v="0"/>
    <n v="0"/>
    <x v="0"/>
    <n v="0"/>
    <n v="0"/>
    <n v="0"/>
    <n v="0"/>
    <n v="806.45"/>
    <n v="0"/>
    <n v="806.45"/>
    <m/>
    <m/>
  </r>
  <r>
    <n v="679"/>
    <x v="27"/>
    <s v="HINJEWADI"/>
    <s v="SLK1"/>
    <x v="0"/>
    <x v="41"/>
    <s v="BOLERO"/>
    <s v="DIESEL"/>
    <n v="4"/>
    <n v="10"/>
    <x v="2"/>
    <n v="1000"/>
    <n v="55"/>
    <n v="31"/>
    <s v="PUN01 NC Cluster 23"/>
    <m/>
    <d v="1899-12-30T02:58:00"/>
    <d v="1899-12-30T03:53:15"/>
    <n v="225"/>
    <d v="1899-12-30T10:30:00"/>
    <d v="1899-12-30T10:30:05"/>
    <n v="252"/>
    <n v="0"/>
    <n v="63"/>
    <n v="-63"/>
    <n v="27"/>
    <n v="27"/>
    <n v="0"/>
    <n v="0"/>
    <n v="3"/>
    <x v="3"/>
    <n v="0"/>
    <n v="0"/>
    <n v="0"/>
    <n v="0"/>
    <n v="1385.48"/>
    <n v="0"/>
    <n v="1385.48"/>
    <m/>
    <m/>
  </r>
  <r>
    <n v="680"/>
    <x v="27"/>
    <s v="HINJEWADI"/>
    <s v="SLK1"/>
    <x v="0"/>
    <x v="19"/>
    <s v="BOLERO"/>
    <s v="DIESEL"/>
    <n v="4"/>
    <n v="10"/>
    <x v="2"/>
    <n v="1000"/>
    <n v="55"/>
    <n v="31"/>
    <s v="PUN01 NC Cluster 73"/>
    <m/>
    <d v="1899-12-30T02:17:00"/>
    <d v="1899-12-30T04:04:08"/>
    <n v="33290"/>
    <m/>
    <m/>
    <n v="33290"/>
    <m/>
    <n v="40"/>
    <n v="-40"/>
    <n v="0"/>
    <n v="0"/>
    <n v="0"/>
    <n v="0"/>
    <n v="0"/>
    <x v="0"/>
    <n v="0"/>
    <n v="0"/>
    <n v="0"/>
    <n v="0"/>
    <n v="935.48"/>
    <n v="0"/>
    <n v="935.48"/>
    <m/>
    <m/>
  </r>
  <r>
    <n v="681"/>
    <x v="27"/>
    <s v="HINJEWADI"/>
    <s v="SLK1"/>
    <x v="0"/>
    <x v="20"/>
    <s v="BOLERO"/>
    <s v="DIESEL"/>
    <n v="4"/>
    <n v="10"/>
    <x v="2"/>
    <n v="1000"/>
    <n v="55"/>
    <n v="31"/>
    <s v="PUN01 NC Cluster 111"/>
    <m/>
    <d v="1899-12-30T01:08:00"/>
    <d v="1899-12-30T04:02:31"/>
    <n v="40145"/>
    <d v="1899-12-30T07:21:00"/>
    <d v="1899-12-30T07:21:10"/>
    <n v="40178"/>
    <n v="51"/>
    <n v="51"/>
    <n v="0"/>
    <n v="33"/>
    <n v="33"/>
    <n v="0"/>
    <n v="0"/>
    <n v="0"/>
    <x v="0"/>
    <n v="0"/>
    <n v="0"/>
    <n v="0"/>
    <n v="0"/>
    <n v="935.48"/>
    <n v="0"/>
    <n v="935.48"/>
    <m/>
    <m/>
  </r>
  <r>
    <n v="682"/>
    <x v="27"/>
    <s v="HINJEWADI"/>
    <s v="SLK1"/>
    <x v="0"/>
    <x v="21"/>
    <s v="BOLERO"/>
    <s v="DIESEL"/>
    <n v="4"/>
    <n v="10"/>
    <x v="2"/>
    <n v="1000"/>
    <n v="55"/>
    <n v="31"/>
    <s v="PUN01 NC Cluster 18"/>
    <m/>
    <d v="1899-12-30T02:22:00"/>
    <d v="1899-12-30T03:43:18"/>
    <n v="4101"/>
    <d v="1899-12-30T07:38:00"/>
    <d v="1899-12-30T07:38:06"/>
    <n v="4130"/>
    <n v="69"/>
    <n v="69"/>
    <n v="0"/>
    <n v="29"/>
    <n v="29"/>
    <n v="0"/>
    <n v="0"/>
    <n v="0"/>
    <x v="0"/>
    <n v="0"/>
    <n v="0"/>
    <n v="0"/>
    <n v="0"/>
    <n v="935.48"/>
    <n v="0"/>
    <n v="935.48"/>
    <m/>
    <m/>
  </r>
  <r>
    <n v="683"/>
    <x v="27"/>
    <s v="HINJEWADI"/>
    <s v="SLK1"/>
    <x v="0"/>
    <x v="22"/>
    <s v="BOLERO"/>
    <s v="DIESEL"/>
    <n v="4"/>
    <n v="10"/>
    <x v="2"/>
    <n v="1000"/>
    <n v="55"/>
    <n v="31"/>
    <s v="PUN01 NC Cluster 131"/>
    <m/>
    <d v="1899-12-30T02:07:00"/>
    <d v="1899-12-30T03:45:11"/>
    <n v="139968"/>
    <d v="1899-12-30T07:31:12"/>
    <d v="1899-12-30T07:31:20"/>
    <n v="139998"/>
    <n v="42"/>
    <n v="42"/>
    <n v="0"/>
    <n v="30"/>
    <n v="30"/>
    <n v="0"/>
    <n v="0"/>
    <n v="0"/>
    <x v="0"/>
    <n v="0"/>
    <n v="0"/>
    <n v="0"/>
    <n v="0"/>
    <n v="935.48"/>
    <n v="0"/>
    <n v="935.48"/>
    <m/>
    <m/>
  </r>
  <r>
    <n v="684"/>
    <x v="28"/>
    <s v="HINJEWADI"/>
    <s v="SLK1"/>
    <x v="0"/>
    <x v="0"/>
    <s v="ACE"/>
    <s v="CNG"/>
    <n v="4"/>
    <n v="8"/>
    <x v="0"/>
    <n v="1000"/>
    <n v="55"/>
    <n v="31"/>
    <s v="PUN01 NC Cluster 1"/>
    <m/>
    <d v="1899-12-30T01:06:00"/>
    <d v="1899-12-30T03:39:25"/>
    <n v="58404"/>
    <d v="1899-12-30T07:10:58"/>
    <d v="1899-12-30T07:11:20"/>
    <n v="58412"/>
    <n v="39"/>
    <n v="38"/>
    <n v="1"/>
    <n v="8"/>
    <n v="8"/>
    <n v="0"/>
    <n v="0"/>
    <n v="0"/>
    <x v="0"/>
    <n v="0"/>
    <n v="0"/>
    <n v="0"/>
    <n v="0"/>
    <n v="806.45"/>
    <n v="0"/>
    <n v="806.45"/>
    <m/>
    <m/>
  </r>
  <r>
    <n v="685"/>
    <x v="28"/>
    <s v="HINJEWADI"/>
    <s v="SLK1"/>
    <x v="0"/>
    <x v="2"/>
    <s v="ACE"/>
    <s v="CNG"/>
    <n v="6"/>
    <n v="8"/>
    <x v="1"/>
    <n v="2000"/>
    <n v="55"/>
    <n v="31"/>
    <s v="PUN01 NC Cluster 228"/>
    <m/>
    <d v="1899-12-30T01:09:00"/>
    <d v="1899-12-30T03:42:37"/>
    <n v="102320"/>
    <d v="1899-12-30T10:35:13"/>
    <d v="1899-12-30T10:36:35"/>
    <n v="102350"/>
    <n v="20"/>
    <n v="65"/>
    <n v="-45"/>
    <n v="30"/>
    <n v="30"/>
    <n v="0"/>
    <n v="0"/>
    <n v="2"/>
    <x v="2"/>
    <n v="0"/>
    <n v="0"/>
    <n v="0"/>
    <n v="0"/>
    <n v="1364.52"/>
    <n v="0"/>
    <n v="1364.52"/>
    <m/>
    <m/>
  </r>
  <r>
    <n v="686"/>
    <x v="28"/>
    <s v="HINJEWADI"/>
    <s v="SLK1"/>
    <x v="0"/>
    <x v="3"/>
    <s v="ACE"/>
    <s v="CNG"/>
    <n v="4"/>
    <n v="8"/>
    <x v="0"/>
    <n v="1000"/>
    <n v="55"/>
    <n v="31"/>
    <s v="PUN01 NC Cluster 113"/>
    <m/>
    <d v="1899-12-30T02:47:00"/>
    <d v="1899-12-30T03:43:51"/>
    <n v="84603"/>
    <d v="1899-12-30T07:58:42"/>
    <d v="1899-12-30T07:59:35"/>
    <n v="84625"/>
    <n v="0"/>
    <n v="58"/>
    <n v="-58"/>
    <n v="22"/>
    <n v="22"/>
    <n v="0"/>
    <n v="0"/>
    <n v="0"/>
    <x v="0"/>
    <n v="0"/>
    <n v="0"/>
    <n v="0"/>
    <n v="0"/>
    <n v="806.45"/>
    <n v="0"/>
    <n v="806.45"/>
    <m/>
    <m/>
  </r>
  <r>
    <n v="687"/>
    <x v="28"/>
    <s v="HINJEWADI"/>
    <s v="SLK1"/>
    <x v="0"/>
    <x v="30"/>
    <s v="ACE"/>
    <s v="CNG"/>
    <n v="4"/>
    <n v="8"/>
    <x v="0"/>
    <n v="1000"/>
    <n v="55"/>
    <n v="31"/>
    <s v="PUN01 NC Cluster 8"/>
    <m/>
    <d v="1899-12-30T01:12:00"/>
    <d v="1899-12-30T03:39:28"/>
    <n v="39723"/>
    <d v="1899-12-30T07:12:06"/>
    <d v="1899-12-30T07:12:19"/>
    <n v="39736"/>
    <n v="40"/>
    <n v="40"/>
    <n v="0"/>
    <n v="13"/>
    <n v="13"/>
    <n v="0"/>
    <n v="0"/>
    <n v="0"/>
    <x v="0"/>
    <n v="0"/>
    <n v="0"/>
    <n v="0"/>
    <n v="0"/>
    <n v="806.45"/>
    <n v="0"/>
    <n v="806.45"/>
    <m/>
    <m/>
  </r>
  <r>
    <n v="688"/>
    <x v="28"/>
    <s v="HINJEWADI"/>
    <s v="SLK1"/>
    <x v="0"/>
    <x v="5"/>
    <s v="ACE"/>
    <s v="CNG"/>
    <n v="4"/>
    <n v="8"/>
    <x v="0"/>
    <n v="1000"/>
    <n v="55"/>
    <n v="31"/>
    <s v="PUN01 NC Cluster 87"/>
    <m/>
    <d v="1899-12-30T02:06:00"/>
    <d v="1899-12-30T03:38:50"/>
    <n v="145638"/>
    <d v="1899-12-30T07:29:20"/>
    <d v="1899-12-30T07:29:37"/>
    <n v="145655"/>
    <n v="32"/>
    <n v="32"/>
    <n v="0"/>
    <n v="17"/>
    <n v="17"/>
    <n v="0"/>
    <n v="0"/>
    <n v="0"/>
    <x v="0"/>
    <n v="0"/>
    <n v="0"/>
    <n v="0"/>
    <n v="0"/>
    <n v="806.45"/>
    <n v="0"/>
    <n v="806.45"/>
    <m/>
    <m/>
  </r>
  <r>
    <n v="689"/>
    <x v="28"/>
    <s v="HINJEWADI"/>
    <s v="SLK1"/>
    <x v="0"/>
    <x v="33"/>
    <s v="ACE"/>
    <s v="CNG"/>
    <n v="4"/>
    <n v="8"/>
    <x v="0"/>
    <n v="1000"/>
    <n v="55"/>
    <n v="31"/>
    <s v="PUN01 NC Cluster 13"/>
    <m/>
    <d v="1899-12-30T01:16:00"/>
    <d v="1899-12-30T03:45:54"/>
    <n v="166507"/>
    <d v="1899-12-30T09:26:54"/>
    <d v="1899-12-30T09:27:04"/>
    <n v="166528"/>
    <n v="35"/>
    <n v="35"/>
    <n v="0"/>
    <n v="21"/>
    <n v="21"/>
    <n v="0"/>
    <n v="0"/>
    <n v="2"/>
    <x v="2"/>
    <n v="0"/>
    <n v="0"/>
    <n v="0"/>
    <n v="0"/>
    <n v="1106.45"/>
    <n v="0"/>
    <n v="1106.45"/>
    <m/>
    <m/>
  </r>
  <r>
    <n v="690"/>
    <x v="28"/>
    <s v="HINJEWADI"/>
    <s v="SLK1"/>
    <x v="0"/>
    <x v="36"/>
    <s v="ACE"/>
    <s v="CNG"/>
    <n v="4"/>
    <n v="8"/>
    <x v="0"/>
    <n v="1000"/>
    <n v="55"/>
    <n v="31"/>
    <s v="PUN01 NC Cluster 11"/>
    <m/>
    <d v="1899-12-30T02:41:00"/>
    <d v="1899-12-30T03:46:58"/>
    <n v="117146"/>
    <d v="1899-12-30T09:28:38"/>
    <d v="1899-12-30T09:28:48"/>
    <n v="117182"/>
    <n v="14"/>
    <n v="14"/>
    <n v="0"/>
    <n v="36"/>
    <n v="36"/>
    <n v="0"/>
    <n v="0"/>
    <n v="2"/>
    <x v="2"/>
    <n v="0"/>
    <n v="0"/>
    <n v="0"/>
    <n v="0"/>
    <n v="1106.45"/>
    <n v="0"/>
    <n v="1106.45"/>
    <m/>
    <m/>
  </r>
  <r>
    <n v="691"/>
    <x v="28"/>
    <s v="HINJEWADI"/>
    <s v="SLK1"/>
    <x v="0"/>
    <x v="6"/>
    <s v="ACE"/>
    <s v="CNG"/>
    <n v="4"/>
    <n v="8"/>
    <x v="0"/>
    <n v="1000"/>
    <n v="55"/>
    <n v="31"/>
    <s v="PUN01 NC Cluster 10"/>
    <m/>
    <d v="1899-12-30T01:02:00"/>
    <d v="1899-12-30T03:43:15"/>
    <n v="146823"/>
    <d v="1899-12-30T09:29:00"/>
    <d v="1899-12-30T09:29:11"/>
    <n v="146848"/>
    <n v="59"/>
    <n v="59"/>
    <n v="0"/>
    <n v="25"/>
    <n v="25"/>
    <n v="0"/>
    <n v="0"/>
    <n v="2"/>
    <x v="2"/>
    <n v="0"/>
    <n v="0"/>
    <n v="0"/>
    <n v="0"/>
    <n v="1106.45"/>
    <n v="0"/>
    <n v="1106.45"/>
    <m/>
    <m/>
  </r>
  <r>
    <n v="692"/>
    <x v="28"/>
    <s v="HINJEWADI"/>
    <s v="SLK1"/>
    <x v="0"/>
    <x v="7"/>
    <s v="ACE"/>
    <s v="CNG"/>
    <n v="4"/>
    <n v="8"/>
    <x v="0"/>
    <n v="1000"/>
    <n v="55"/>
    <n v="31"/>
    <s v="PUN01 NC Cluster 60"/>
    <m/>
    <d v="1899-12-30T02:34:00"/>
    <d v="1899-12-30T03:53:10"/>
    <n v="160466"/>
    <d v="1899-12-30T11:27:15"/>
    <d v="1899-12-30T11:27:26"/>
    <n v="160492"/>
    <n v="35"/>
    <n v="25"/>
    <n v="10"/>
    <n v="26"/>
    <n v="26"/>
    <n v="0"/>
    <n v="0"/>
    <n v="4"/>
    <x v="4"/>
    <n v="0"/>
    <n v="0"/>
    <n v="0"/>
    <n v="0"/>
    <n v="1406.45"/>
    <n v="0"/>
    <n v="1406.45"/>
    <m/>
    <m/>
  </r>
  <r>
    <n v="693"/>
    <x v="28"/>
    <s v="HINJEWADI"/>
    <s v="SLK1"/>
    <x v="0"/>
    <x v="8"/>
    <s v="ACE"/>
    <s v="CNG"/>
    <n v="4"/>
    <n v="8"/>
    <x v="0"/>
    <n v="1000"/>
    <n v="55"/>
    <n v="31"/>
    <s v="PUN01 NC Cluster 43"/>
    <m/>
    <d v="1899-12-30T01:08:00"/>
    <d v="1899-12-30T03:40:45"/>
    <n v="115089"/>
    <d v="1899-12-30T07:33:05"/>
    <d v="1899-12-30T07:35:29"/>
    <n v="115108"/>
    <n v="37"/>
    <n v="37"/>
    <n v="0"/>
    <n v="19"/>
    <n v="19"/>
    <n v="0"/>
    <n v="0"/>
    <n v="0"/>
    <x v="0"/>
    <n v="0"/>
    <n v="0"/>
    <n v="0"/>
    <n v="0"/>
    <n v="806.45"/>
    <n v="0"/>
    <n v="806.45"/>
    <m/>
    <m/>
  </r>
  <r>
    <n v="694"/>
    <x v="28"/>
    <s v="HINJEWADI"/>
    <s v="SLK1"/>
    <x v="0"/>
    <x v="9"/>
    <s v="ACE"/>
    <s v="CNG"/>
    <n v="6"/>
    <n v="8"/>
    <x v="1"/>
    <n v="2000"/>
    <n v="55"/>
    <n v="31"/>
    <s v="PUN01 NC Cluster 299"/>
    <m/>
    <d v="1899-12-30T01:01:00"/>
    <d v="1899-12-30T03:43:40"/>
    <n v="49074"/>
    <d v="1899-12-30T09:29:42"/>
    <d v="1899-12-30T09:29:50"/>
    <n v="49130"/>
    <n v="24"/>
    <n v="24"/>
    <n v="0"/>
    <n v="56"/>
    <n v="56"/>
    <n v="0"/>
    <n v="0"/>
    <n v="1"/>
    <x v="1"/>
    <n v="0"/>
    <n v="0"/>
    <n v="0"/>
    <n v="0"/>
    <n v="1214.52"/>
    <n v="0"/>
    <n v="1214.52"/>
    <m/>
    <m/>
  </r>
  <r>
    <n v="695"/>
    <x v="28"/>
    <s v="HINJEWADI"/>
    <s v="SLK1"/>
    <x v="0"/>
    <x v="25"/>
    <s v="ACE"/>
    <s v="CNG"/>
    <n v="4"/>
    <n v="8"/>
    <x v="0"/>
    <n v="1000"/>
    <n v="55"/>
    <n v="31"/>
    <s v="PUN01 NC Cluster 199"/>
    <m/>
    <d v="1899-12-30T02:39:00"/>
    <d v="1899-12-30T03:39:41"/>
    <n v="119248"/>
    <d v="1899-12-30T07:53:40"/>
    <d v="1899-12-30T07:53:45"/>
    <n v="119278"/>
    <n v="38"/>
    <n v="38"/>
    <n v="0"/>
    <n v="30"/>
    <n v="30"/>
    <n v="0"/>
    <n v="0"/>
    <n v="0"/>
    <x v="0"/>
    <n v="0"/>
    <n v="0"/>
    <n v="0"/>
    <n v="0"/>
    <n v="806.45"/>
    <n v="0"/>
    <n v="806.45"/>
    <m/>
    <m/>
  </r>
  <r>
    <n v="696"/>
    <x v="28"/>
    <s v="HINJEWADI"/>
    <s v="SLK1"/>
    <x v="0"/>
    <x v="10"/>
    <s v="ACE"/>
    <s v="CNG"/>
    <n v="4"/>
    <n v="8"/>
    <x v="0"/>
    <n v="1000"/>
    <n v="55"/>
    <n v="31"/>
    <s v="PUN01 NC Cluster 68"/>
    <m/>
    <d v="1899-12-30T02:59:00"/>
    <d v="1899-12-30T03:44:36"/>
    <n v="76849"/>
    <d v="1899-12-30T07:48:14"/>
    <d v="1899-12-30T07:48:37"/>
    <n v="76874"/>
    <n v="0"/>
    <n v="52"/>
    <n v="-52"/>
    <n v="25"/>
    <n v="25"/>
    <n v="0"/>
    <n v="0"/>
    <n v="0"/>
    <x v="0"/>
    <n v="0"/>
    <n v="0"/>
    <n v="0"/>
    <n v="0"/>
    <n v="806.45"/>
    <n v="0"/>
    <n v="806.45"/>
    <m/>
    <m/>
  </r>
  <r>
    <n v="697"/>
    <x v="28"/>
    <s v="HINJEWADI"/>
    <s v="SLK1"/>
    <x v="0"/>
    <x v="37"/>
    <s v="ACE"/>
    <s v="CNG"/>
    <n v="4"/>
    <n v="8"/>
    <x v="0"/>
    <n v="1000"/>
    <n v="55"/>
    <n v="31"/>
    <s v="PUN01 NC Cluster 93"/>
    <m/>
    <d v="1899-12-30T01:03:00"/>
    <d v="1899-12-30T03:43:03"/>
    <n v="66708"/>
    <d v="1899-12-30T07:52:08"/>
    <d v="1899-12-30T07:52:14"/>
    <n v="66725"/>
    <n v="25"/>
    <n v="25"/>
    <n v="0"/>
    <n v="17"/>
    <n v="17"/>
    <n v="0"/>
    <n v="0"/>
    <n v="0"/>
    <x v="0"/>
    <n v="0"/>
    <n v="0"/>
    <n v="0"/>
    <n v="0"/>
    <n v="806.45"/>
    <n v="0"/>
    <n v="806.45"/>
    <m/>
    <m/>
  </r>
  <r>
    <n v="698"/>
    <x v="28"/>
    <s v="HINJEWADI"/>
    <s v="SLK1"/>
    <x v="0"/>
    <x v="35"/>
    <s v="ACE"/>
    <s v="CNG"/>
    <n v="4"/>
    <n v="8"/>
    <x v="0"/>
    <n v="1000"/>
    <n v="55"/>
    <n v="31"/>
    <s v="PUN01 NC Cluster 97"/>
    <m/>
    <d v="1899-12-30T01:57:00"/>
    <d v="1899-12-30T03:52:27"/>
    <n v="45717"/>
    <d v="1899-12-30T07:14:04"/>
    <d v="1899-12-30T07:14:10"/>
    <n v="45745"/>
    <n v="23"/>
    <n v="23"/>
    <n v="0"/>
    <n v="28"/>
    <n v="28"/>
    <n v="0"/>
    <n v="0"/>
    <n v="0"/>
    <x v="0"/>
    <n v="0"/>
    <n v="0"/>
    <n v="0"/>
    <n v="0"/>
    <n v="806.45"/>
    <n v="0"/>
    <n v="806.45"/>
    <m/>
    <m/>
  </r>
  <r>
    <n v="699"/>
    <x v="28"/>
    <s v="HINJEWADI"/>
    <s v="SLK1"/>
    <x v="0"/>
    <x v="12"/>
    <s v="ACE"/>
    <s v="CNG"/>
    <n v="4"/>
    <n v="8"/>
    <x v="0"/>
    <n v="1000"/>
    <n v="55"/>
    <n v="31"/>
    <s v="PUN01 NC Cluster 36"/>
    <m/>
    <d v="1899-12-30T01:07:00"/>
    <d v="1899-12-30T03:39:55"/>
    <n v="86097"/>
    <d v="1899-12-30T07:56:24"/>
    <d v="1899-12-30T07:56:29"/>
    <n v="86114"/>
    <n v="35"/>
    <n v="35"/>
    <n v="0"/>
    <n v="17"/>
    <n v="17"/>
    <n v="0"/>
    <n v="0"/>
    <n v="0"/>
    <x v="0"/>
    <n v="0"/>
    <n v="0"/>
    <n v="0"/>
    <n v="0"/>
    <n v="806.45"/>
    <n v="0"/>
    <n v="806.45"/>
    <m/>
    <m/>
  </r>
  <r>
    <n v="700"/>
    <x v="28"/>
    <s v="HINJEWADI"/>
    <s v="SLK1"/>
    <x v="0"/>
    <x v="14"/>
    <s v="ACE"/>
    <s v="CNG"/>
    <n v="6"/>
    <n v="8"/>
    <x v="1"/>
    <n v="2000"/>
    <n v="55"/>
    <n v="31"/>
    <s v="PUN01 NC Cluster 303"/>
    <m/>
    <d v="1899-12-30T01:55:00"/>
    <d v="1899-12-30T03:44:38"/>
    <n v="35510"/>
    <d v="1899-12-30T07:33:40"/>
    <d v="1899-12-30T07:34:53"/>
    <n v="35578"/>
    <n v="30"/>
    <n v="30"/>
    <n v="0"/>
    <n v="68"/>
    <n v="68"/>
    <n v="0"/>
    <n v="0"/>
    <n v="0"/>
    <x v="0"/>
    <n v="0"/>
    <n v="0"/>
    <n v="0"/>
    <n v="0"/>
    <n v="1064.52"/>
    <n v="0"/>
    <n v="1064.52"/>
    <m/>
    <m/>
  </r>
  <r>
    <n v="701"/>
    <x v="28"/>
    <s v="HINJEWADI"/>
    <s v="SLK1"/>
    <x v="0"/>
    <x v="15"/>
    <s v="ACE"/>
    <s v="CNG"/>
    <n v="4"/>
    <n v="8"/>
    <x v="0"/>
    <n v="1000"/>
    <n v="55"/>
    <n v="31"/>
    <s v="PUN01 NC Cluster 42"/>
    <m/>
    <d v="1899-12-30T01:08:00"/>
    <d v="1899-12-30T03:40:58"/>
    <n v="40133"/>
    <d v="1899-12-30T08:15:03"/>
    <d v="1899-12-30T08:15:11"/>
    <n v="40146"/>
    <n v="0"/>
    <n v="47"/>
    <n v="-47"/>
    <n v="13"/>
    <n v="13"/>
    <n v="0"/>
    <n v="0"/>
    <n v="1"/>
    <x v="1"/>
    <n v="0"/>
    <n v="0"/>
    <n v="0"/>
    <n v="0"/>
    <n v="956.45"/>
    <n v="0"/>
    <n v="956.45"/>
    <m/>
    <m/>
  </r>
  <r>
    <n v="702"/>
    <x v="28"/>
    <s v="HINJEWADI"/>
    <s v="SLK1"/>
    <x v="0"/>
    <x v="17"/>
    <s v="ACE"/>
    <s v="CNG"/>
    <n v="4"/>
    <n v="8"/>
    <x v="0"/>
    <n v="1000"/>
    <n v="55"/>
    <n v="31"/>
    <s v="PUN01 NC Cluster 201"/>
    <m/>
    <d v="1899-12-30T01:09:00"/>
    <d v="1899-12-30T03:34:18"/>
    <n v="8932"/>
    <d v="1899-12-30T09:28:20"/>
    <d v="1899-12-30T09:28:26"/>
    <n v="8961"/>
    <n v="33"/>
    <n v="33"/>
    <n v="0"/>
    <n v="29"/>
    <n v="29"/>
    <n v="0"/>
    <n v="0"/>
    <n v="2"/>
    <x v="2"/>
    <n v="0"/>
    <n v="0"/>
    <n v="0"/>
    <n v="0"/>
    <n v="1106.45"/>
    <n v="0"/>
    <n v="1106.45"/>
    <m/>
    <m/>
  </r>
  <r>
    <n v="703"/>
    <x v="28"/>
    <s v="HINJEWADI"/>
    <s v="SLK1"/>
    <x v="0"/>
    <x v="18"/>
    <s v="ACE"/>
    <s v="CNG"/>
    <n v="4"/>
    <n v="8"/>
    <x v="0"/>
    <n v="1000"/>
    <n v="55"/>
    <n v="31"/>
    <s v="PUN01 NC Cluster 38"/>
    <m/>
    <d v="1899-12-30T01:08:00"/>
    <d v="1899-12-30T03:40:12"/>
    <n v="6698"/>
    <d v="1899-12-30T08:12:47"/>
    <d v="1899-12-30T08:12:53"/>
    <n v="6714"/>
    <n v="50"/>
    <n v="50"/>
    <n v="0"/>
    <n v="16"/>
    <n v="16"/>
    <n v="0"/>
    <n v="0"/>
    <n v="1"/>
    <x v="1"/>
    <n v="0"/>
    <n v="0"/>
    <n v="0"/>
    <n v="0"/>
    <n v="956.45"/>
    <n v="0"/>
    <n v="956.45"/>
    <m/>
    <m/>
  </r>
  <r>
    <n v="704"/>
    <x v="28"/>
    <s v="HINJEWADI"/>
    <s v="SLK1"/>
    <x v="0"/>
    <x v="26"/>
    <s v="ACE"/>
    <s v="CNG"/>
    <n v="4"/>
    <n v="8"/>
    <x v="0"/>
    <n v="1000"/>
    <n v="55"/>
    <n v="31"/>
    <s v="PUN01 NC Cluster 126"/>
    <m/>
    <d v="1899-12-30T02:27:00"/>
    <d v="1899-12-30T03:51:26"/>
    <n v="42540"/>
    <d v="1899-12-30T07:28:01"/>
    <d v="1899-12-30T07:28:40"/>
    <n v="42574"/>
    <n v="30"/>
    <n v="30"/>
    <n v="0"/>
    <n v="34"/>
    <n v="34"/>
    <n v="0"/>
    <n v="0"/>
    <n v="0"/>
    <x v="0"/>
    <n v="0"/>
    <n v="0"/>
    <n v="0"/>
    <n v="0"/>
    <n v="806.45"/>
    <n v="0"/>
    <n v="806.45"/>
    <m/>
    <m/>
  </r>
  <r>
    <n v="705"/>
    <x v="28"/>
    <s v="HINJEWADI"/>
    <s v="SLK1"/>
    <x v="0"/>
    <x v="41"/>
    <s v="BOLERO"/>
    <s v="DIESEL"/>
    <n v="4"/>
    <n v="10"/>
    <x v="2"/>
    <n v="1000"/>
    <n v="55"/>
    <n v="31"/>
    <s v="PUN01 NC Cluster 111"/>
    <m/>
    <d v="1899-12-30T02:48:00"/>
    <d v="1899-12-30T03:43:28"/>
    <n v="285"/>
    <d v="1899-12-30T07:46:03"/>
    <d v="1899-12-30T07:46:30"/>
    <n v="316"/>
    <n v="49"/>
    <n v="49"/>
    <n v="0"/>
    <n v="31"/>
    <n v="31"/>
    <n v="0"/>
    <n v="0"/>
    <n v="0"/>
    <x v="0"/>
    <n v="0"/>
    <n v="0"/>
    <n v="0"/>
    <n v="0"/>
    <n v="935.48"/>
    <n v="0"/>
    <n v="935.48"/>
    <m/>
    <m/>
  </r>
  <r>
    <n v="706"/>
    <x v="28"/>
    <s v="HINJEWADI"/>
    <s v="SLK1"/>
    <x v="0"/>
    <x v="19"/>
    <s v="BOLERO"/>
    <s v="DIESEL"/>
    <n v="4"/>
    <n v="10"/>
    <x v="2"/>
    <n v="1000"/>
    <n v="55"/>
    <n v="31"/>
    <s v="PUN01 NC Cluster 73"/>
    <m/>
    <d v="1899-12-30T02:55:00"/>
    <d v="1899-12-30T03:40:29"/>
    <n v="33307"/>
    <d v="1899-12-30T11:28:32"/>
    <d v="1899-12-30T11:28:42"/>
    <n v="33321"/>
    <n v="25"/>
    <n v="42"/>
    <n v="-17"/>
    <n v="14"/>
    <n v="14"/>
    <n v="0"/>
    <n v="0"/>
    <n v="4"/>
    <x v="4"/>
    <n v="0"/>
    <n v="0"/>
    <n v="0"/>
    <n v="0"/>
    <n v="1535.48"/>
    <n v="0"/>
    <n v="1535.48"/>
    <m/>
    <m/>
  </r>
  <r>
    <n v="707"/>
    <x v="28"/>
    <s v="HINJEWADI"/>
    <s v="SLK1"/>
    <x v="0"/>
    <x v="20"/>
    <s v="BOLERO"/>
    <s v="DIESEL"/>
    <n v="4"/>
    <n v="10"/>
    <x v="2"/>
    <n v="1000"/>
    <n v="55"/>
    <n v="31"/>
    <s v="PUN01 NC Cluster 85"/>
    <m/>
    <d v="1899-12-30T01:50:00"/>
    <d v="1899-12-30T03:43:39"/>
    <n v="40248"/>
    <d v="1899-12-30T07:37:39"/>
    <d v="1899-12-30T07:38:17"/>
    <n v="40267"/>
    <n v="61"/>
    <n v="61"/>
    <n v="0"/>
    <n v="19"/>
    <n v="19"/>
    <n v="0"/>
    <n v="0"/>
    <n v="0"/>
    <x v="0"/>
    <n v="0"/>
    <n v="0"/>
    <n v="0"/>
    <n v="0"/>
    <n v="935.48"/>
    <n v="0"/>
    <n v="935.48"/>
    <m/>
    <m/>
  </r>
  <r>
    <n v="708"/>
    <x v="28"/>
    <s v="HINJEWADI"/>
    <s v="SLK1"/>
    <x v="0"/>
    <x v="21"/>
    <s v="BOLERO"/>
    <s v="DIESEL"/>
    <n v="4"/>
    <n v="10"/>
    <x v="2"/>
    <n v="1000"/>
    <n v="55"/>
    <n v="31"/>
    <s v="PUN01 NC Cluster 134"/>
    <m/>
    <d v="1899-12-30T02:17:00"/>
    <d v="1899-12-30T03:46:33"/>
    <n v="4179"/>
    <d v="1899-12-30T07:31:42"/>
    <d v="1899-12-30T07:32:00"/>
    <n v="4214"/>
    <n v="75"/>
    <n v="75"/>
    <n v="0"/>
    <n v="35"/>
    <n v="35"/>
    <n v="0"/>
    <n v="0"/>
    <n v="0"/>
    <x v="0"/>
    <n v="0"/>
    <n v="0"/>
    <n v="0"/>
    <n v="0"/>
    <n v="935.48"/>
    <n v="0"/>
    <n v="935.48"/>
    <m/>
    <m/>
  </r>
  <r>
    <n v="709"/>
    <x v="28"/>
    <s v="HINJEWADI"/>
    <s v="SLK1"/>
    <x v="0"/>
    <x v="22"/>
    <s v="BOLERO"/>
    <s v="DIESEL"/>
    <n v="4"/>
    <n v="10"/>
    <x v="2"/>
    <n v="1000"/>
    <n v="55"/>
    <n v="31"/>
    <s v="PUN01 NC Cluster 141"/>
    <m/>
    <d v="1899-12-30T02:06:00"/>
    <d v="1899-12-30T03:45:40"/>
    <n v="140027"/>
    <d v="1899-12-30T07:54:07"/>
    <d v="1899-12-30T07:54:18"/>
    <n v="140048"/>
    <n v="59"/>
    <n v="59"/>
    <n v="0"/>
    <n v="21"/>
    <n v="21"/>
    <n v="0"/>
    <n v="0"/>
    <n v="0"/>
    <x v="0"/>
    <n v="0"/>
    <n v="0"/>
    <n v="0"/>
    <n v="0"/>
    <n v="935.48"/>
    <n v="0"/>
    <n v="935.48"/>
    <m/>
    <m/>
  </r>
  <r>
    <n v="710"/>
    <x v="29"/>
    <s v="HINJEWADI"/>
    <s v="SLK1"/>
    <x v="0"/>
    <x v="0"/>
    <s v="ACE"/>
    <s v="CNG"/>
    <n v="4"/>
    <n v="8"/>
    <x v="0"/>
    <n v="1000"/>
    <n v="55"/>
    <n v="31"/>
    <s v="PUN01 NC Cluster 1"/>
    <m/>
    <d v="1899-12-30T00:57:00"/>
    <d v="1899-12-30T03:41:39"/>
    <n v="58631"/>
    <d v="1899-12-30T07:02:33"/>
    <d v="1899-12-30T07:02:41"/>
    <n v="58639"/>
    <n v="36"/>
    <n v="36"/>
    <n v="0"/>
    <n v="8"/>
    <n v="8"/>
    <n v="0"/>
    <n v="0"/>
    <n v="0"/>
    <x v="0"/>
    <n v="0"/>
    <n v="0"/>
    <n v="0"/>
    <n v="0"/>
    <n v="806.45"/>
    <n v="0"/>
    <n v="806.45"/>
    <m/>
    <m/>
  </r>
  <r>
    <n v="711"/>
    <x v="29"/>
    <s v="HINJEWADI"/>
    <s v="SLK1"/>
    <x v="0"/>
    <x v="2"/>
    <s v="ACE"/>
    <s v="CNG"/>
    <n v="6"/>
    <n v="8"/>
    <x v="1"/>
    <n v="2000"/>
    <n v="55"/>
    <n v="31"/>
    <s v="PUN01 NC Cluster 230"/>
    <m/>
    <d v="1899-12-30T01:21:00"/>
    <d v="1899-12-30T03:37:52"/>
    <n v="102390"/>
    <d v="1899-12-30T08:55:46"/>
    <d v="1899-12-30T08:56:01"/>
    <n v="102417"/>
    <n v="34"/>
    <n v="46"/>
    <n v="-12"/>
    <n v="27"/>
    <n v="27"/>
    <n v="0"/>
    <n v="0"/>
    <n v="0"/>
    <x v="0"/>
    <n v="0"/>
    <n v="0"/>
    <n v="0"/>
    <n v="0"/>
    <n v="1064.52"/>
    <n v="0"/>
    <n v="1064.52"/>
    <m/>
    <m/>
  </r>
  <r>
    <n v="712"/>
    <x v="29"/>
    <s v="HINJEWADI"/>
    <s v="SLK1"/>
    <x v="0"/>
    <x v="3"/>
    <s v="ACE"/>
    <s v="CNG"/>
    <n v="4"/>
    <n v="8"/>
    <x v="0"/>
    <n v="1000"/>
    <n v="55"/>
    <n v="31"/>
    <s v="PUN01 NC Cluster 5"/>
    <m/>
    <d v="1899-12-30T02:47:00"/>
    <d v="1899-12-30T03:44:16"/>
    <n v="84681"/>
    <d v="1899-12-30T07:02:05"/>
    <d v="1899-12-30T07:02:15"/>
    <n v="84694"/>
    <n v="27"/>
    <n v="27"/>
    <n v="0"/>
    <n v="13"/>
    <n v="13"/>
    <n v="0"/>
    <n v="0"/>
    <n v="0"/>
    <x v="0"/>
    <n v="0"/>
    <n v="0"/>
    <n v="0"/>
    <n v="0"/>
    <n v="806.45"/>
    <n v="0"/>
    <n v="806.45"/>
    <m/>
    <m/>
  </r>
  <r>
    <n v="713"/>
    <x v="29"/>
    <s v="HINJEWADI"/>
    <s v="SLK1"/>
    <x v="0"/>
    <x v="30"/>
    <s v="ACE"/>
    <s v="CNG"/>
    <n v="4"/>
    <n v="8"/>
    <x v="0"/>
    <n v="1000"/>
    <n v="55"/>
    <n v="31"/>
    <s v="PUN01 NC Cluster 2"/>
    <m/>
    <d v="1899-12-30T01:06:00"/>
    <d v="1899-12-30T03:30:22"/>
    <n v="39868"/>
    <d v="1899-12-30T07:01:43"/>
    <d v="1899-12-30T07:01:52"/>
    <n v="39877"/>
    <n v="35"/>
    <n v="37"/>
    <n v="-2"/>
    <n v="9"/>
    <n v="9"/>
    <n v="0"/>
    <n v="0"/>
    <n v="0"/>
    <x v="0"/>
    <n v="0"/>
    <n v="0"/>
    <n v="0"/>
    <n v="0"/>
    <n v="806.45"/>
    <n v="0"/>
    <n v="806.45"/>
    <m/>
    <m/>
  </r>
  <r>
    <n v="714"/>
    <x v="29"/>
    <s v="HINJEWADI"/>
    <s v="SLK1"/>
    <x v="0"/>
    <x v="4"/>
    <s v="ACE"/>
    <s v="CNG"/>
    <n v="4"/>
    <n v="8"/>
    <x v="0"/>
    <n v="1000"/>
    <n v="55"/>
    <n v="31"/>
    <s v="PUN01 NC Cluster 39"/>
    <m/>
    <d v="1899-12-30T02:45:00"/>
    <d v="1899-12-30T03:52:58"/>
    <n v="13419"/>
    <d v="1899-12-30T08:10:29"/>
    <d v="1899-12-30T08:10:36"/>
    <n v="13435"/>
    <n v="47"/>
    <n v="47"/>
    <n v="0"/>
    <n v="16"/>
    <n v="16"/>
    <n v="0"/>
    <n v="0"/>
    <n v="1"/>
    <x v="1"/>
    <n v="0"/>
    <n v="0"/>
    <n v="0"/>
    <n v="0"/>
    <n v="956.45"/>
    <n v="0"/>
    <n v="956.45"/>
    <m/>
    <m/>
  </r>
  <r>
    <n v="715"/>
    <x v="29"/>
    <s v="HINJEWADI"/>
    <s v="SLK1"/>
    <x v="0"/>
    <x v="5"/>
    <s v="ACE"/>
    <s v="CNG"/>
    <n v="4"/>
    <n v="8"/>
    <x v="0"/>
    <n v="1000"/>
    <n v="55"/>
    <n v="31"/>
    <s v="PUN01 NC Cluster 87"/>
    <m/>
    <d v="1899-12-30T02:18:00"/>
    <d v="1899-12-30T03:47:23"/>
    <n v="145660"/>
    <d v="1899-12-30T07:01:16"/>
    <d v="1899-12-30T07:01:25"/>
    <n v="145675"/>
    <n v="31"/>
    <n v="31"/>
    <n v="0"/>
    <n v="15"/>
    <n v="15"/>
    <n v="0"/>
    <n v="0"/>
    <n v="0"/>
    <x v="0"/>
    <n v="0"/>
    <n v="0"/>
    <n v="0"/>
    <n v="0"/>
    <n v="806.45"/>
    <n v="0"/>
    <n v="806.45"/>
    <m/>
    <m/>
  </r>
  <r>
    <n v="716"/>
    <x v="29"/>
    <s v="HINJEWADI"/>
    <s v="SLK1"/>
    <x v="0"/>
    <x v="33"/>
    <s v="ACE"/>
    <s v="CNG"/>
    <n v="4"/>
    <n v="8"/>
    <x v="0"/>
    <n v="1000"/>
    <n v="55"/>
    <n v="31"/>
    <s v="PUN01 NC Cluster 13"/>
    <m/>
    <d v="1899-12-30T00:53:00"/>
    <d v="1899-12-30T03:38:33"/>
    <n v="166629"/>
    <d v="1899-12-30T08:00:38"/>
    <d v="1899-12-30T08:00:47"/>
    <n v="166649"/>
    <n v="22"/>
    <n v="22"/>
    <n v="0"/>
    <n v="20"/>
    <n v="20"/>
    <n v="0"/>
    <n v="0"/>
    <n v="0"/>
    <x v="0"/>
    <n v="0"/>
    <n v="0"/>
    <n v="0"/>
    <n v="0"/>
    <n v="806.45"/>
    <n v="0"/>
    <n v="806.45"/>
    <m/>
    <m/>
  </r>
  <r>
    <n v="717"/>
    <x v="29"/>
    <s v="HINJEWADI"/>
    <s v="SLK1"/>
    <x v="0"/>
    <x v="36"/>
    <s v="ACE"/>
    <s v="CNG"/>
    <n v="4"/>
    <n v="8"/>
    <x v="0"/>
    <n v="1000"/>
    <n v="55"/>
    <n v="31"/>
    <s v="PUN01 NC Cluster 12"/>
    <m/>
    <d v="1899-12-30T01:47:00"/>
    <d v="1899-12-30T03:38:10"/>
    <n v="117295"/>
    <d v="1899-12-30T08:01:01"/>
    <d v="1899-12-30T08:01:08"/>
    <n v="117315"/>
    <n v="61"/>
    <n v="61"/>
    <n v="0"/>
    <n v="20"/>
    <n v="20"/>
    <n v="0"/>
    <n v="0"/>
    <n v="1"/>
    <x v="1"/>
    <n v="0"/>
    <n v="0"/>
    <n v="0"/>
    <n v="0"/>
    <n v="956.45"/>
    <n v="0"/>
    <n v="956.45"/>
    <m/>
    <m/>
  </r>
  <r>
    <n v="718"/>
    <x v="29"/>
    <s v="HINJEWADI"/>
    <s v="SLK1"/>
    <x v="0"/>
    <x v="6"/>
    <s v="ACE"/>
    <s v="CNG"/>
    <n v="4"/>
    <n v="8"/>
    <x v="0"/>
    <n v="1000"/>
    <n v="55"/>
    <n v="31"/>
    <s v="PUN01 NC Cluster 19"/>
    <m/>
    <d v="1899-12-30T00:54:00"/>
    <d v="1899-12-30T03:39:50"/>
    <n v="146956"/>
    <d v="1899-12-30T07:02:53"/>
    <d v="1899-12-30T07:03:06"/>
    <n v="146980"/>
    <n v="44"/>
    <n v="44"/>
    <n v="0"/>
    <n v="24"/>
    <n v="24"/>
    <n v="0"/>
    <n v="0"/>
    <n v="0"/>
    <x v="0"/>
    <n v="0"/>
    <n v="0"/>
    <n v="0"/>
    <n v="0"/>
    <n v="806.45"/>
    <n v="0"/>
    <n v="806.45"/>
    <m/>
    <m/>
  </r>
  <r>
    <n v="719"/>
    <x v="29"/>
    <s v="HINJEWADI"/>
    <s v="SLK1"/>
    <x v="0"/>
    <x v="7"/>
    <s v="ACE"/>
    <s v="CNG"/>
    <n v="4"/>
    <n v="8"/>
    <x v="0"/>
    <n v="1000"/>
    <n v="55"/>
    <n v="31"/>
    <s v="PUN01 NC Cluster 103"/>
    <m/>
    <d v="1899-12-30T02:58:00"/>
    <d v="1899-12-30T03:37:10"/>
    <n v="160550"/>
    <d v="1899-12-30T07:12:46"/>
    <d v="1899-12-30T07:12:54"/>
    <n v="160572"/>
    <n v="24"/>
    <n v="20"/>
    <n v="4"/>
    <n v="22"/>
    <n v="22"/>
    <n v="0"/>
    <n v="0"/>
    <n v="0"/>
    <x v="0"/>
    <n v="0"/>
    <n v="0"/>
    <n v="0"/>
    <n v="0"/>
    <n v="806.45"/>
    <n v="0"/>
    <n v="806.45"/>
    <m/>
    <m/>
  </r>
  <r>
    <n v="720"/>
    <x v="29"/>
    <s v="HINJEWADI"/>
    <s v="SLK1"/>
    <x v="0"/>
    <x v="8"/>
    <s v="ACE"/>
    <s v="CNG"/>
    <n v="4"/>
    <n v="8"/>
    <x v="0"/>
    <n v="1000"/>
    <n v="55"/>
    <n v="31"/>
    <s v="PUN01 NC Cluster 41"/>
    <m/>
    <d v="1899-12-30T01:00:00"/>
    <d v="1899-12-30T03:48:38"/>
    <n v="115176"/>
    <d v="1899-12-30T07:57:48"/>
    <d v="1899-12-30T07:57:56"/>
    <n v="115191"/>
    <n v="41"/>
    <n v="41"/>
    <n v="0"/>
    <n v="15"/>
    <n v="15"/>
    <n v="0"/>
    <n v="0"/>
    <n v="0"/>
    <x v="0"/>
    <n v="0"/>
    <n v="0"/>
    <n v="0"/>
    <n v="0"/>
    <n v="806.45"/>
    <n v="0"/>
    <n v="806.45"/>
    <m/>
    <m/>
  </r>
  <r>
    <n v="721"/>
    <x v="29"/>
    <s v="HINJEWADI"/>
    <s v="SLK1"/>
    <x v="0"/>
    <x v="23"/>
    <s v="ACE"/>
    <s v="CNG"/>
    <n v="4"/>
    <n v="8"/>
    <x v="0"/>
    <n v="1000"/>
    <n v="55"/>
    <n v="31"/>
    <s v="PUN01 NC Cluster 106"/>
    <m/>
    <d v="1899-12-30T02:29:00"/>
    <d v="1899-12-30T03:42:55"/>
    <n v="79711"/>
    <d v="1899-12-30T08:15:01"/>
    <d v="1899-12-30T08:15:11"/>
    <n v="79737"/>
    <n v="42"/>
    <n v="42"/>
    <n v="0"/>
    <n v="26"/>
    <n v="26"/>
    <n v="0"/>
    <n v="0"/>
    <n v="1"/>
    <x v="1"/>
    <n v="0"/>
    <n v="0"/>
    <n v="0"/>
    <n v="0"/>
    <n v="956.45"/>
    <n v="0"/>
    <n v="956.45"/>
    <m/>
    <m/>
  </r>
  <r>
    <n v="722"/>
    <x v="29"/>
    <s v="HINJEWADI"/>
    <s v="SLK1"/>
    <x v="0"/>
    <x v="9"/>
    <s v="ACE"/>
    <s v="CNG"/>
    <n v="6"/>
    <n v="8"/>
    <x v="1"/>
    <n v="2000"/>
    <n v="55"/>
    <n v="31"/>
    <s v="PUN01 NC Cluster 299"/>
    <m/>
    <d v="1899-12-30T00:52:00"/>
    <d v="1899-12-30T03:39:35"/>
    <n v="49163"/>
    <d v="1899-12-30T10:39:42"/>
    <d v="1899-12-30T10:40:22"/>
    <n v="49209"/>
    <n v="20"/>
    <n v="36"/>
    <n v="-16"/>
    <n v="46"/>
    <n v="46"/>
    <n v="0"/>
    <n v="0"/>
    <n v="2"/>
    <x v="2"/>
    <n v="0"/>
    <n v="0"/>
    <n v="0"/>
    <n v="0"/>
    <n v="1364.52"/>
    <n v="0"/>
    <n v="1364.52"/>
    <m/>
    <m/>
  </r>
  <r>
    <n v="723"/>
    <x v="29"/>
    <s v="HINJEWADI"/>
    <s v="SLK1"/>
    <x v="0"/>
    <x v="25"/>
    <s v="ACE"/>
    <s v="CNG"/>
    <n v="4"/>
    <n v="8"/>
    <x v="0"/>
    <n v="1000"/>
    <n v="55"/>
    <n v="31"/>
    <s v="PUN01 NC Cluster 201"/>
    <m/>
    <d v="1899-12-30T01:16:00"/>
    <d v="1899-12-30T03:38:06"/>
    <n v="119302"/>
    <d v="1899-12-30T08:12:14"/>
    <d v="1899-12-30T08:32:23"/>
    <n v="119332"/>
    <n v="67"/>
    <n v="92"/>
    <n v="-25"/>
    <n v="30"/>
    <n v="30"/>
    <n v="0"/>
    <n v="0"/>
    <n v="1"/>
    <x v="1"/>
    <n v="0"/>
    <n v="0"/>
    <n v="0"/>
    <n v="0"/>
    <n v="956.45"/>
    <n v="0"/>
    <n v="956.45"/>
    <m/>
    <m/>
  </r>
  <r>
    <n v="724"/>
    <x v="29"/>
    <s v="HINJEWADI"/>
    <s v="SLK1"/>
    <x v="0"/>
    <x v="37"/>
    <s v="ACE"/>
    <s v="CNG"/>
    <n v="4"/>
    <n v="8"/>
    <x v="0"/>
    <n v="1000"/>
    <n v="55"/>
    <n v="31"/>
    <s v="PUN01 NC Cluster 92"/>
    <m/>
    <d v="1899-12-30T00:54:00"/>
    <d v="1899-12-30T03:36:33"/>
    <n v="66773"/>
    <d v="1899-12-30T07:43:30"/>
    <d v="1899-12-30T07:43:48"/>
    <n v="66782"/>
    <n v="42"/>
    <n v="33"/>
    <n v="9"/>
    <n v="9"/>
    <n v="9"/>
    <n v="0"/>
    <n v="0"/>
    <n v="0"/>
    <x v="0"/>
    <n v="0"/>
    <n v="0"/>
    <n v="0"/>
    <n v="0"/>
    <n v="806.45"/>
    <n v="0"/>
    <n v="806.45"/>
    <m/>
    <m/>
  </r>
  <r>
    <n v="725"/>
    <x v="29"/>
    <s v="HINJEWADI"/>
    <s v="SLK1"/>
    <x v="0"/>
    <x v="35"/>
    <s v="ACE"/>
    <s v="CNG"/>
    <n v="4"/>
    <n v="8"/>
    <x v="0"/>
    <n v="1000"/>
    <n v="55"/>
    <n v="31"/>
    <s v="PUN01 NC Cluster 20"/>
    <m/>
    <d v="1899-12-30T01:23:00"/>
    <d v="1899-12-30T03:33:50"/>
    <n v="45847"/>
    <d v="1899-12-30T07:24:08"/>
    <d v="1899-12-30T07:24:15"/>
    <n v="45869"/>
    <n v="46"/>
    <n v="46"/>
    <n v="0"/>
    <n v="22"/>
    <n v="22"/>
    <n v="0"/>
    <n v="0"/>
    <n v="0"/>
    <x v="0"/>
    <n v="0"/>
    <n v="0"/>
    <n v="0"/>
    <n v="0"/>
    <n v="806.45"/>
    <n v="0"/>
    <n v="806.45"/>
    <m/>
    <m/>
  </r>
  <r>
    <n v="726"/>
    <x v="29"/>
    <s v="HINJEWADI"/>
    <s v="SLK1"/>
    <x v="0"/>
    <x v="12"/>
    <s v="ACE"/>
    <s v="CNG"/>
    <n v="4"/>
    <n v="8"/>
    <x v="0"/>
    <n v="1000"/>
    <n v="55"/>
    <n v="31"/>
    <s v="PUN01 NC Cluster 36"/>
    <m/>
    <d v="1899-12-30T01:04:00"/>
    <d v="1899-12-30T03:51:48"/>
    <n v="86216"/>
    <d v="1899-12-30T08:11:16"/>
    <d v="1899-12-30T08:12:01"/>
    <n v="86232"/>
    <n v="32"/>
    <n v="0"/>
    <n v="32"/>
    <n v="16"/>
    <n v="16"/>
    <n v="0"/>
    <n v="0"/>
    <n v="1"/>
    <x v="1"/>
    <n v="0"/>
    <n v="0"/>
    <n v="0"/>
    <n v="0"/>
    <n v="956.45"/>
    <n v="0"/>
    <n v="956.45"/>
    <m/>
    <m/>
  </r>
  <r>
    <n v="727"/>
    <x v="29"/>
    <s v="HINJEWADI"/>
    <s v="SLK1"/>
    <x v="0"/>
    <x v="13"/>
    <s v="ACE"/>
    <s v="CNG"/>
    <n v="4"/>
    <n v="8"/>
    <x v="0"/>
    <n v="1000"/>
    <n v="55"/>
    <n v="31"/>
    <s v="PUN01 NC Cluster 25"/>
    <m/>
    <d v="1899-12-30T02:05:00"/>
    <d v="1899-12-30T03:34:04"/>
    <n v="37944"/>
    <d v="1899-12-30T08:14:11"/>
    <d v="1899-12-30T08:14:22"/>
    <n v="37967"/>
    <n v="46"/>
    <n v="46"/>
    <n v="0"/>
    <n v="23"/>
    <n v="23"/>
    <n v="0"/>
    <n v="0"/>
    <n v="1"/>
    <x v="1"/>
    <n v="0"/>
    <n v="0"/>
    <n v="0"/>
    <n v="0"/>
    <n v="956.45"/>
    <n v="0"/>
    <n v="956.45"/>
    <m/>
    <m/>
  </r>
  <r>
    <n v="728"/>
    <x v="29"/>
    <s v="HINJEWADI"/>
    <s v="SLK1"/>
    <x v="0"/>
    <x v="14"/>
    <s v="ACE"/>
    <s v="CNG"/>
    <n v="6"/>
    <n v="8"/>
    <x v="1"/>
    <n v="2000"/>
    <n v="55"/>
    <n v="31"/>
    <s v="PUN01 NC Cluster 303"/>
    <m/>
    <d v="1899-12-30T02:03:00"/>
    <d v="1899-12-30T03:37:36"/>
    <n v="35653"/>
    <d v="1899-12-30T08:13:08"/>
    <d v="1899-12-30T08:13:23"/>
    <n v="35725"/>
    <n v="28"/>
    <n v="28"/>
    <n v="0"/>
    <n v="72"/>
    <n v="72"/>
    <n v="0"/>
    <n v="0"/>
    <n v="0"/>
    <x v="0"/>
    <n v="0"/>
    <n v="0"/>
    <n v="0"/>
    <n v="0"/>
    <n v="1064.52"/>
    <n v="0"/>
    <n v="1064.52"/>
    <m/>
    <m/>
  </r>
  <r>
    <n v="729"/>
    <x v="29"/>
    <s v="HINJEWADI"/>
    <s v="SLK1"/>
    <x v="0"/>
    <x v="15"/>
    <s v="ACE"/>
    <s v="CNG"/>
    <n v="4"/>
    <n v="8"/>
    <x v="0"/>
    <n v="1000"/>
    <n v="55"/>
    <n v="31"/>
    <s v="PUN01 NC Cluster 16"/>
    <m/>
    <d v="1899-12-30T01:03:00"/>
    <d v="1899-12-30T03:50:24"/>
    <n v="40324"/>
    <d v="1899-12-30T07:23:06"/>
    <d v="1899-12-30T07:23:15"/>
    <n v="40344"/>
    <n v="34"/>
    <n v="53"/>
    <n v="-19"/>
    <n v="20"/>
    <n v="20"/>
    <n v="0"/>
    <n v="0"/>
    <n v="0"/>
    <x v="0"/>
    <n v="0"/>
    <n v="0"/>
    <n v="0"/>
    <n v="0"/>
    <n v="806.45"/>
    <n v="0"/>
    <n v="806.45"/>
    <m/>
    <m/>
  </r>
  <r>
    <n v="730"/>
    <x v="29"/>
    <s v="HINJEWADI"/>
    <s v="SLK1"/>
    <x v="0"/>
    <x v="17"/>
    <s v="ACE"/>
    <s v="CNG"/>
    <n v="4"/>
    <n v="8"/>
    <x v="0"/>
    <n v="1000"/>
    <n v="55"/>
    <n v="31"/>
    <s v="PUN01 NC Cluster 25"/>
    <m/>
    <d v="1899-12-30T02:04:00"/>
    <d v="1899-12-30T08:13:37"/>
    <n v="9014"/>
    <d v="1899-12-30T08:13:46"/>
    <d v="1899-12-30T08:13:54"/>
    <n v="9044"/>
    <n v="0"/>
    <n v="0"/>
    <n v="0"/>
    <n v="30"/>
    <n v="30"/>
    <n v="0"/>
    <n v="0"/>
    <n v="1"/>
    <x v="1"/>
    <n v="0"/>
    <n v="0"/>
    <n v="0"/>
    <n v="0"/>
    <n v="956.45"/>
    <n v="0"/>
    <n v="956.45"/>
    <m/>
    <m/>
  </r>
  <r>
    <n v="731"/>
    <x v="29"/>
    <s v="HINJEWADI"/>
    <s v="SLK1"/>
    <x v="0"/>
    <x v="18"/>
    <s v="ACE"/>
    <s v="CNG"/>
    <n v="4"/>
    <n v="8"/>
    <x v="0"/>
    <n v="1000"/>
    <n v="55"/>
    <n v="31"/>
    <s v="PUN01 NC Cluster 37"/>
    <m/>
    <d v="1899-12-30T00:58:00"/>
    <d v="1899-12-30T03:49:36"/>
    <n v="6830"/>
    <d v="1899-12-30T08:10:54"/>
    <d v="1899-12-30T08:11:01"/>
    <n v="6844"/>
    <n v="37"/>
    <n v="37"/>
    <n v="0"/>
    <n v="14"/>
    <n v="14"/>
    <n v="0"/>
    <n v="0"/>
    <n v="1"/>
    <x v="1"/>
    <n v="0"/>
    <n v="0"/>
    <n v="0"/>
    <n v="0"/>
    <n v="956.45"/>
    <n v="0"/>
    <n v="956.45"/>
    <m/>
    <m/>
  </r>
  <r>
    <n v="732"/>
    <x v="29"/>
    <s v="HINJEWADI"/>
    <s v="SLK1"/>
    <x v="0"/>
    <x v="41"/>
    <s v="BOLERO"/>
    <s v="DIESEL"/>
    <n v="4"/>
    <n v="10"/>
    <x v="2"/>
    <n v="1000"/>
    <n v="55"/>
    <n v="31"/>
    <s v="PUN01 NC Cluster 124"/>
    <m/>
    <d v="1899-12-30T02:49:00"/>
    <d v="1899-12-30T03:31:56"/>
    <n v="405"/>
    <d v="1899-12-30T07:19:44"/>
    <d v="1899-12-30T07:19:52"/>
    <n v="433"/>
    <n v="27"/>
    <n v="47"/>
    <n v="-20"/>
    <n v="28"/>
    <n v="28"/>
    <n v="0"/>
    <n v="0"/>
    <n v="0"/>
    <x v="0"/>
    <n v="0"/>
    <n v="0"/>
    <n v="0"/>
    <n v="0"/>
    <n v="935.48"/>
    <n v="0"/>
    <n v="935.48"/>
    <m/>
    <m/>
  </r>
  <r>
    <n v="733"/>
    <x v="29"/>
    <s v="HINJEWADI"/>
    <s v="SLK1"/>
    <x v="0"/>
    <x v="19"/>
    <s v="BOLERO"/>
    <s v="DIESEL"/>
    <n v="4"/>
    <n v="10"/>
    <x v="2"/>
    <n v="1000"/>
    <n v="55"/>
    <n v="31"/>
    <s v="PUN01 NC Cluster 73"/>
    <m/>
    <d v="1899-12-30T02:24:00"/>
    <d v="1899-12-30T03:48:05"/>
    <n v="33472"/>
    <d v="1899-12-30T06:58:53"/>
    <d v="1899-12-30T08:20:34"/>
    <n v="33484"/>
    <n v="22"/>
    <n v="41"/>
    <n v="-19"/>
    <n v="12"/>
    <n v="12"/>
    <n v="0"/>
    <n v="0"/>
    <n v="0"/>
    <x v="0"/>
    <n v="0"/>
    <n v="0"/>
    <n v="0"/>
    <n v="0"/>
    <n v="935.48"/>
    <n v="0"/>
    <n v="935.48"/>
    <m/>
    <m/>
  </r>
  <r>
    <n v="734"/>
    <x v="29"/>
    <s v="HINJEWADI"/>
    <s v="SLK1"/>
    <x v="0"/>
    <x v="20"/>
    <s v="BOLERO"/>
    <s v="DIESEL"/>
    <n v="4"/>
    <n v="10"/>
    <x v="2"/>
    <n v="1000"/>
    <n v="55"/>
    <n v="31"/>
    <s v="PUN01 NC Cluster 133"/>
    <m/>
    <d v="1899-12-30T01:10:00"/>
    <d v="1899-12-30T03:34:13"/>
    <n v="40335"/>
    <d v="1899-12-30T08:12:36"/>
    <d v="1899-12-30T08:12:50"/>
    <n v="40369"/>
    <n v="67"/>
    <n v="67"/>
    <n v="0"/>
    <n v="34"/>
    <n v="34"/>
    <n v="0"/>
    <n v="0"/>
    <n v="1"/>
    <x v="1"/>
    <n v="0"/>
    <n v="0"/>
    <n v="0"/>
    <n v="0"/>
    <n v="1085.48"/>
    <n v="0"/>
    <n v="1085.48"/>
    <m/>
    <m/>
  </r>
  <r>
    <n v="735"/>
    <x v="29"/>
    <s v="HINJEWADI"/>
    <s v="SLK1"/>
    <x v="0"/>
    <x v="21"/>
    <s v="BOLERO"/>
    <s v="DIESEL"/>
    <n v="4"/>
    <n v="10"/>
    <x v="2"/>
    <n v="1000"/>
    <n v="55"/>
    <n v="31"/>
    <s v="PUN01 NC Cluster 99"/>
    <m/>
    <d v="1899-12-30T02:24:00"/>
    <d v="1899-12-30T03:36:21"/>
    <n v="4267"/>
    <d v="1899-12-30T08:14:40"/>
    <d v="1899-12-30T08:14:48"/>
    <n v="4297"/>
    <n v="61"/>
    <n v="61"/>
    <n v="0"/>
    <n v="30"/>
    <n v="30"/>
    <n v="0"/>
    <n v="0"/>
    <n v="1"/>
    <x v="1"/>
    <n v="0"/>
    <n v="0"/>
    <n v="0"/>
    <n v="0"/>
    <n v="1085.48"/>
    <n v="0"/>
    <n v="1085.48"/>
    <m/>
    <m/>
  </r>
  <r>
    <n v="736"/>
    <x v="29"/>
    <s v="HINJEWADI"/>
    <s v="SLK1"/>
    <x v="0"/>
    <x v="22"/>
    <s v="BOLERO"/>
    <s v="DIESEL"/>
    <n v="4"/>
    <n v="10"/>
    <x v="2"/>
    <n v="1000"/>
    <n v="55"/>
    <n v="31"/>
    <s v="PUN01 NC Cluster 125"/>
    <m/>
    <d v="1899-12-30T02:06:00"/>
    <d v="1899-12-30T03:33:36"/>
    <n v="140080"/>
    <d v="1899-12-30T07:11:13"/>
    <d v="1899-12-30T07:11:25"/>
    <n v="140107"/>
    <n v="41"/>
    <n v="41"/>
    <n v="0"/>
    <n v="27"/>
    <n v="27"/>
    <n v="0"/>
    <n v="0"/>
    <n v="0"/>
    <x v="0"/>
    <n v="0"/>
    <n v="0"/>
    <n v="18000"/>
    <n v="0"/>
    <n v="18935.48"/>
    <n v="14000"/>
    <n v="4935.479999999999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61A0C-6CB8-479B-A152-CC0DA4EF963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I3" firstHeaderRow="0" firstDataRow="1" firstDataCol="1"/>
  <pivotFields count="40">
    <pivotField showAll="0"/>
    <pivotField numFmtId="14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4"/>
  </rowFields>
  <rowItems count="2"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EXTRA KM COST" fld="28" baseField="0" baseItem="0"/>
    <dataField name="Sum of OT COST" fld="30" baseField="0" baseItem="0"/>
    <dataField name="Sum of LATE REPORTING PENALTY" fld="32" baseField="0" baseItem="0"/>
    <dataField name="Sum of INCENTIVE" fld="33" baseField="0" baseItem="0"/>
    <dataField name="Sum of MCD TOLL" fld="34" baseField="0" baseItem="0"/>
    <dataField name="Sum of TOTAL ADDITION" fld="35" baseField="0" baseItem="0"/>
    <dataField name="Sum of TOTAL DEDEUCTION" fld="36" baseField="0" baseItem="0"/>
    <dataField name="Sum of TOTAL PAYABLE AMOUNT" fld="37" baseField="0" baseItem="0"/>
  </dataFields>
  <formats count="27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4" type="button" dataOnly="0" labelOnly="1" outline="0" axis="axisRow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field="4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54FCD-5C3D-4E08-BF0F-B8BE1F84A0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3:C90" firstHeaderRow="0" firstDataRow="1" firstDataCol="1"/>
  <pivotFields count="40">
    <pivotField showAll="0"/>
    <pivotField dataField="1" numFmtId="14" showAll="0" countASubtotal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countA"/>
      </items>
    </pivotField>
    <pivotField showAll="0"/>
    <pivotField showAll="0"/>
    <pivotField showAll="0"/>
    <pivotField axis="axisRow" showAll="0">
      <items count="44">
        <item x="0"/>
        <item x="1"/>
        <item x="29"/>
        <item x="38"/>
        <item x="2"/>
        <item x="3"/>
        <item x="30"/>
        <item x="4"/>
        <item x="28"/>
        <item x="41"/>
        <item x="5"/>
        <item x="33"/>
        <item x="36"/>
        <item x="6"/>
        <item x="7"/>
        <item x="8"/>
        <item x="23"/>
        <item x="34"/>
        <item x="42"/>
        <item x="9"/>
        <item x="24"/>
        <item x="25"/>
        <item x="10"/>
        <item x="40"/>
        <item x="37"/>
        <item x="35"/>
        <item x="11"/>
        <item x="12"/>
        <item x="19"/>
        <item x="13"/>
        <item x="14"/>
        <item x="32"/>
        <item x="20"/>
        <item x="31"/>
        <item x="15"/>
        <item x="27"/>
        <item x="39"/>
        <item x="16"/>
        <item x="17"/>
        <item x="21"/>
        <item x="18"/>
        <item x="22"/>
        <item x="26"/>
        <item t="default"/>
      </items>
    </pivotField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10"/>
  </rowFields>
  <rowItems count="87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 v="2"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 v="1"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 v="2"/>
    </i>
    <i>
      <x v="20"/>
    </i>
    <i r="1">
      <x/>
    </i>
    <i>
      <x v="21"/>
    </i>
    <i r="1">
      <x/>
    </i>
    <i>
      <x v="22"/>
    </i>
    <i r="1">
      <x/>
    </i>
    <i>
      <x v="23"/>
    </i>
    <i r="1">
      <x v="3"/>
    </i>
    <i>
      <x v="24"/>
    </i>
    <i r="1">
      <x/>
    </i>
    <i>
      <x v="25"/>
    </i>
    <i r="1">
      <x/>
    </i>
    <i>
      <x v="26"/>
    </i>
    <i r="1">
      <x/>
    </i>
    <i>
      <x v="27"/>
    </i>
    <i r="1">
      <x/>
    </i>
    <i>
      <x v="28"/>
    </i>
    <i r="1">
      <x v="1"/>
    </i>
    <i>
      <x v="29"/>
    </i>
    <i r="1">
      <x/>
    </i>
    <i>
      <x v="30"/>
    </i>
    <i r="1">
      <x v="2"/>
    </i>
    <i>
      <x v="31"/>
    </i>
    <i r="1">
      <x v="3"/>
    </i>
    <i>
      <x v="32"/>
    </i>
    <i r="1">
      <x v="1"/>
    </i>
    <i>
      <x v="33"/>
    </i>
    <i r="1">
      <x v="1"/>
    </i>
    <i>
      <x v="34"/>
    </i>
    <i r="1">
      <x/>
    </i>
    <i>
      <x v="35"/>
    </i>
    <i r="1">
      <x v="1"/>
    </i>
    <i>
      <x v="36"/>
    </i>
    <i r="1">
      <x v="3"/>
    </i>
    <i>
      <x v="37"/>
    </i>
    <i r="1">
      <x/>
    </i>
    <i>
      <x v="38"/>
    </i>
    <i r="1">
      <x/>
    </i>
    <i>
      <x v="39"/>
    </i>
    <i r="1">
      <x v="1"/>
    </i>
    <i>
      <x v="40"/>
    </i>
    <i r="1">
      <x/>
    </i>
    <i>
      <x v="41"/>
    </i>
    <i r="1">
      <x v="1"/>
    </i>
    <i>
      <x v="4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ATE" fld="1" subtotal="count" baseField="0" baseItem="0"/>
    <dataField name="Sum of OT COST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6E07-5AAE-45AB-AD6E-680037042944}">
  <dimension ref="A1:I3"/>
  <sheetViews>
    <sheetView topLeftCell="B1" workbookViewId="0">
      <selection activeCell="C2" sqref="C2"/>
    </sheetView>
  </sheetViews>
  <sheetFormatPr defaultRowHeight="14.5"/>
  <cols>
    <col min="1" max="1" width="47.7265625" bestFit="1" customWidth="1"/>
    <col min="2" max="2" width="14.81640625" bestFit="1" customWidth="1"/>
    <col min="3" max="3" width="16.81640625" bestFit="1" customWidth="1"/>
    <col min="4" max="4" width="13.26953125" bestFit="1" customWidth="1"/>
    <col min="5" max="5" width="10" bestFit="1" customWidth="1"/>
    <col min="6" max="6" width="7.81640625" bestFit="1" customWidth="1"/>
    <col min="7" max="8" width="14.81640625" customWidth="1"/>
    <col min="9" max="9" width="19.7265625" bestFit="1" customWidth="1"/>
  </cols>
  <sheetData>
    <row r="1" spans="1:9" s="39" customFormat="1" ht="46.5">
      <c r="A1" s="37" t="s">
        <v>239</v>
      </c>
      <c r="B1" s="38" t="s">
        <v>241</v>
      </c>
      <c r="C1" s="38" t="s">
        <v>242</v>
      </c>
      <c r="D1" s="38" t="s">
        <v>243</v>
      </c>
      <c r="E1" s="38" t="s">
        <v>244</v>
      </c>
      <c r="F1" s="38" t="s">
        <v>245</v>
      </c>
      <c r="G1" s="38" t="s">
        <v>246</v>
      </c>
      <c r="H1" s="38" t="s">
        <v>247</v>
      </c>
      <c r="I1" s="38" t="s">
        <v>248</v>
      </c>
    </row>
    <row r="2" spans="1:9" ht="15.5">
      <c r="A2" s="36" t="s">
        <v>42</v>
      </c>
      <c r="B2" s="36">
        <v>0</v>
      </c>
      <c r="C2" s="36">
        <v>43950</v>
      </c>
      <c r="D2" s="36">
        <v>450</v>
      </c>
      <c r="E2" s="36">
        <v>18000</v>
      </c>
      <c r="F2" s="36">
        <v>0</v>
      </c>
      <c r="G2" s="36">
        <v>693819.94999999739</v>
      </c>
      <c r="H2" s="36">
        <v>14450</v>
      </c>
      <c r="I2" s="36">
        <v>679369.94999999751</v>
      </c>
    </row>
    <row r="3" spans="1:9" ht="15.5">
      <c r="A3" s="36" t="s">
        <v>240</v>
      </c>
      <c r="B3" s="36">
        <v>0</v>
      </c>
      <c r="C3" s="36">
        <v>43950</v>
      </c>
      <c r="D3" s="36">
        <v>450</v>
      </c>
      <c r="E3" s="36">
        <v>18000</v>
      </c>
      <c r="F3" s="36">
        <v>0</v>
      </c>
      <c r="G3" s="36">
        <v>693819.94999999739</v>
      </c>
      <c r="H3" s="36">
        <v>14450</v>
      </c>
      <c r="I3" s="36">
        <v>679369.94999999751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0E00-B284-41B3-B733-4CB7329BB3E2}">
  <dimension ref="A13"/>
  <sheetViews>
    <sheetView tabSelected="1" zoomScale="90" zoomScaleNormal="90" workbookViewId="0">
      <selection activeCell="A17" sqref="A17"/>
    </sheetView>
  </sheetViews>
  <sheetFormatPr defaultRowHeight="14.5"/>
  <cols>
    <col min="1" max="1" width="12.36328125" bestFit="1" customWidth="1"/>
    <col min="2" max="3" width="11.81640625" bestFit="1" customWidth="1"/>
    <col min="4" max="4" width="4.81640625" bestFit="1" customWidth="1"/>
    <col min="5" max="5" width="11.81640625" bestFit="1" customWidth="1"/>
    <col min="6" max="6" width="2.81640625" bestFit="1" customWidth="1"/>
    <col min="7" max="7" width="6.7265625" bestFit="1" customWidth="1"/>
    <col min="8" max="8" width="10.7265625" bestFit="1" customWidth="1"/>
    <col min="9" max="9" width="21.36328125" bestFit="1" customWidth="1"/>
    <col min="10" max="10" width="3.6328125" bestFit="1" customWidth="1"/>
    <col min="11" max="11" width="6.54296875" bestFit="1" customWidth="1"/>
    <col min="12" max="12" width="8.54296875" bestFit="1" customWidth="1"/>
    <col min="13" max="13" width="11.453125" bestFit="1" customWidth="1"/>
    <col min="14" max="14" width="10.7265625" bestFit="1" customWidth="1"/>
  </cols>
  <sheetData>
    <row r="13" spans="1:1">
      <c r="A13">
        <f>COUNTIF(SHADOWFAX!B2:B737,"="&amp;SHADOWFAX!F2)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3DF3-2BE4-46D5-A251-90D46BBFB6F8}">
  <dimension ref="A3:H90"/>
  <sheetViews>
    <sheetView zoomScale="90" zoomScaleNormal="90" workbookViewId="0">
      <selection activeCell="A3" sqref="A3:C90"/>
    </sheetView>
  </sheetViews>
  <sheetFormatPr defaultRowHeight="14.5"/>
  <cols>
    <col min="1" max="1" width="15.08984375" bestFit="1" customWidth="1"/>
    <col min="2" max="2" width="13.6328125" bestFit="1" customWidth="1"/>
    <col min="3" max="3" width="15.08984375" bestFit="1" customWidth="1"/>
    <col min="4" max="6" width="9.81640625" style="44" customWidth="1"/>
    <col min="7" max="7" width="6.81640625" style="44" bestFit="1" customWidth="1"/>
    <col min="8" max="8" width="10.7265625" style="45" bestFit="1" customWidth="1"/>
    <col min="9" max="9" width="10.7265625" bestFit="1" customWidth="1"/>
    <col min="10" max="33" width="10.08984375" bestFit="1" customWidth="1"/>
    <col min="34" max="34" width="10.7265625" bestFit="1" customWidth="1"/>
    <col min="35" max="38" width="11.7265625" bestFit="1" customWidth="1"/>
    <col min="39" max="44" width="12.90625" bestFit="1" customWidth="1"/>
    <col min="45" max="46" width="12.1796875" bestFit="1" customWidth="1"/>
    <col min="47" max="47" width="10.7265625" bestFit="1" customWidth="1"/>
  </cols>
  <sheetData>
    <row r="3" spans="1:8">
      <c r="A3" s="40" t="s">
        <v>239</v>
      </c>
      <c r="B3" t="s">
        <v>249</v>
      </c>
      <c r="C3" t="s">
        <v>242</v>
      </c>
      <c r="D3" s="44" t="s">
        <v>255</v>
      </c>
      <c r="E3" s="44" t="s">
        <v>250</v>
      </c>
      <c r="F3" s="44" t="s">
        <v>256</v>
      </c>
      <c r="G3" s="44" t="s">
        <v>252</v>
      </c>
      <c r="H3" s="45" t="s">
        <v>251</v>
      </c>
    </row>
    <row r="4" spans="1:8">
      <c r="A4" s="41" t="s">
        <v>43</v>
      </c>
      <c r="B4">
        <v>29</v>
      </c>
      <c r="C4">
        <v>750</v>
      </c>
    </row>
    <row r="5" spans="1:8">
      <c r="A5" s="43">
        <v>25000</v>
      </c>
      <c r="B5">
        <v>29</v>
      </c>
      <c r="C5">
        <v>750</v>
      </c>
      <c r="D5" s="44">
        <f>IFERROR(A5/31,"")</f>
        <v>806.45161290322585</v>
      </c>
      <c r="E5" s="44">
        <f>IFERROR(GETPIVOTDATA("Count of DATE",$A$3,"VEHICLE NUMBER","MH03AH8989","BASE RATE
(Monthly)",25000)*D5,"")</f>
        <v>23387.096774193549</v>
      </c>
      <c r="F5" s="44">
        <f>IFERROR(E5+GETPIVOTDATA("Sum of OT COST",$A$3,"VEHICLE NUMBER","MH03AH8989","BASE RATE
(Monthly)",25000),"")</f>
        <v>24137.096774193549</v>
      </c>
      <c r="G5" s="44">
        <f>IFERROR(F5*0.01,"")</f>
        <v>241.37096774193549</v>
      </c>
      <c r="H5" s="45">
        <f>IFERROR(F5-G5,"")</f>
        <v>23895.725806451614</v>
      </c>
    </row>
    <row r="6" spans="1:8">
      <c r="A6" s="41" t="s">
        <v>47</v>
      </c>
      <c r="B6">
        <v>8</v>
      </c>
      <c r="C6">
        <v>300</v>
      </c>
      <c r="D6" s="44" t="str">
        <f t="shared" ref="D6:D69" si="0">IFERROR(A6/31,"")</f>
        <v/>
      </c>
      <c r="E6" s="44" t="str">
        <f t="shared" ref="E6:E69" si="1">IFERROR(GETPIVOTDATA("Count of DATE",$A$3,"VEHICLE NUMBER","MH03AH8989","BASE RATE
(Monthly)",25000)*D6,"")</f>
        <v/>
      </c>
      <c r="F6" s="44" t="str">
        <f t="shared" ref="F6:F69" si="2">IFERROR(E6+GETPIVOTDATA("Sum of OT COST",$A$3,"VEHICLE NUMBER","MH03AH8989","BASE RATE
(Monthly)",25000),"")</f>
        <v/>
      </c>
      <c r="G6" s="44" t="str">
        <f t="shared" ref="G6:G69" si="3">IFERROR(F6*0.01,"")</f>
        <v/>
      </c>
      <c r="H6" s="45" t="str">
        <f t="shared" ref="H6:H69" si="4">IFERROR(F6-G6,"")</f>
        <v/>
      </c>
    </row>
    <row r="7" spans="1:8">
      <c r="A7" s="43">
        <v>25000</v>
      </c>
      <c r="B7">
        <v>8</v>
      </c>
      <c r="C7">
        <v>300</v>
      </c>
      <c r="D7" s="44">
        <f t="shared" si="0"/>
        <v>806.45161290322585</v>
      </c>
      <c r="E7" s="44">
        <f t="shared" si="1"/>
        <v>23387.096774193549</v>
      </c>
      <c r="F7" s="44">
        <f t="shared" si="2"/>
        <v>24137.096774193549</v>
      </c>
      <c r="G7" s="44">
        <f t="shared" si="3"/>
        <v>241.37096774193549</v>
      </c>
      <c r="H7" s="45">
        <f t="shared" si="4"/>
        <v>23895.725806451614</v>
      </c>
    </row>
    <row r="8" spans="1:8">
      <c r="A8" s="41" t="s">
        <v>132</v>
      </c>
      <c r="B8">
        <v>17</v>
      </c>
      <c r="C8">
        <v>0</v>
      </c>
      <c r="D8" s="44" t="str">
        <f t="shared" si="0"/>
        <v/>
      </c>
      <c r="E8" s="44" t="str">
        <f t="shared" si="1"/>
        <v/>
      </c>
      <c r="F8" s="44" t="str">
        <f t="shared" si="2"/>
        <v/>
      </c>
      <c r="G8" s="44" t="str">
        <f t="shared" si="3"/>
        <v/>
      </c>
      <c r="H8" s="45" t="str">
        <f t="shared" si="4"/>
        <v/>
      </c>
    </row>
    <row r="9" spans="1:8">
      <c r="A9" s="43">
        <v>25000</v>
      </c>
      <c r="B9">
        <v>17</v>
      </c>
      <c r="C9">
        <v>0</v>
      </c>
      <c r="D9" s="44">
        <f t="shared" si="0"/>
        <v>806.45161290322585</v>
      </c>
      <c r="E9" s="44">
        <f t="shared" si="1"/>
        <v>23387.096774193549</v>
      </c>
      <c r="F9" s="44">
        <f t="shared" si="2"/>
        <v>24137.096774193549</v>
      </c>
      <c r="G9" s="44">
        <f t="shared" si="3"/>
        <v>241.37096774193549</v>
      </c>
      <c r="H9" s="45">
        <f t="shared" si="4"/>
        <v>23895.725806451614</v>
      </c>
    </row>
    <row r="10" spans="1:8">
      <c r="A10" s="41" t="s">
        <v>219</v>
      </c>
      <c r="B10">
        <v>1</v>
      </c>
      <c r="C10">
        <v>0</v>
      </c>
      <c r="D10" s="44" t="str">
        <f t="shared" si="0"/>
        <v/>
      </c>
      <c r="E10" s="44" t="str">
        <f t="shared" si="1"/>
        <v/>
      </c>
      <c r="F10" s="44" t="str">
        <f t="shared" si="2"/>
        <v/>
      </c>
      <c r="G10" s="44" t="str">
        <f t="shared" si="3"/>
        <v/>
      </c>
      <c r="H10" s="45" t="str">
        <f t="shared" si="4"/>
        <v/>
      </c>
    </row>
    <row r="11" spans="1:8">
      <c r="A11" s="43">
        <v>25000</v>
      </c>
      <c r="B11">
        <v>1</v>
      </c>
      <c r="C11">
        <v>0</v>
      </c>
      <c r="D11" s="44">
        <f t="shared" si="0"/>
        <v>806.45161290322585</v>
      </c>
      <c r="E11" s="44">
        <f t="shared" si="1"/>
        <v>23387.096774193549</v>
      </c>
      <c r="F11" s="44">
        <f t="shared" si="2"/>
        <v>24137.096774193549</v>
      </c>
      <c r="G11" s="44">
        <f t="shared" si="3"/>
        <v>241.37096774193549</v>
      </c>
      <c r="H11" s="45">
        <f t="shared" si="4"/>
        <v>23895.725806451614</v>
      </c>
    </row>
    <row r="12" spans="1:8">
      <c r="A12" s="41" t="s">
        <v>49</v>
      </c>
      <c r="B12">
        <v>27</v>
      </c>
      <c r="C12">
        <v>1200</v>
      </c>
      <c r="D12" s="44" t="str">
        <f t="shared" si="0"/>
        <v/>
      </c>
      <c r="E12" s="44" t="str">
        <f t="shared" si="1"/>
        <v/>
      </c>
      <c r="F12" s="44" t="str">
        <f t="shared" si="2"/>
        <v/>
      </c>
      <c r="G12" s="44" t="str">
        <f t="shared" si="3"/>
        <v/>
      </c>
      <c r="H12" s="45" t="str">
        <f t="shared" si="4"/>
        <v/>
      </c>
    </row>
    <row r="13" spans="1:8">
      <c r="A13" s="43">
        <v>33000</v>
      </c>
      <c r="B13">
        <v>27</v>
      </c>
      <c r="C13">
        <v>1200</v>
      </c>
      <c r="D13" s="44">
        <f t="shared" si="0"/>
        <v>1064.516129032258</v>
      </c>
      <c r="E13" s="44">
        <f t="shared" si="1"/>
        <v>30870.967741935485</v>
      </c>
      <c r="F13" s="44">
        <f t="shared" si="2"/>
        <v>31620.967741935485</v>
      </c>
      <c r="G13" s="44">
        <f t="shared" si="3"/>
        <v>316.20967741935488</v>
      </c>
      <c r="H13" s="45">
        <f t="shared" si="4"/>
        <v>31304.758064516129</v>
      </c>
    </row>
    <row r="14" spans="1:8">
      <c r="A14" s="41" t="s">
        <v>51</v>
      </c>
      <c r="B14">
        <v>20</v>
      </c>
      <c r="C14">
        <v>300</v>
      </c>
      <c r="D14" s="44" t="str">
        <f t="shared" si="0"/>
        <v/>
      </c>
      <c r="E14" s="44" t="str">
        <f t="shared" si="1"/>
        <v/>
      </c>
      <c r="F14" s="44" t="str">
        <f t="shared" si="2"/>
        <v/>
      </c>
      <c r="G14" s="44" t="str">
        <f t="shared" si="3"/>
        <v/>
      </c>
      <c r="H14" s="45" t="str">
        <f t="shared" si="4"/>
        <v/>
      </c>
    </row>
    <row r="15" spans="1:8">
      <c r="A15" s="43">
        <v>25000</v>
      </c>
      <c r="B15">
        <v>20</v>
      </c>
      <c r="C15">
        <v>300</v>
      </c>
      <c r="D15" s="44">
        <f t="shared" si="0"/>
        <v>806.45161290322585</v>
      </c>
      <c r="E15" s="44">
        <f t="shared" si="1"/>
        <v>23387.096774193549</v>
      </c>
      <c r="F15" s="44">
        <f t="shared" si="2"/>
        <v>24137.096774193549</v>
      </c>
      <c r="G15" s="44">
        <f t="shared" si="3"/>
        <v>241.37096774193549</v>
      </c>
      <c r="H15" s="45">
        <f t="shared" si="4"/>
        <v>23895.725806451614</v>
      </c>
    </row>
    <row r="16" spans="1:8">
      <c r="A16" s="41" t="s">
        <v>145</v>
      </c>
      <c r="B16">
        <v>23</v>
      </c>
      <c r="C16">
        <v>1200</v>
      </c>
      <c r="D16" s="44" t="str">
        <f t="shared" si="0"/>
        <v/>
      </c>
      <c r="E16" s="44" t="str">
        <f t="shared" si="1"/>
        <v/>
      </c>
      <c r="F16" s="44" t="str">
        <f t="shared" si="2"/>
        <v/>
      </c>
      <c r="G16" s="44" t="str">
        <f t="shared" si="3"/>
        <v/>
      </c>
      <c r="H16" s="45" t="str">
        <f t="shared" si="4"/>
        <v/>
      </c>
    </row>
    <row r="17" spans="1:8">
      <c r="A17" s="43">
        <v>25000</v>
      </c>
      <c r="B17">
        <v>23</v>
      </c>
      <c r="C17">
        <v>1200</v>
      </c>
      <c r="D17" s="44">
        <f t="shared" si="0"/>
        <v>806.45161290322585</v>
      </c>
      <c r="E17" s="44">
        <f t="shared" si="1"/>
        <v>23387.096774193549</v>
      </c>
      <c r="F17" s="44">
        <f t="shared" si="2"/>
        <v>24137.096774193549</v>
      </c>
      <c r="G17" s="44">
        <f t="shared" si="3"/>
        <v>241.37096774193549</v>
      </c>
      <c r="H17" s="45">
        <f t="shared" si="4"/>
        <v>23895.725806451614</v>
      </c>
    </row>
    <row r="18" spans="1:8">
      <c r="A18" s="41" t="s">
        <v>53</v>
      </c>
      <c r="B18">
        <v>25</v>
      </c>
      <c r="C18">
        <v>2850</v>
      </c>
      <c r="D18" s="44" t="str">
        <f t="shared" si="0"/>
        <v/>
      </c>
      <c r="E18" s="44" t="str">
        <f t="shared" si="1"/>
        <v/>
      </c>
      <c r="F18" s="44" t="str">
        <f t="shared" si="2"/>
        <v/>
      </c>
      <c r="G18" s="44" t="str">
        <f t="shared" si="3"/>
        <v/>
      </c>
      <c r="H18" s="45" t="str">
        <f t="shared" si="4"/>
        <v/>
      </c>
    </row>
    <row r="19" spans="1:8">
      <c r="A19" s="43">
        <v>25000</v>
      </c>
      <c r="B19">
        <v>25</v>
      </c>
      <c r="C19">
        <v>2850</v>
      </c>
      <c r="D19" s="44">
        <f t="shared" si="0"/>
        <v>806.45161290322585</v>
      </c>
      <c r="E19" s="44">
        <f t="shared" si="1"/>
        <v>23387.096774193549</v>
      </c>
      <c r="F19" s="44">
        <f t="shared" si="2"/>
        <v>24137.096774193549</v>
      </c>
      <c r="G19" s="44">
        <f t="shared" si="3"/>
        <v>241.37096774193549</v>
      </c>
      <c r="H19" s="45">
        <f t="shared" si="4"/>
        <v>23895.725806451614</v>
      </c>
    </row>
    <row r="20" spans="1:8">
      <c r="A20" s="41" t="s">
        <v>120</v>
      </c>
      <c r="B20">
        <v>6</v>
      </c>
      <c r="C20">
        <v>600</v>
      </c>
      <c r="D20" s="44" t="str">
        <f t="shared" si="0"/>
        <v/>
      </c>
      <c r="E20" s="44" t="str">
        <f t="shared" si="1"/>
        <v/>
      </c>
      <c r="F20" s="44" t="str">
        <f t="shared" si="2"/>
        <v/>
      </c>
      <c r="G20" s="44" t="str">
        <f t="shared" si="3"/>
        <v/>
      </c>
      <c r="H20" s="45" t="str">
        <f t="shared" si="4"/>
        <v/>
      </c>
    </row>
    <row r="21" spans="1:8">
      <c r="A21" s="43">
        <v>25000</v>
      </c>
      <c r="B21">
        <v>6</v>
      </c>
      <c r="C21">
        <v>600</v>
      </c>
      <c r="D21" s="44">
        <f t="shared" si="0"/>
        <v>806.45161290322585</v>
      </c>
      <c r="E21" s="44">
        <f t="shared" si="1"/>
        <v>23387.096774193549</v>
      </c>
      <c r="F21" s="44">
        <f t="shared" si="2"/>
        <v>24137.096774193549</v>
      </c>
      <c r="G21" s="44">
        <f t="shared" si="3"/>
        <v>241.37096774193549</v>
      </c>
      <c r="H21" s="45">
        <f t="shared" si="4"/>
        <v>23895.725806451614</v>
      </c>
    </row>
    <row r="22" spans="1:8">
      <c r="A22" s="41" t="s">
        <v>232</v>
      </c>
      <c r="B22">
        <v>5</v>
      </c>
      <c r="C22">
        <v>600</v>
      </c>
      <c r="D22" s="44" t="str">
        <f t="shared" si="0"/>
        <v/>
      </c>
      <c r="E22" s="44" t="str">
        <f t="shared" si="1"/>
        <v/>
      </c>
      <c r="F22" s="44" t="str">
        <f t="shared" si="2"/>
        <v/>
      </c>
      <c r="G22" s="44" t="str">
        <f t="shared" si="3"/>
        <v/>
      </c>
      <c r="H22" s="45" t="str">
        <f t="shared" si="4"/>
        <v/>
      </c>
    </row>
    <row r="23" spans="1:8">
      <c r="A23" s="43">
        <v>29000</v>
      </c>
      <c r="B23">
        <v>5</v>
      </c>
      <c r="C23">
        <v>600</v>
      </c>
      <c r="D23" s="44">
        <f t="shared" si="0"/>
        <v>935.48387096774195</v>
      </c>
      <c r="E23" s="44">
        <f t="shared" si="1"/>
        <v>27129.032258064515</v>
      </c>
      <c r="F23" s="44">
        <f t="shared" si="2"/>
        <v>27879.032258064515</v>
      </c>
      <c r="G23" s="44">
        <f t="shared" si="3"/>
        <v>278.79032258064518</v>
      </c>
      <c r="H23" s="45">
        <f t="shared" si="4"/>
        <v>27600.241935483871</v>
      </c>
    </row>
    <row r="24" spans="1:8">
      <c r="A24" s="41" t="s">
        <v>55</v>
      </c>
      <c r="B24">
        <v>29</v>
      </c>
      <c r="C24">
        <v>450</v>
      </c>
      <c r="D24" s="44" t="str">
        <f t="shared" si="0"/>
        <v/>
      </c>
      <c r="E24" s="44" t="str">
        <f t="shared" si="1"/>
        <v/>
      </c>
      <c r="F24" s="44" t="str">
        <f t="shared" si="2"/>
        <v/>
      </c>
      <c r="G24" s="44" t="str">
        <f t="shared" si="3"/>
        <v/>
      </c>
      <c r="H24" s="45" t="str">
        <f t="shared" si="4"/>
        <v/>
      </c>
    </row>
    <row r="25" spans="1:8">
      <c r="A25" s="43">
        <v>25000</v>
      </c>
      <c r="B25">
        <v>29</v>
      </c>
      <c r="C25">
        <v>450</v>
      </c>
      <c r="D25" s="44">
        <f t="shared" si="0"/>
        <v>806.45161290322585</v>
      </c>
      <c r="E25" s="44">
        <f t="shared" si="1"/>
        <v>23387.096774193549</v>
      </c>
      <c r="F25" s="44">
        <f t="shared" si="2"/>
        <v>24137.096774193549</v>
      </c>
      <c r="G25" s="44">
        <f t="shared" si="3"/>
        <v>241.37096774193549</v>
      </c>
      <c r="H25" s="45">
        <f t="shared" si="4"/>
        <v>23895.725806451614</v>
      </c>
    </row>
    <row r="26" spans="1:8">
      <c r="A26" s="41" t="s">
        <v>176</v>
      </c>
      <c r="B26">
        <v>12</v>
      </c>
      <c r="C26">
        <v>1350</v>
      </c>
      <c r="D26" s="44" t="str">
        <f t="shared" si="0"/>
        <v/>
      </c>
      <c r="E26" s="44" t="str">
        <f t="shared" si="1"/>
        <v/>
      </c>
      <c r="F26" s="44" t="str">
        <f t="shared" si="2"/>
        <v/>
      </c>
      <c r="G26" s="44" t="str">
        <f t="shared" si="3"/>
        <v/>
      </c>
      <c r="H26" s="45" t="str">
        <f t="shared" si="4"/>
        <v/>
      </c>
    </row>
    <row r="27" spans="1:8">
      <c r="A27" s="43">
        <v>25000</v>
      </c>
      <c r="B27">
        <v>12</v>
      </c>
      <c r="C27">
        <v>1350</v>
      </c>
      <c r="D27" s="44">
        <f t="shared" si="0"/>
        <v>806.45161290322585</v>
      </c>
      <c r="E27" s="44">
        <f t="shared" si="1"/>
        <v>23387.096774193549</v>
      </c>
      <c r="F27" s="44">
        <f t="shared" si="2"/>
        <v>24137.096774193549</v>
      </c>
      <c r="G27" s="44">
        <f t="shared" si="3"/>
        <v>241.37096774193549</v>
      </c>
      <c r="H27" s="45">
        <f t="shared" si="4"/>
        <v>23895.725806451614</v>
      </c>
    </row>
    <row r="28" spans="1:8">
      <c r="A28" s="41" t="s">
        <v>182</v>
      </c>
      <c r="B28">
        <v>15</v>
      </c>
      <c r="C28">
        <v>1350</v>
      </c>
      <c r="D28" s="44" t="str">
        <f t="shared" si="0"/>
        <v/>
      </c>
      <c r="E28" s="44" t="str">
        <f t="shared" si="1"/>
        <v/>
      </c>
      <c r="F28" s="44" t="str">
        <f t="shared" si="2"/>
        <v/>
      </c>
      <c r="G28" s="44" t="str">
        <f t="shared" si="3"/>
        <v/>
      </c>
      <c r="H28" s="45" t="str">
        <f t="shared" si="4"/>
        <v/>
      </c>
    </row>
    <row r="29" spans="1:8">
      <c r="A29" s="43">
        <v>25000</v>
      </c>
      <c r="B29">
        <v>15</v>
      </c>
      <c r="C29">
        <v>1350</v>
      </c>
      <c r="D29" s="44">
        <f t="shared" si="0"/>
        <v>806.45161290322585</v>
      </c>
      <c r="E29" s="44">
        <f t="shared" si="1"/>
        <v>23387.096774193549</v>
      </c>
      <c r="F29" s="44">
        <f t="shared" si="2"/>
        <v>24137.096774193549</v>
      </c>
      <c r="G29" s="44">
        <f t="shared" si="3"/>
        <v>241.37096774193549</v>
      </c>
      <c r="H29" s="45">
        <f t="shared" si="4"/>
        <v>23895.725806451614</v>
      </c>
    </row>
    <row r="30" spans="1:8">
      <c r="A30" s="41" t="s">
        <v>57</v>
      </c>
      <c r="B30">
        <v>28</v>
      </c>
      <c r="C30">
        <v>2550</v>
      </c>
      <c r="D30" s="44" t="str">
        <f t="shared" si="0"/>
        <v/>
      </c>
      <c r="E30" s="44" t="str">
        <f t="shared" si="1"/>
        <v/>
      </c>
      <c r="F30" s="44" t="str">
        <f t="shared" si="2"/>
        <v/>
      </c>
      <c r="G30" s="44" t="str">
        <f t="shared" si="3"/>
        <v/>
      </c>
      <c r="H30" s="45" t="str">
        <f t="shared" si="4"/>
        <v/>
      </c>
    </row>
    <row r="31" spans="1:8">
      <c r="A31" s="43">
        <v>25000</v>
      </c>
      <c r="B31">
        <v>28</v>
      </c>
      <c r="C31">
        <v>2550</v>
      </c>
      <c r="D31" s="44">
        <f t="shared" si="0"/>
        <v>806.45161290322585</v>
      </c>
      <c r="E31" s="44">
        <f t="shared" si="1"/>
        <v>23387.096774193549</v>
      </c>
      <c r="F31" s="44">
        <f t="shared" si="2"/>
        <v>24137.096774193549</v>
      </c>
      <c r="G31" s="44">
        <f t="shared" si="3"/>
        <v>241.37096774193549</v>
      </c>
      <c r="H31" s="45">
        <f t="shared" si="4"/>
        <v>23895.725806451614</v>
      </c>
    </row>
    <row r="32" spans="1:8">
      <c r="A32" s="41" t="s">
        <v>59</v>
      </c>
      <c r="B32">
        <v>24</v>
      </c>
      <c r="C32">
        <v>2400</v>
      </c>
      <c r="D32" s="44" t="str">
        <f t="shared" si="0"/>
        <v/>
      </c>
      <c r="E32" s="44" t="str">
        <f t="shared" si="1"/>
        <v/>
      </c>
      <c r="F32" s="44" t="str">
        <f t="shared" si="2"/>
        <v/>
      </c>
      <c r="G32" s="44" t="str">
        <f t="shared" si="3"/>
        <v/>
      </c>
      <c r="H32" s="45" t="str">
        <f t="shared" si="4"/>
        <v/>
      </c>
    </row>
    <row r="33" spans="1:8">
      <c r="A33" s="43">
        <v>25000</v>
      </c>
      <c r="B33">
        <v>24</v>
      </c>
      <c r="C33">
        <v>2400</v>
      </c>
      <c r="D33" s="44">
        <f t="shared" si="0"/>
        <v>806.45161290322585</v>
      </c>
      <c r="E33" s="44">
        <f t="shared" si="1"/>
        <v>23387.096774193549</v>
      </c>
      <c r="F33" s="44">
        <f t="shared" si="2"/>
        <v>24137.096774193549</v>
      </c>
      <c r="G33" s="44">
        <f t="shared" si="3"/>
        <v>241.37096774193549</v>
      </c>
      <c r="H33" s="45">
        <f t="shared" si="4"/>
        <v>23895.725806451614</v>
      </c>
    </row>
    <row r="34" spans="1:8">
      <c r="A34" s="41" t="s">
        <v>60</v>
      </c>
      <c r="B34">
        <v>24</v>
      </c>
      <c r="C34">
        <v>1350</v>
      </c>
      <c r="D34" s="44" t="str">
        <f t="shared" si="0"/>
        <v/>
      </c>
      <c r="E34" s="44" t="str">
        <f t="shared" si="1"/>
        <v/>
      </c>
      <c r="F34" s="44" t="str">
        <f t="shared" si="2"/>
        <v/>
      </c>
      <c r="G34" s="44" t="str">
        <f t="shared" si="3"/>
        <v/>
      </c>
      <c r="H34" s="45" t="str">
        <f t="shared" si="4"/>
        <v/>
      </c>
    </row>
    <row r="35" spans="1:8">
      <c r="A35" s="43">
        <v>25000</v>
      </c>
      <c r="B35">
        <v>24</v>
      </c>
      <c r="C35">
        <v>1350</v>
      </c>
      <c r="D35" s="44">
        <f t="shared" si="0"/>
        <v>806.45161290322585</v>
      </c>
      <c r="E35" s="44">
        <f t="shared" si="1"/>
        <v>23387.096774193549</v>
      </c>
      <c r="F35" s="44">
        <f t="shared" si="2"/>
        <v>24137.096774193549</v>
      </c>
      <c r="G35" s="44">
        <f t="shared" si="3"/>
        <v>241.37096774193549</v>
      </c>
      <c r="H35" s="45">
        <f t="shared" si="4"/>
        <v>23895.725806451614</v>
      </c>
    </row>
    <row r="36" spans="1:8">
      <c r="A36" s="41" t="s">
        <v>97</v>
      </c>
      <c r="B36">
        <v>21</v>
      </c>
      <c r="C36">
        <v>1050</v>
      </c>
      <c r="D36" s="44" t="str">
        <f t="shared" si="0"/>
        <v/>
      </c>
      <c r="E36" s="44" t="str">
        <f t="shared" si="1"/>
        <v/>
      </c>
      <c r="F36" s="44" t="str">
        <f t="shared" si="2"/>
        <v/>
      </c>
      <c r="G36" s="44" t="str">
        <f t="shared" si="3"/>
        <v/>
      </c>
      <c r="H36" s="45" t="str">
        <f t="shared" si="4"/>
        <v/>
      </c>
    </row>
    <row r="37" spans="1:8">
      <c r="A37" s="43">
        <v>25000</v>
      </c>
      <c r="B37">
        <v>21</v>
      </c>
      <c r="C37">
        <v>1050</v>
      </c>
      <c r="D37" s="44">
        <f t="shared" si="0"/>
        <v>806.45161290322585</v>
      </c>
      <c r="E37" s="44">
        <f t="shared" si="1"/>
        <v>23387.096774193549</v>
      </c>
      <c r="F37" s="44">
        <f t="shared" si="2"/>
        <v>24137.096774193549</v>
      </c>
      <c r="G37" s="44">
        <f t="shared" si="3"/>
        <v>241.37096774193549</v>
      </c>
      <c r="H37" s="45">
        <f t="shared" si="4"/>
        <v>23895.725806451614</v>
      </c>
    </row>
    <row r="38" spans="1:8">
      <c r="A38" s="41" t="s">
        <v>177</v>
      </c>
      <c r="B38">
        <v>5</v>
      </c>
      <c r="C38">
        <v>300</v>
      </c>
      <c r="D38" s="44" t="str">
        <f t="shared" si="0"/>
        <v/>
      </c>
      <c r="E38" s="44" t="str">
        <f t="shared" si="1"/>
        <v/>
      </c>
      <c r="F38" s="44" t="str">
        <f t="shared" si="2"/>
        <v/>
      </c>
      <c r="G38" s="44" t="str">
        <f t="shared" si="3"/>
        <v/>
      </c>
      <c r="H38" s="45" t="str">
        <f t="shared" si="4"/>
        <v/>
      </c>
    </row>
    <row r="39" spans="1:8">
      <c r="A39" s="43">
        <v>25000</v>
      </c>
      <c r="B39">
        <v>5</v>
      </c>
      <c r="C39">
        <v>300</v>
      </c>
      <c r="D39" s="44">
        <f t="shared" si="0"/>
        <v>806.45161290322585</v>
      </c>
      <c r="E39" s="44">
        <f t="shared" si="1"/>
        <v>23387.096774193549</v>
      </c>
      <c r="F39" s="44">
        <f t="shared" si="2"/>
        <v>24137.096774193549</v>
      </c>
      <c r="G39" s="44">
        <f t="shared" si="3"/>
        <v>241.37096774193549</v>
      </c>
      <c r="H39" s="45">
        <f t="shared" si="4"/>
        <v>23895.725806451614</v>
      </c>
    </row>
    <row r="40" spans="1:8">
      <c r="A40" s="41" t="s">
        <v>235</v>
      </c>
      <c r="B40">
        <v>1</v>
      </c>
      <c r="C40">
        <v>0</v>
      </c>
      <c r="D40" s="44" t="str">
        <f t="shared" si="0"/>
        <v/>
      </c>
      <c r="E40" s="44" t="str">
        <f t="shared" si="1"/>
        <v/>
      </c>
      <c r="F40" s="44" t="str">
        <f t="shared" si="2"/>
        <v/>
      </c>
      <c r="G40" s="44" t="str">
        <f t="shared" si="3"/>
        <v/>
      </c>
      <c r="H40" s="45" t="str">
        <f t="shared" si="4"/>
        <v/>
      </c>
    </row>
    <row r="41" spans="1:8">
      <c r="A41" s="43">
        <v>25000</v>
      </c>
      <c r="B41">
        <v>1</v>
      </c>
      <c r="C41">
        <v>0</v>
      </c>
      <c r="D41" s="44">
        <f t="shared" si="0"/>
        <v>806.45161290322585</v>
      </c>
      <c r="E41" s="44">
        <f t="shared" si="1"/>
        <v>23387.096774193549</v>
      </c>
      <c r="F41" s="44">
        <f t="shared" si="2"/>
        <v>24137.096774193549</v>
      </c>
      <c r="G41" s="44">
        <f t="shared" si="3"/>
        <v>241.37096774193549</v>
      </c>
      <c r="H41" s="45">
        <f t="shared" si="4"/>
        <v>23895.725806451614</v>
      </c>
    </row>
    <row r="42" spans="1:8">
      <c r="A42" s="41" t="s">
        <v>62</v>
      </c>
      <c r="B42">
        <v>25</v>
      </c>
      <c r="C42">
        <v>1650</v>
      </c>
      <c r="D42" s="44" t="str">
        <f t="shared" si="0"/>
        <v/>
      </c>
      <c r="E42" s="44" t="str">
        <f t="shared" si="1"/>
        <v/>
      </c>
      <c r="F42" s="44" t="str">
        <f t="shared" si="2"/>
        <v/>
      </c>
      <c r="G42" s="44" t="str">
        <f t="shared" si="3"/>
        <v/>
      </c>
      <c r="H42" s="45" t="str">
        <f t="shared" si="4"/>
        <v/>
      </c>
    </row>
    <row r="43" spans="1:8">
      <c r="A43" s="43">
        <v>33000</v>
      </c>
      <c r="B43">
        <v>25</v>
      </c>
      <c r="C43">
        <v>1650</v>
      </c>
      <c r="D43" s="44">
        <f t="shared" si="0"/>
        <v>1064.516129032258</v>
      </c>
      <c r="E43" s="44">
        <f t="shared" si="1"/>
        <v>30870.967741935485</v>
      </c>
      <c r="F43" s="44">
        <f t="shared" si="2"/>
        <v>31620.967741935485</v>
      </c>
      <c r="G43" s="44">
        <f t="shared" si="3"/>
        <v>316.20967741935488</v>
      </c>
      <c r="H43" s="45">
        <f t="shared" si="4"/>
        <v>31304.758064516129</v>
      </c>
    </row>
    <row r="44" spans="1:8">
      <c r="A44" s="41" t="s">
        <v>99</v>
      </c>
      <c r="B44">
        <v>10</v>
      </c>
      <c r="C44">
        <v>750</v>
      </c>
      <c r="D44" s="44" t="str">
        <f t="shared" si="0"/>
        <v/>
      </c>
      <c r="E44" s="44" t="str">
        <f t="shared" si="1"/>
        <v/>
      </c>
      <c r="F44" s="44" t="str">
        <f t="shared" si="2"/>
        <v/>
      </c>
      <c r="G44" s="44" t="str">
        <f t="shared" si="3"/>
        <v/>
      </c>
      <c r="H44" s="45" t="str">
        <f t="shared" si="4"/>
        <v/>
      </c>
    </row>
    <row r="45" spans="1:8">
      <c r="A45" s="43">
        <v>25000</v>
      </c>
      <c r="B45">
        <v>10</v>
      </c>
      <c r="C45">
        <v>750</v>
      </c>
      <c r="D45" s="44">
        <f t="shared" si="0"/>
        <v>806.45161290322585</v>
      </c>
      <c r="E45" s="44">
        <f t="shared" si="1"/>
        <v>23387.096774193549</v>
      </c>
      <c r="F45" s="44">
        <f t="shared" si="2"/>
        <v>24137.096774193549</v>
      </c>
      <c r="G45" s="44">
        <f t="shared" si="3"/>
        <v>241.37096774193549</v>
      </c>
      <c r="H45" s="45">
        <f t="shared" si="4"/>
        <v>23895.725806451614</v>
      </c>
    </row>
    <row r="46" spans="1:8">
      <c r="A46" s="41" t="s">
        <v>101</v>
      </c>
      <c r="B46">
        <v>22</v>
      </c>
      <c r="C46">
        <v>2100</v>
      </c>
      <c r="D46" s="44" t="str">
        <f t="shared" si="0"/>
        <v/>
      </c>
      <c r="E46" s="44" t="str">
        <f t="shared" si="1"/>
        <v/>
      </c>
      <c r="F46" s="44" t="str">
        <f t="shared" si="2"/>
        <v/>
      </c>
      <c r="G46" s="44" t="str">
        <f t="shared" si="3"/>
        <v/>
      </c>
      <c r="H46" s="45" t="str">
        <f t="shared" si="4"/>
        <v/>
      </c>
    </row>
    <row r="47" spans="1:8">
      <c r="A47" s="43">
        <v>25000</v>
      </c>
      <c r="B47">
        <v>22</v>
      </c>
      <c r="C47">
        <v>2100</v>
      </c>
      <c r="D47" s="44">
        <f t="shared" si="0"/>
        <v>806.45161290322585</v>
      </c>
      <c r="E47" s="44">
        <f t="shared" si="1"/>
        <v>23387.096774193549</v>
      </c>
      <c r="F47" s="44">
        <f t="shared" si="2"/>
        <v>24137.096774193549</v>
      </c>
      <c r="G47" s="44">
        <f t="shared" si="3"/>
        <v>241.37096774193549</v>
      </c>
      <c r="H47" s="45">
        <f t="shared" si="4"/>
        <v>23895.725806451614</v>
      </c>
    </row>
    <row r="48" spans="1:8">
      <c r="A48" s="41" t="s">
        <v>64</v>
      </c>
      <c r="B48">
        <v>15</v>
      </c>
      <c r="C48">
        <v>900</v>
      </c>
      <c r="D48" s="44" t="str">
        <f t="shared" si="0"/>
        <v/>
      </c>
      <c r="E48" s="44" t="str">
        <f t="shared" si="1"/>
        <v/>
      </c>
      <c r="F48" s="44" t="str">
        <f t="shared" si="2"/>
        <v/>
      </c>
      <c r="G48" s="44" t="str">
        <f t="shared" si="3"/>
        <v/>
      </c>
      <c r="H48" s="45" t="str">
        <f t="shared" si="4"/>
        <v/>
      </c>
    </row>
    <row r="49" spans="1:8">
      <c r="A49" s="43">
        <v>25000</v>
      </c>
      <c r="B49">
        <v>15</v>
      </c>
      <c r="C49">
        <v>900</v>
      </c>
      <c r="D49" s="44">
        <f t="shared" si="0"/>
        <v>806.45161290322585</v>
      </c>
      <c r="E49" s="44">
        <f t="shared" si="1"/>
        <v>23387.096774193549</v>
      </c>
      <c r="F49" s="44">
        <f t="shared" si="2"/>
        <v>24137.096774193549</v>
      </c>
      <c r="G49" s="44">
        <f t="shared" si="3"/>
        <v>241.37096774193549</v>
      </c>
      <c r="H49" s="45">
        <f t="shared" si="4"/>
        <v>23895.725806451614</v>
      </c>
    </row>
    <row r="50" spans="1:8">
      <c r="A50" s="41" t="s">
        <v>228</v>
      </c>
      <c r="B50">
        <v>2</v>
      </c>
      <c r="C50">
        <v>0</v>
      </c>
      <c r="D50" s="44" t="str">
        <f t="shared" si="0"/>
        <v/>
      </c>
      <c r="E50" s="44" t="str">
        <f t="shared" si="1"/>
        <v/>
      </c>
      <c r="F50" s="44" t="str">
        <f t="shared" si="2"/>
        <v/>
      </c>
      <c r="G50" s="44" t="str">
        <f t="shared" si="3"/>
        <v/>
      </c>
      <c r="H50" s="45" t="str">
        <f t="shared" si="4"/>
        <v/>
      </c>
    </row>
    <row r="51" spans="1:8">
      <c r="A51" s="43">
        <v>38000</v>
      </c>
      <c r="B51">
        <v>2</v>
      </c>
      <c r="C51">
        <v>0</v>
      </c>
      <c r="D51" s="44">
        <f t="shared" si="0"/>
        <v>1225.8064516129032</v>
      </c>
      <c r="E51" s="44">
        <f t="shared" si="1"/>
        <v>35548.38709677419</v>
      </c>
      <c r="F51" s="44">
        <f t="shared" si="2"/>
        <v>36298.38709677419</v>
      </c>
      <c r="G51" s="44">
        <f t="shared" si="3"/>
        <v>362.98387096774189</v>
      </c>
      <c r="H51" s="45">
        <f t="shared" si="4"/>
        <v>35935.403225806447</v>
      </c>
    </row>
    <row r="52" spans="1:8">
      <c r="A52" s="41" t="s">
        <v>185</v>
      </c>
      <c r="B52">
        <v>14</v>
      </c>
      <c r="C52">
        <v>1500</v>
      </c>
      <c r="D52" s="44" t="str">
        <f t="shared" si="0"/>
        <v/>
      </c>
      <c r="E52" s="44" t="str">
        <f t="shared" si="1"/>
        <v/>
      </c>
      <c r="F52" s="44" t="str">
        <f t="shared" si="2"/>
        <v/>
      </c>
      <c r="G52" s="44" t="str">
        <f t="shared" si="3"/>
        <v/>
      </c>
      <c r="H52" s="45" t="str">
        <f t="shared" si="4"/>
        <v/>
      </c>
    </row>
    <row r="53" spans="1:8">
      <c r="A53" s="43">
        <v>25000</v>
      </c>
      <c r="B53">
        <v>14</v>
      </c>
      <c r="C53">
        <v>1500</v>
      </c>
      <c r="D53" s="44">
        <f t="shared" si="0"/>
        <v>806.45161290322585</v>
      </c>
      <c r="E53" s="44">
        <f t="shared" si="1"/>
        <v>23387.096774193549</v>
      </c>
      <c r="F53" s="44">
        <f t="shared" si="2"/>
        <v>24137.096774193549</v>
      </c>
      <c r="G53" s="44">
        <f t="shared" si="3"/>
        <v>241.37096774193549</v>
      </c>
      <c r="H53" s="45">
        <f t="shared" si="4"/>
        <v>23895.725806451614</v>
      </c>
    </row>
    <row r="54" spans="1:8">
      <c r="A54" s="41" t="s">
        <v>178</v>
      </c>
      <c r="B54">
        <v>12</v>
      </c>
      <c r="C54">
        <v>150</v>
      </c>
      <c r="D54" s="44" t="str">
        <f t="shared" si="0"/>
        <v/>
      </c>
      <c r="E54" s="44" t="str">
        <f t="shared" si="1"/>
        <v/>
      </c>
      <c r="F54" s="44" t="str">
        <f t="shared" si="2"/>
        <v/>
      </c>
      <c r="G54" s="44" t="str">
        <f t="shared" si="3"/>
        <v/>
      </c>
      <c r="H54" s="45" t="str">
        <f t="shared" si="4"/>
        <v/>
      </c>
    </row>
    <row r="55" spans="1:8">
      <c r="A55" s="43">
        <v>25000</v>
      </c>
      <c r="B55">
        <v>12</v>
      </c>
      <c r="C55">
        <v>150</v>
      </c>
      <c r="D55" s="44">
        <f t="shared" si="0"/>
        <v>806.45161290322585</v>
      </c>
      <c r="E55" s="44">
        <f t="shared" si="1"/>
        <v>23387.096774193549</v>
      </c>
      <c r="F55" s="44">
        <f t="shared" si="2"/>
        <v>24137.096774193549</v>
      </c>
      <c r="G55" s="44">
        <f t="shared" si="3"/>
        <v>241.37096774193549</v>
      </c>
      <c r="H55" s="45">
        <f t="shared" si="4"/>
        <v>23895.725806451614</v>
      </c>
    </row>
    <row r="56" spans="1:8">
      <c r="A56" s="41" t="s">
        <v>66</v>
      </c>
      <c r="B56">
        <v>2</v>
      </c>
      <c r="C56">
        <v>150</v>
      </c>
      <c r="D56" s="44" t="str">
        <f t="shared" si="0"/>
        <v/>
      </c>
      <c r="E56" s="44" t="str">
        <f t="shared" si="1"/>
        <v/>
      </c>
      <c r="F56" s="44" t="str">
        <f t="shared" si="2"/>
        <v/>
      </c>
      <c r="G56" s="44" t="str">
        <f t="shared" si="3"/>
        <v/>
      </c>
      <c r="H56" s="45" t="str">
        <f t="shared" si="4"/>
        <v/>
      </c>
    </row>
    <row r="57" spans="1:8">
      <c r="A57" s="43">
        <v>25000</v>
      </c>
      <c r="B57">
        <v>2</v>
      </c>
      <c r="C57">
        <v>150</v>
      </c>
      <c r="D57" s="44">
        <f t="shared" si="0"/>
        <v>806.45161290322585</v>
      </c>
      <c r="E57" s="44">
        <f t="shared" si="1"/>
        <v>23387.096774193549</v>
      </c>
      <c r="F57" s="44">
        <f t="shared" si="2"/>
        <v>24137.096774193549</v>
      </c>
      <c r="G57" s="44">
        <f t="shared" si="3"/>
        <v>241.37096774193549</v>
      </c>
      <c r="H57" s="45">
        <f t="shared" si="4"/>
        <v>23895.725806451614</v>
      </c>
    </row>
    <row r="58" spans="1:8">
      <c r="A58" s="41" t="s">
        <v>68</v>
      </c>
      <c r="B58">
        <v>27</v>
      </c>
      <c r="C58">
        <v>1050</v>
      </c>
      <c r="D58" s="44" t="str">
        <f t="shared" si="0"/>
        <v/>
      </c>
      <c r="E58" s="44" t="str">
        <f t="shared" si="1"/>
        <v/>
      </c>
      <c r="F58" s="44" t="str">
        <f t="shared" si="2"/>
        <v/>
      </c>
      <c r="G58" s="44" t="str">
        <f t="shared" si="3"/>
        <v/>
      </c>
      <c r="H58" s="45" t="str">
        <f t="shared" si="4"/>
        <v/>
      </c>
    </row>
    <row r="59" spans="1:8">
      <c r="A59" s="43">
        <v>25000</v>
      </c>
      <c r="B59">
        <v>27</v>
      </c>
      <c r="C59">
        <v>1050</v>
      </c>
      <c r="D59" s="44">
        <f t="shared" si="0"/>
        <v>806.45161290322585</v>
      </c>
      <c r="E59" s="44">
        <f t="shared" si="1"/>
        <v>23387.096774193549</v>
      </c>
      <c r="F59" s="44">
        <f t="shared" si="2"/>
        <v>24137.096774193549</v>
      </c>
      <c r="G59" s="44">
        <f t="shared" si="3"/>
        <v>241.37096774193549</v>
      </c>
      <c r="H59" s="45">
        <f t="shared" si="4"/>
        <v>23895.725806451614</v>
      </c>
    </row>
    <row r="60" spans="1:8">
      <c r="A60" s="41" t="s">
        <v>82</v>
      </c>
      <c r="B60">
        <v>22</v>
      </c>
      <c r="C60">
        <v>2400</v>
      </c>
      <c r="D60" s="44" t="str">
        <f t="shared" si="0"/>
        <v/>
      </c>
      <c r="E60" s="44" t="str">
        <f t="shared" si="1"/>
        <v/>
      </c>
      <c r="F60" s="44" t="str">
        <f t="shared" si="2"/>
        <v/>
      </c>
      <c r="G60" s="44" t="str">
        <f t="shared" si="3"/>
        <v/>
      </c>
      <c r="H60" s="45" t="str">
        <f t="shared" si="4"/>
        <v/>
      </c>
    </row>
    <row r="61" spans="1:8">
      <c r="A61" s="43">
        <v>29000</v>
      </c>
      <c r="B61">
        <v>22</v>
      </c>
      <c r="C61">
        <v>2400</v>
      </c>
      <c r="D61" s="44">
        <f t="shared" si="0"/>
        <v>935.48387096774195</v>
      </c>
      <c r="E61" s="44">
        <f t="shared" si="1"/>
        <v>27129.032258064515</v>
      </c>
      <c r="F61" s="44">
        <f t="shared" si="2"/>
        <v>27879.032258064515</v>
      </c>
      <c r="G61" s="44">
        <f t="shared" si="3"/>
        <v>278.79032258064518</v>
      </c>
      <c r="H61" s="45">
        <f t="shared" si="4"/>
        <v>27600.241935483871</v>
      </c>
    </row>
    <row r="62" spans="1:8">
      <c r="A62" s="41" t="s">
        <v>70</v>
      </c>
      <c r="B62">
        <v>25</v>
      </c>
      <c r="C62">
        <v>750</v>
      </c>
      <c r="D62" s="44" t="str">
        <f t="shared" si="0"/>
        <v/>
      </c>
      <c r="E62" s="44" t="str">
        <f t="shared" si="1"/>
        <v/>
      </c>
      <c r="F62" s="44" t="str">
        <f t="shared" si="2"/>
        <v/>
      </c>
      <c r="G62" s="44" t="str">
        <f t="shared" si="3"/>
        <v/>
      </c>
      <c r="H62" s="45" t="str">
        <f t="shared" si="4"/>
        <v/>
      </c>
    </row>
    <row r="63" spans="1:8">
      <c r="A63" s="43">
        <v>25000</v>
      </c>
      <c r="B63">
        <v>25</v>
      </c>
      <c r="C63">
        <v>750</v>
      </c>
      <c r="D63" s="44">
        <f t="shared" si="0"/>
        <v>806.45161290322585</v>
      </c>
      <c r="E63" s="44">
        <f t="shared" si="1"/>
        <v>23387.096774193549</v>
      </c>
      <c r="F63" s="44">
        <f t="shared" si="2"/>
        <v>24137.096774193549</v>
      </c>
      <c r="G63" s="44">
        <f t="shared" si="3"/>
        <v>241.37096774193549</v>
      </c>
      <c r="H63" s="45">
        <f t="shared" si="4"/>
        <v>23895.725806451614</v>
      </c>
    </row>
    <row r="64" spans="1:8">
      <c r="A64" s="41" t="s">
        <v>72</v>
      </c>
      <c r="B64">
        <v>27</v>
      </c>
      <c r="C64">
        <v>150</v>
      </c>
      <c r="D64" s="44" t="str">
        <f t="shared" si="0"/>
        <v/>
      </c>
      <c r="E64" s="44" t="str">
        <f t="shared" si="1"/>
        <v/>
      </c>
      <c r="F64" s="44" t="str">
        <f t="shared" si="2"/>
        <v/>
      </c>
      <c r="G64" s="44" t="str">
        <f t="shared" si="3"/>
        <v/>
      </c>
      <c r="H64" s="45" t="str">
        <f t="shared" si="4"/>
        <v/>
      </c>
    </row>
    <row r="65" spans="1:8">
      <c r="A65" s="43">
        <v>33000</v>
      </c>
      <c r="B65">
        <v>27</v>
      </c>
      <c r="C65">
        <v>150</v>
      </c>
      <c r="D65" s="44">
        <f t="shared" si="0"/>
        <v>1064.516129032258</v>
      </c>
      <c r="E65" s="44">
        <f t="shared" si="1"/>
        <v>30870.967741935485</v>
      </c>
      <c r="F65" s="44">
        <f t="shared" si="2"/>
        <v>31620.967741935485</v>
      </c>
      <c r="G65" s="44">
        <f t="shared" si="3"/>
        <v>316.20967741935488</v>
      </c>
      <c r="H65" s="45">
        <f t="shared" si="4"/>
        <v>31304.758064516129</v>
      </c>
    </row>
    <row r="66" spans="1:8">
      <c r="A66" s="41" t="s">
        <v>163</v>
      </c>
      <c r="B66">
        <v>1</v>
      </c>
      <c r="C66">
        <v>0</v>
      </c>
      <c r="D66" s="44" t="str">
        <f t="shared" si="0"/>
        <v/>
      </c>
      <c r="E66" s="44" t="str">
        <f t="shared" si="1"/>
        <v/>
      </c>
      <c r="F66" s="44" t="str">
        <f t="shared" si="2"/>
        <v/>
      </c>
      <c r="G66" s="44" t="str">
        <f t="shared" si="3"/>
        <v/>
      </c>
      <c r="H66" s="45" t="str">
        <f t="shared" si="4"/>
        <v/>
      </c>
    </row>
    <row r="67" spans="1:8">
      <c r="A67" s="43">
        <v>38000</v>
      </c>
      <c r="B67">
        <v>1</v>
      </c>
      <c r="C67">
        <v>0</v>
      </c>
      <c r="D67" s="44">
        <f t="shared" si="0"/>
        <v>1225.8064516129032</v>
      </c>
      <c r="E67" s="44">
        <f t="shared" si="1"/>
        <v>35548.38709677419</v>
      </c>
      <c r="F67" s="44">
        <f t="shared" si="2"/>
        <v>36298.38709677419</v>
      </c>
      <c r="G67" s="44">
        <f t="shared" si="3"/>
        <v>362.98387096774189</v>
      </c>
      <c r="H67" s="45">
        <f t="shared" si="4"/>
        <v>35935.403225806447</v>
      </c>
    </row>
    <row r="68" spans="1:8">
      <c r="A68" s="41" t="s">
        <v>85</v>
      </c>
      <c r="B68">
        <v>28</v>
      </c>
      <c r="C68">
        <v>1950</v>
      </c>
      <c r="D68" s="44" t="str">
        <f t="shared" si="0"/>
        <v/>
      </c>
      <c r="E68" s="44" t="str">
        <f t="shared" si="1"/>
        <v/>
      </c>
      <c r="F68" s="44" t="str">
        <f t="shared" si="2"/>
        <v/>
      </c>
      <c r="G68" s="44" t="str">
        <f t="shared" si="3"/>
        <v/>
      </c>
      <c r="H68" s="45" t="str">
        <f t="shared" si="4"/>
        <v/>
      </c>
    </row>
    <row r="69" spans="1:8">
      <c r="A69" s="43">
        <v>29000</v>
      </c>
      <c r="B69">
        <v>28</v>
      </c>
      <c r="C69">
        <v>1950</v>
      </c>
      <c r="D69" s="44">
        <f t="shared" si="0"/>
        <v>935.48387096774195</v>
      </c>
      <c r="E69" s="44">
        <f t="shared" si="1"/>
        <v>27129.032258064515</v>
      </c>
      <c r="F69" s="44">
        <f t="shared" si="2"/>
        <v>27879.032258064515</v>
      </c>
      <c r="G69" s="44">
        <f t="shared" si="3"/>
        <v>278.79032258064518</v>
      </c>
      <c r="H69" s="45">
        <f t="shared" si="4"/>
        <v>27600.241935483871</v>
      </c>
    </row>
    <row r="70" spans="1:8">
      <c r="A70" s="41" t="s">
        <v>150</v>
      </c>
      <c r="B70">
        <v>10</v>
      </c>
      <c r="C70">
        <v>300</v>
      </c>
      <c r="D70" s="44" t="str">
        <f t="shared" ref="D70:D90" si="5">IFERROR(A70/31,"")</f>
        <v/>
      </c>
      <c r="E70" s="44" t="str">
        <f t="shared" ref="E70:E90" si="6">IFERROR(GETPIVOTDATA("Count of DATE",$A$3,"VEHICLE NUMBER","MH03AH8989","BASE RATE
(Monthly)",25000)*D70,"")</f>
        <v/>
      </c>
      <c r="F70" s="44" t="str">
        <f t="shared" ref="F70:F90" si="7">IFERROR(E70+GETPIVOTDATA("Sum of OT COST",$A$3,"VEHICLE NUMBER","MH03AH8989","BASE RATE
(Monthly)",25000),"")</f>
        <v/>
      </c>
      <c r="G70" s="44" t="str">
        <f t="shared" ref="G70:G90" si="8">IFERROR(F70*0.01,"")</f>
        <v/>
      </c>
      <c r="H70" s="45" t="str">
        <f t="shared" ref="H70:H89" si="9">IFERROR(F70-G70,"")</f>
        <v/>
      </c>
    </row>
    <row r="71" spans="1:8">
      <c r="A71" s="43">
        <v>29000</v>
      </c>
      <c r="B71">
        <v>10</v>
      </c>
      <c r="C71">
        <v>300</v>
      </c>
      <c r="D71" s="44">
        <f t="shared" si="5"/>
        <v>935.48387096774195</v>
      </c>
      <c r="E71" s="44">
        <f t="shared" si="6"/>
        <v>27129.032258064515</v>
      </c>
      <c r="F71" s="44">
        <f t="shared" si="7"/>
        <v>27879.032258064515</v>
      </c>
      <c r="G71" s="44">
        <f t="shared" si="8"/>
        <v>278.79032258064518</v>
      </c>
      <c r="H71" s="45">
        <f t="shared" si="9"/>
        <v>27600.241935483871</v>
      </c>
    </row>
    <row r="72" spans="1:8">
      <c r="A72" s="41" t="s">
        <v>74</v>
      </c>
      <c r="B72">
        <v>30</v>
      </c>
      <c r="C72">
        <v>1500</v>
      </c>
      <c r="D72" s="44" t="str">
        <f t="shared" si="5"/>
        <v/>
      </c>
      <c r="E72" s="44" t="str">
        <f t="shared" si="6"/>
        <v/>
      </c>
      <c r="F72" s="44" t="str">
        <f t="shared" si="7"/>
        <v/>
      </c>
      <c r="G72" s="44" t="str">
        <f t="shared" si="8"/>
        <v/>
      </c>
      <c r="H72" s="45" t="str">
        <f t="shared" si="9"/>
        <v/>
      </c>
    </row>
    <row r="73" spans="1:8">
      <c r="A73" s="43">
        <v>25000</v>
      </c>
      <c r="B73">
        <v>30</v>
      </c>
      <c r="C73">
        <v>1500</v>
      </c>
      <c r="D73" s="44">
        <f t="shared" si="5"/>
        <v>806.45161290322585</v>
      </c>
      <c r="E73" s="44">
        <f t="shared" si="6"/>
        <v>23387.096774193549</v>
      </c>
      <c r="F73" s="44">
        <f t="shared" si="7"/>
        <v>24137.096774193549</v>
      </c>
      <c r="G73" s="44">
        <f t="shared" si="8"/>
        <v>241.37096774193549</v>
      </c>
      <c r="H73" s="45">
        <f t="shared" si="9"/>
        <v>23895.725806451614</v>
      </c>
    </row>
    <row r="74" spans="1:8">
      <c r="A74" s="41" t="s">
        <v>117</v>
      </c>
      <c r="B74">
        <v>4</v>
      </c>
      <c r="C74">
        <v>300</v>
      </c>
      <c r="D74" s="44" t="str">
        <f t="shared" si="5"/>
        <v/>
      </c>
      <c r="E74" s="44" t="str">
        <f t="shared" si="6"/>
        <v/>
      </c>
      <c r="F74" s="44" t="str">
        <f t="shared" si="7"/>
        <v/>
      </c>
      <c r="G74" s="44" t="str">
        <f t="shared" si="8"/>
        <v/>
      </c>
      <c r="H74" s="45" t="str">
        <f t="shared" si="9"/>
        <v/>
      </c>
    </row>
    <row r="75" spans="1:8">
      <c r="A75" s="43">
        <v>29000</v>
      </c>
      <c r="B75">
        <v>4</v>
      </c>
      <c r="C75">
        <v>300</v>
      </c>
      <c r="D75" s="44">
        <f t="shared" si="5"/>
        <v>935.48387096774195</v>
      </c>
      <c r="E75" s="44">
        <f t="shared" si="6"/>
        <v>27129.032258064515</v>
      </c>
      <c r="F75" s="44">
        <f t="shared" si="7"/>
        <v>27879.032258064515</v>
      </c>
      <c r="G75" s="44">
        <f t="shared" si="8"/>
        <v>278.79032258064518</v>
      </c>
      <c r="H75" s="45">
        <f t="shared" si="9"/>
        <v>27600.241935483871</v>
      </c>
    </row>
    <row r="76" spans="1:8">
      <c r="A76" s="41" t="s">
        <v>225</v>
      </c>
      <c r="B76">
        <v>1</v>
      </c>
      <c r="C76">
        <v>0</v>
      </c>
      <c r="D76" s="44" t="str">
        <f t="shared" si="5"/>
        <v/>
      </c>
      <c r="E76" s="44" t="str">
        <f t="shared" si="6"/>
        <v/>
      </c>
      <c r="F76" s="44" t="str">
        <f t="shared" si="7"/>
        <v/>
      </c>
      <c r="G76" s="44" t="str">
        <f t="shared" si="8"/>
        <v/>
      </c>
      <c r="H76" s="45" t="str">
        <f t="shared" si="9"/>
        <v/>
      </c>
    </row>
    <row r="77" spans="1:8">
      <c r="A77" s="43">
        <v>38000</v>
      </c>
      <c r="B77">
        <v>1</v>
      </c>
      <c r="C77">
        <v>0</v>
      </c>
      <c r="D77" s="44">
        <f t="shared" si="5"/>
        <v>1225.8064516129032</v>
      </c>
      <c r="E77" s="44">
        <f t="shared" si="6"/>
        <v>35548.38709677419</v>
      </c>
      <c r="F77" s="44">
        <f t="shared" si="7"/>
        <v>36298.38709677419</v>
      </c>
      <c r="G77" s="44">
        <f t="shared" si="8"/>
        <v>362.98387096774189</v>
      </c>
      <c r="H77" s="45">
        <f t="shared" si="9"/>
        <v>35935.403225806447</v>
      </c>
    </row>
    <row r="78" spans="1:8">
      <c r="A78" s="41" t="s">
        <v>76</v>
      </c>
      <c r="B78">
        <v>1</v>
      </c>
      <c r="C78">
        <v>0</v>
      </c>
      <c r="D78" s="44" t="str">
        <f t="shared" si="5"/>
        <v/>
      </c>
      <c r="E78" s="44" t="str">
        <f t="shared" si="6"/>
        <v/>
      </c>
      <c r="F78" s="44" t="str">
        <f t="shared" si="7"/>
        <v/>
      </c>
      <c r="G78" s="44" t="str">
        <f t="shared" si="8"/>
        <v/>
      </c>
      <c r="H78" s="45" t="str">
        <f t="shared" si="9"/>
        <v/>
      </c>
    </row>
    <row r="79" spans="1:8">
      <c r="A79" s="43">
        <v>25000</v>
      </c>
      <c r="B79">
        <v>1</v>
      </c>
      <c r="C79">
        <v>0</v>
      </c>
      <c r="D79" s="44">
        <f t="shared" si="5"/>
        <v>806.45161290322585</v>
      </c>
      <c r="E79" s="44">
        <f t="shared" si="6"/>
        <v>23387.096774193549</v>
      </c>
      <c r="F79" s="44">
        <f t="shared" si="7"/>
        <v>24137.096774193549</v>
      </c>
      <c r="G79" s="44">
        <f t="shared" si="8"/>
        <v>241.37096774193549</v>
      </c>
      <c r="H79" s="45">
        <f t="shared" si="9"/>
        <v>23895.725806451614</v>
      </c>
    </row>
    <row r="80" spans="1:8">
      <c r="A80" s="41" t="s">
        <v>78</v>
      </c>
      <c r="B80">
        <v>30</v>
      </c>
      <c r="C80">
        <v>4200</v>
      </c>
      <c r="D80" s="44" t="str">
        <f t="shared" si="5"/>
        <v/>
      </c>
      <c r="E80" s="44" t="str">
        <f t="shared" si="6"/>
        <v/>
      </c>
      <c r="F80" s="44" t="str">
        <f t="shared" si="7"/>
        <v/>
      </c>
      <c r="G80" s="44" t="str">
        <f t="shared" si="8"/>
        <v/>
      </c>
      <c r="H80" s="45" t="str">
        <f t="shared" si="9"/>
        <v/>
      </c>
    </row>
    <row r="81" spans="1:8">
      <c r="A81" s="43">
        <v>25000</v>
      </c>
      <c r="B81">
        <v>30</v>
      </c>
      <c r="C81">
        <v>4200</v>
      </c>
      <c r="D81" s="44">
        <f t="shared" si="5"/>
        <v>806.45161290322585</v>
      </c>
      <c r="E81" s="44">
        <f t="shared" si="6"/>
        <v>23387.096774193549</v>
      </c>
      <c r="F81" s="44">
        <f t="shared" si="7"/>
        <v>24137.096774193549</v>
      </c>
      <c r="G81" s="44">
        <f t="shared" si="8"/>
        <v>241.37096774193549</v>
      </c>
      <c r="H81" s="45">
        <f t="shared" si="9"/>
        <v>23895.725806451614</v>
      </c>
    </row>
    <row r="82" spans="1:8">
      <c r="A82" s="41" t="s">
        <v>87</v>
      </c>
      <c r="B82">
        <v>30</v>
      </c>
      <c r="C82">
        <v>2850</v>
      </c>
      <c r="D82" s="44" t="str">
        <f t="shared" si="5"/>
        <v/>
      </c>
      <c r="E82" s="44" t="str">
        <f t="shared" si="6"/>
        <v/>
      </c>
      <c r="F82" s="44" t="str">
        <f t="shared" si="7"/>
        <v/>
      </c>
      <c r="G82" s="44" t="str">
        <f t="shared" si="8"/>
        <v/>
      </c>
      <c r="H82" s="45" t="str">
        <f t="shared" si="9"/>
        <v/>
      </c>
    </row>
    <row r="83" spans="1:8">
      <c r="A83" s="43">
        <v>29000</v>
      </c>
      <c r="B83">
        <v>30</v>
      </c>
      <c r="C83">
        <v>2850</v>
      </c>
      <c r="D83" s="44">
        <f t="shared" si="5"/>
        <v>935.48387096774195</v>
      </c>
      <c r="E83" s="44">
        <f t="shared" si="6"/>
        <v>27129.032258064515</v>
      </c>
      <c r="F83" s="44">
        <f t="shared" si="7"/>
        <v>27879.032258064515</v>
      </c>
      <c r="G83" s="44">
        <f t="shared" si="8"/>
        <v>278.79032258064518</v>
      </c>
      <c r="H83" s="45">
        <f t="shared" si="9"/>
        <v>27600.241935483871</v>
      </c>
    </row>
    <row r="84" spans="1:8">
      <c r="A84" s="41" t="s">
        <v>80</v>
      </c>
      <c r="B84">
        <v>30</v>
      </c>
      <c r="C84">
        <v>1500</v>
      </c>
      <c r="D84" s="44" t="str">
        <f t="shared" si="5"/>
        <v/>
      </c>
      <c r="E84" s="44" t="str">
        <f t="shared" si="6"/>
        <v/>
      </c>
      <c r="F84" s="44" t="str">
        <f t="shared" si="7"/>
        <v/>
      </c>
      <c r="G84" s="44" t="str">
        <f t="shared" si="8"/>
        <v/>
      </c>
      <c r="H84" s="45" t="str">
        <f t="shared" si="9"/>
        <v/>
      </c>
    </row>
    <row r="85" spans="1:8">
      <c r="A85" s="43">
        <v>25000</v>
      </c>
      <c r="B85">
        <v>30</v>
      </c>
      <c r="C85">
        <v>1500</v>
      </c>
      <c r="D85" s="44">
        <f t="shared" si="5"/>
        <v>806.45161290322585</v>
      </c>
      <c r="E85" s="44">
        <f t="shared" si="6"/>
        <v>23387.096774193549</v>
      </c>
      <c r="F85" s="44">
        <f t="shared" si="7"/>
        <v>24137.096774193549</v>
      </c>
      <c r="G85" s="44">
        <f t="shared" si="8"/>
        <v>241.37096774193549</v>
      </c>
      <c r="H85" s="45">
        <f t="shared" si="9"/>
        <v>23895.725806451614</v>
      </c>
    </row>
    <row r="86" spans="1:8">
      <c r="A86" s="41" t="s">
        <v>89</v>
      </c>
      <c r="B86">
        <v>27</v>
      </c>
      <c r="C86">
        <v>900</v>
      </c>
      <c r="D86" s="44" t="str">
        <f t="shared" si="5"/>
        <v/>
      </c>
      <c r="E86" s="44" t="str">
        <f t="shared" si="6"/>
        <v/>
      </c>
      <c r="F86" s="44" t="str">
        <f t="shared" si="7"/>
        <v/>
      </c>
      <c r="G86" s="44" t="str">
        <f t="shared" si="8"/>
        <v/>
      </c>
      <c r="H86" s="45" t="str">
        <f t="shared" si="9"/>
        <v/>
      </c>
    </row>
    <row r="87" spans="1:8">
      <c r="A87" s="43">
        <v>29000</v>
      </c>
      <c r="B87">
        <v>27</v>
      </c>
      <c r="C87">
        <v>900</v>
      </c>
      <c r="D87" s="44">
        <f t="shared" si="5"/>
        <v>935.48387096774195</v>
      </c>
      <c r="E87" s="44">
        <f t="shared" si="6"/>
        <v>27129.032258064515</v>
      </c>
      <c r="F87" s="44">
        <f t="shared" si="7"/>
        <v>27879.032258064515</v>
      </c>
      <c r="G87" s="44">
        <f t="shared" si="8"/>
        <v>278.79032258064518</v>
      </c>
      <c r="H87" s="45">
        <f t="shared" si="9"/>
        <v>27600.241935483871</v>
      </c>
    </row>
    <row r="88" spans="1:8">
      <c r="A88" s="41" t="s">
        <v>105</v>
      </c>
      <c r="B88">
        <v>21</v>
      </c>
      <c r="C88">
        <v>300</v>
      </c>
      <c r="D88" s="44" t="str">
        <f t="shared" si="5"/>
        <v/>
      </c>
      <c r="E88" s="44" t="str">
        <f t="shared" si="6"/>
        <v/>
      </c>
      <c r="F88" s="44" t="str">
        <f t="shared" si="7"/>
        <v/>
      </c>
      <c r="G88" s="44" t="str">
        <f t="shared" si="8"/>
        <v/>
      </c>
      <c r="H88" s="45" t="str">
        <f t="shared" si="9"/>
        <v/>
      </c>
    </row>
    <row r="89" spans="1:8">
      <c r="A89" s="43">
        <v>25000</v>
      </c>
      <c r="B89">
        <v>21</v>
      </c>
      <c r="C89">
        <v>300</v>
      </c>
      <c r="D89" s="44">
        <f t="shared" si="5"/>
        <v>806.45161290322585</v>
      </c>
      <c r="E89" s="44">
        <f t="shared" si="6"/>
        <v>23387.096774193549</v>
      </c>
      <c r="F89" s="44">
        <f t="shared" si="7"/>
        <v>24137.096774193549</v>
      </c>
      <c r="G89" s="44">
        <f t="shared" si="8"/>
        <v>241.37096774193549</v>
      </c>
      <c r="H89" s="45">
        <f t="shared" si="9"/>
        <v>23895.725806451614</v>
      </c>
    </row>
    <row r="90" spans="1:8">
      <c r="A90" s="41" t="s">
        <v>240</v>
      </c>
      <c r="B90">
        <v>736</v>
      </c>
      <c r="C90">
        <v>43950</v>
      </c>
      <c r="D90" s="44" t="str">
        <f t="shared" si="5"/>
        <v/>
      </c>
      <c r="E90" s="44" t="str">
        <f t="shared" si="6"/>
        <v/>
      </c>
      <c r="F90" s="44" t="str">
        <f t="shared" si="7"/>
        <v/>
      </c>
      <c r="G90" s="44" t="str">
        <f t="shared" si="8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6290-CDA1-47F4-ACFF-1CE19C2EB3EF}">
  <dimension ref="A1:AN737"/>
  <sheetViews>
    <sheetView workbookViewId="0">
      <selection activeCell="AO1" sqref="AO1"/>
    </sheetView>
  </sheetViews>
  <sheetFormatPr defaultRowHeight="14.5"/>
  <cols>
    <col min="1" max="1" width="6.453125" bestFit="1" customWidth="1"/>
    <col min="2" max="3" width="11.81640625" bestFit="1" customWidth="1"/>
    <col min="4" max="4" width="18.26953125" bestFit="1" customWidth="1"/>
    <col min="5" max="5" width="46.453125" bestFit="1" customWidth="1"/>
    <col min="6" max="6" width="18.26953125" bestFit="1" customWidth="1"/>
    <col min="7" max="7" width="14.1796875" bestFit="1" customWidth="1"/>
    <col min="8" max="8" width="10.81640625" bestFit="1" customWidth="1"/>
    <col min="9" max="9" width="11.54296875" bestFit="1" customWidth="1"/>
    <col min="10" max="10" width="22.453125" bestFit="1" customWidth="1"/>
    <col min="11" max="11" width="23" bestFit="1" customWidth="1"/>
    <col min="12" max="12" width="9.26953125" bestFit="1" customWidth="1"/>
    <col min="13" max="13" width="31.1796875" bestFit="1" customWidth="1"/>
    <col min="14" max="14" width="24.453125" bestFit="1" customWidth="1"/>
    <col min="15" max="15" width="24.81640625" bestFit="1" customWidth="1"/>
    <col min="16" max="16" width="26.81640625" bestFit="1" customWidth="1"/>
    <col min="17" max="17" width="26.7265625" bestFit="1" customWidth="1"/>
    <col min="18" max="18" width="28.7265625" bestFit="1" customWidth="1"/>
    <col min="19" max="19" width="28" bestFit="1" customWidth="1"/>
    <col min="20" max="20" width="25.1796875" bestFit="1" customWidth="1"/>
    <col min="21" max="21" width="27.26953125" bestFit="1" customWidth="1"/>
    <col min="22" max="22" width="31.453125" bestFit="1" customWidth="1"/>
    <col min="23" max="23" width="21.7265625" bestFit="1" customWidth="1"/>
    <col min="24" max="24" width="19.54296875" bestFit="1" customWidth="1"/>
    <col min="25" max="25" width="30" bestFit="1" customWidth="1"/>
    <col min="26" max="26" width="16.81640625" bestFit="1" customWidth="1"/>
    <col min="27" max="28" width="11.1796875" bestFit="1" customWidth="1"/>
    <col min="29" max="29" width="16.81640625" bestFit="1" customWidth="1"/>
    <col min="30" max="30" width="8.1796875" bestFit="1" customWidth="1"/>
    <col min="31" max="31" width="9.26953125" bestFit="1" customWidth="1"/>
    <col min="32" max="32" width="24.81640625" bestFit="1" customWidth="1"/>
    <col min="33" max="33" width="27.453125" bestFit="1" customWidth="1"/>
    <col min="34" max="34" width="11.1796875" bestFit="1" customWidth="1"/>
    <col min="35" max="35" width="10.81640625" bestFit="1" customWidth="1"/>
    <col min="36" max="36" width="17.81640625" bestFit="1" customWidth="1"/>
    <col min="37" max="37" width="20.7265625" bestFit="1" customWidth="1"/>
    <col min="38" max="38" width="26.81640625" bestFit="1" customWidth="1"/>
    <col min="39" max="39" width="50.453125" bestFit="1" customWidth="1"/>
    <col min="40" max="40" width="9.26953125" bestFit="1" customWidth="1"/>
  </cols>
  <sheetData>
    <row r="1" spans="1:40" ht="1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6" thickBot="1">
      <c r="A2" s="3">
        <v>1</v>
      </c>
      <c r="B2" s="4">
        <v>45931</v>
      </c>
      <c r="C2" s="5" t="s">
        <v>40</v>
      </c>
      <c r="D2" s="5" t="s">
        <v>41</v>
      </c>
      <c r="E2" s="6" t="s">
        <v>42</v>
      </c>
      <c r="F2" s="7" t="s">
        <v>43</v>
      </c>
      <c r="G2" s="5" t="s">
        <v>44</v>
      </c>
      <c r="H2" s="5" t="s">
        <v>45</v>
      </c>
      <c r="I2" s="5">
        <v>4</v>
      </c>
      <c r="J2" s="5">
        <v>8</v>
      </c>
      <c r="K2" s="5">
        <v>25000</v>
      </c>
      <c r="L2" s="5">
        <v>1000</v>
      </c>
      <c r="M2" s="5">
        <v>55</v>
      </c>
      <c r="N2" s="5">
        <v>31</v>
      </c>
      <c r="O2" s="6" t="s">
        <v>46</v>
      </c>
      <c r="P2" s="8"/>
      <c r="Q2" s="9">
        <v>4.027777777777778E-2</v>
      </c>
      <c r="R2" s="9">
        <v>0.17467592592592593</v>
      </c>
      <c r="S2" s="10">
        <v>55287</v>
      </c>
      <c r="T2" s="11">
        <v>0.2810300925925926</v>
      </c>
      <c r="U2" s="11">
        <v>0.28115740740740741</v>
      </c>
      <c r="V2" s="10">
        <v>55293</v>
      </c>
      <c r="W2" s="10">
        <v>48</v>
      </c>
      <c r="X2" s="10">
        <v>48</v>
      </c>
      <c r="Y2" s="12">
        <v>0</v>
      </c>
      <c r="Z2" s="12">
        <v>6</v>
      </c>
      <c r="AA2" s="12">
        <v>6</v>
      </c>
      <c r="AB2" s="12">
        <v>0</v>
      </c>
      <c r="AC2" s="12">
        <v>0</v>
      </c>
      <c r="AD2" s="13">
        <v>0</v>
      </c>
      <c r="AE2" s="12">
        <v>0</v>
      </c>
      <c r="AF2" s="14">
        <v>0</v>
      </c>
      <c r="AG2" s="5">
        <v>0</v>
      </c>
      <c r="AH2" s="5">
        <v>0</v>
      </c>
      <c r="AI2" s="5">
        <v>0</v>
      </c>
      <c r="AJ2" s="5">
        <v>806.45</v>
      </c>
      <c r="AK2" s="5">
        <v>0</v>
      </c>
      <c r="AL2" s="5">
        <v>806.45</v>
      </c>
      <c r="AM2" s="8"/>
      <c r="AN2" s="8"/>
    </row>
    <row r="3" spans="1:40" ht="16" thickBot="1">
      <c r="A3" s="3">
        <v>2</v>
      </c>
      <c r="B3" s="4">
        <v>45931</v>
      </c>
      <c r="C3" s="5" t="s">
        <v>40</v>
      </c>
      <c r="D3" s="5" t="s">
        <v>41</v>
      </c>
      <c r="E3" s="6" t="s">
        <v>42</v>
      </c>
      <c r="F3" s="7" t="s">
        <v>47</v>
      </c>
      <c r="G3" s="5" t="s">
        <v>44</v>
      </c>
      <c r="H3" s="5" t="s">
        <v>45</v>
      </c>
      <c r="I3" s="5">
        <v>4</v>
      </c>
      <c r="J3" s="5">
        <v>8</v>
      </c>
      <c r="K3" s="5">
        <v>25000</v>
      </c>
      <c r="L3" s="5">
        <v>1000</v>
      </c>
      <c r="M3" s="5">
        <v>55</v>
      </c>
      <c r="N3" s="5">
        <v>31</v>
      </c>
      <c r="O3" s="6" t="s">
        <v>48</v>
      </c>
      <c r="P3" s="8"/>
      <c r="Q3" s="9">
        <v>0.16250000000000001</v>
      </c>
      <c r="R3" s="9">
        <v>0.30119212962962966</v>
      </c>
      <c r="S3" s="10">
        <v>190832</v>
      </c>
      <c r="T3" s="11">
        <v>0.35672453703703705</v>
      </c>
      <c r="U3" s="11">
        <v>0.35695601851851855</v>
      </c>
      <c r="V3" s="10">
        <v>190842</v>
      </c>
      <c r="W3" s="10">
        <v>0</v>
      </c>
      <c r="X3" s="10">
        <v>0</v>
      </c>
      <c r="Y3" s="12">
        <v>0</v>
      </c>
      <c r="Z3" s="12">
        <v>10</v>
      </c>
      <c r="AA3" s="12">
        <v>10</v>
      </c>
      <c r="AB3" s="12">
        <v>0</v>
      </c>
      <c r="AC3" s="12">
        <v>0</v>
      </c>
      <c r="AD3" s="13">
        <v>1</v>
      </c>
      <c r="AE3" s="12">
        <v>150</v>
      </c>
      <c r="AF3" s="14">
        <v>0</v>
      </c>
      <c r="AG3" s="5">
        <v>0</v>
      </c>
      <c r="AH3" s="5">
        <v>0</v>
      </c>
      <c r="AI3" s="5">
        <v>0</v>
      </c>
      <c r="AJ3" s="5">
        <v>956.45</v>
      </c>
      <c r="AK3" s="5">
        <v>0</v>
      </c>
      <c r="AL3" s="5">
        <v>956.45</v>
      </c>
      <c r="AM3" s="8"/>
      <c r="AN3" s="8"/>
    </row>
    <row r="4" spans="1:40" ht="16" thickBot="1">
      <c r="A4" s="3">
        <v>3</v>
      </c>
      <c r="B4" s="4">
        <v>45931</v>
      </c>
      <c r="C4" s="5" t="s">
        <v>40</v>
      </c>
      <c r="D4" s="5" t="s">
        <v>41</v>
      </c>
      <c r="E4" s="6" t="s">
        <v>42</v>
      </c>
      <c r="F4" s="7" t="s">
        <v>49</v>
      </c>
      <c r="G4" s="5" t="s">
        <v>44</v>
      </c>
      <c r="H4" s="5" t="s">
        <v>45</v>
      </c>
      <c r="I4" s="5">
        <v>6</v>
      </c>
      <c r="J4" s="5">
        <v>8</v>
      </c>
      <c r="K4" s="5">
        <v>33000</v>
      </c>
      <c r="L4" s="5">
        <v>2000</v>
      </c>
      <c r="M4" s="5">
        <v>55</v>
      </c>
      <c r="N4" s="5">
        <v>31</v>
      </c>
      <c r="O4" s="6" t="s">
        <v>50</v>
      </c>
      <c r="P4" s="8"/>
      <c r="Q4" s="9">
        <v>5.2777777777777778E-2</v>
      </c>
      <c r="R4" s="9">
        <v>0.18508101851851852</v>
      </c>
      <c r="S4" s="10">
        <v>98129</v>
      </c>
      <c r="T4" s="11">
        <v>0.35037037037037039</v>
      </c>
      <c r="U4" s="11">
        <v>0.35046296296296298</v>
      </c>
      <c r="V4" s="10">
        <v>98175</v>
      </c>
      <c r="W4" s="10">
        <v>33</v>
      </c>
      <c r="X4" s="10">
        <v>45</v>
      </c>
      <c r="Y4" s="12">
        <v>-12</v>
      </c>
      <c r="Z4" s="12">
        <v>46</v>
      </c>
      <c r="AA4" s="12">
        <v>46</v>
      </c>
      <c r="AB4" s="12">
        <v>0</v>
      </c>
      <c r="AC4" s="12">
        <v>0</v>
      </c>
      <c r="AD4" s="13">
        <v>0</v>
      </c>
      <c r="AE4" s="12">
        <v>0</v>
      </c>
      <c r="AF4" s="14">
        <v>0</v>
      </c>
      <c r="AG4" s="5">
        <v>0</v>
      </c>
      <c r="AH4" s="5">
        <v>0</v>
      </c>
      <c r="AI4" s="5">
        <v>0</v>
      </c>
      <c r="AJ4" s="5">
        <v>1064.52</v>
      </c>
      <c r="AK4" s="5">
        <v>0</v>
      </c>
      <c r="AL4" s="5">
        <v>1064.52</v>
      </c>
      <c r="AM4" s="8"/>
      <c r="AN4" s="8"/>
    </row>
    <row r="5" spans="1:40" ht="16" thickBot="1">
      <c r="A5" s="3">
        <v>4</v>
      </c>
      <c r="B5" s="4">
        <v>45931</v>
      </c>
      <c r="C5" s="5" t="s">
        <v>40</v>
      </c>
      <c r="D5" s="5" t="s">
        <v>41</v>
      </c>
      <c r="E5" s="6" t="s">
        <v>42</v>
      </c>
      <c r="F5" s="7" t="s">
        <v>51</v>
      </c>
      <c r="G5" s="5" t="s">
        <v>44</v>
      </c>
      <c r="H5" s="5" t="s">
        <v>45</v>
      </c>
      <c r="I5" s="5">
        <v>4</v>
      </c>
      <c r="J5" s="5">
        <v>8</v>
      </c>
      <c r="K5" s="5">
        <v>25000</v>
      </c>
      <c r="L5" s="5">
        <v>1000</v>
      </c>
      <c r="M5" s="5">
        <v>55</v>
      </c>
      <c r="N5" s="5">
        <v>31</v>
      </c>
      <c r="O5" s="6" t="s">
        <v>52</v>
      </c>
      <c r="P5" s="8"/>
      <c r="Q5" s="9">
        <v>0.13055555555555556</v>
      </c>
      <c r="R5" s="9">
        <v>0.19025462962962961</v>
      </c>
      <c r="S5" s="10">
        <v>83283</v>
      </c>
      <c r="T5" s="11">
        <v>0.32060185185185186</v>
      </c>
      <c r="U5" s="11">
        <v>0.32174768518518521</v>
      </c>
      <c r="V5" s="10">
        <v>83310</v>
      </c>
      <c r="W5" s="10">
        <v>41</v>
      </c>
      <c r="X5" s="10">
        <v>30</v>
      </c>
      <c r="Y5" s="12">
        <v>11</v>
      </c>
      <c r="Z5" s="12">
        <v>27</v>
      </c>
      <c r="AA5" s="12">
        <v>27</v>
      </c>
      <c r="AB5" s="12">
        <v>0</v>
      </c>
      <c r="AC5" s="12">
        <v>0</v>
      </c>
      <c r="AD5" s="13">
        <v>0</v>
      </c>
      <c r="AE5" s="12">
        <v>0</v>
      </c>
      <c r="AF5" s="14">
        <v>0</v>
      </c>
      <c r="AG5" s="5">
        <v>0</v>
      </c>
      <c r="AH5" s="5">
        <v>0</v>
      </c>
      <c r="AI5" s="5">
        <v>0</v>
      </c>
      <c r="AJ5" s="5">
        <v>806.45</v>
      </c>
      <c r="AK5" s="5">
        <v>0</v>
      </c>
      <c r="AL5" s="5">
        <v>806.45</v>
      </c>
      <c r="AM5" s="8"/>
      <c r="AN5" s="8"/>
    </row>
    <row r="6" spans="1:40" ht="16" thickBot="1">
      <c r="A6" s="3">
        <v>5</v>
      </c>
      <c r="B6" s="4">
        <v>45931</v>
      </c>
      <c r="C6" s="5" t="s">
        <v>40</v>
      </c>
      <c r="D6" s="5" t="s">
        <v>41</v>
      </c>
      <c r="E6" s="6" t="s">
        <v>42</v>
      </c>
      <c r="F6" s="7" t="s">
        <v>53</v>
      </c>
      <c r="G6" s="5" t="s">
        <v>44</v>
      </c>
      <c r="H6" s="5" t="s">
        <v>45</v>
      </c>
      <c r="I6" s="5">
        <v>4</v>
      </c>
      <c r="J6" s="5">
        <v>8</v>
      </c>
      <c r="K6" s="5">
        <v>25000</v>
      </c>
      <c r="L6" s="5">
        <v>1000</v>
      </c>
      <c r="M6" s="5">
        <v>55</v>
      </c>
      <c r="N6" s="5">
        <v>31</v>
      </c>
      <c r="O6" s="6" t="s">
        <v>54</v>
      </c>
      <c r="P6" s="8"/>
      <c r="Q6" s="9">
        <v>0.11458333333333333</v>
      </c>
      <c r="R6" s="9">
        <v>0.17493055555555556</v>
      </c>
      <c r="S6" s="10">
        <v>10935</v>
      </c>
      <c r="T6" s="11">
        <v>0.33342592592592596</v>
      </c>
      <c r="U6" s="11">
        <v>0.33371527777777782</v>
      </c>
      <c r="V6" s="10">
        <v>10960</v>
      </c>
      <c r="W6" s="10">
        <v>25</v>
      </c>
      <c r="X6" s="10">
        <v>25</v>
      </c>
      <c r="Y6" s="12">
        <v>0</v>
      </c>
      <c r="Z6" s="12">
        <v>25</v>
      </c>
      <c r="AA6" s="12">
        <v>25</v>
      </c>
      <c r="AB6" s="12">
        <v>0</v>
      </c>
      <c r="AC6" s="12">
        <v>0</v>
      </c>
      <c r="AD6" s="13">
        <v>0</v>
      </c>
      <c r="AE6" s="12">
        <v>0</v>
      </c>
      <c r="AF6" s="14">
        <v>0</v>
      </c>
      <c r="AG6" s="5">
        <v>0</v>
      </c>
      <c r="AH6" s="5">
        <v>0</v>
      </c>
      <c r="AI6" s="5">
        <v>0</v>
      </c>
      <c r="AJ6" s="5">
        <v>806.45</v>
      </c>
      <c r="AK6" s="5">
        <v>0</v>
      </c>
      <c r="AL6" s="5">
        <v>806.45</v>
      </c>
      <c r="AM6" s="8"/>
      <c r="AN6" s="8"/>
    </row>
    <row r="7" spans="1:40" ht="16" thickBot="1">
      <c r="A7" s="3">
        <v>6</v>
      </c>
      <c r="B7" s="4">
        <v>45931</v>
      </c>
      <c r="C7" s="5" t="s">
        <v>40</v>
      </c>
      <c r="D7" s="5" t="s">
        <v>41</v>
      </c>
      <c r="E7" s="6" t="s">
        <v>42</v>
      </c>
      <c r="F7" s="7" t="s">
        <v>55</v>
      </c>
      <c r="G7" s="5" t="s">
        <v>44</v>
      </c>
      <c r="H7" s="5" t="s">
        <v>45</v>
      </c>
      <c r="I7" s="5">
        <v>4</v>
      </c>
      <c r="J7" s="5">
        <v>8</v>
      </c>
      <c r="K7" s="5">
        <v>25000</v>
      </c>
      <c r="L7" s="5">
        <v>1000</v>
      </c>
      <c r="M7" s="5">
        <v>55</v>
      </c>
      <c r="N7" s="5">
        <v>31</v>
      </c>
      <c r="O7" s="6" t="s">
        <v>56</v>
      </c>
      <c r="P7" s="8"/>
      <c r="Q7" s="9">
        <v>7.7777777777777779E-2</v>
      </c>
      <c r="R7" s="9">
        <v>0.18655092592592593</v>
      </c>
      <c r="S7" s="10">
        <v>145017</v>
      </c>
      <c r="T7" s="11">
        <v>0.29363425925925929</v>
      </c>
      <c r="U7" s="11">
        <v>0.29428240740740741</v>
      </c>
      <c r="V7" s="10">
        <v>145034</v>
      </c>
      <c r="W7" s="10">
        <v>30</v>
      </c>
      <c r="X7" s="10">
        <v>30</v>
      </c>
      <c r="Y7" s="12">
        <v>0</v>
      </c>
      <c r="Z7" s="12">
        <v>17</v>
      </c>
      <c r="AA7" s="12">
        <v>17</v>
      </c>
      <c r="AB7" s="12">
        <v>0</v>
      </c>
      <c r="AC7" s="12">
        <v>0</v>
      </c>
      <c r="AD7" s="13">
        <v>0</v>
      </c>
      <c r="AE7" s="12">
        <v>0</v>
      </c>
      <c r="AF7" s="14">
        <v>0</v>
      </c>
      <c r="AG7" s="5">
        <v>0</v>
      </c>
      <c r="AH7" s="5">
        <v>0</v>
      </c>
      <c r="AI7" s="5">
        <v>0</v>
      </c>
      <c r="AJ7" s="5">
        <v>806.45</v>
      </c>
      <c r="AK7" s="5">
        <v>0</v>
      </c>
      <c r="AL7" s="5">
        <v>806.45</v>
      </c>
      <c r="AM7" s="8"/>
      <c r="AN7" s="8"/>
    </row>
    <row r="8" spans="1:40" ht="16" thickBot="1">
      <c r="A8" s="3">
        <v>7</v>
      </c>
      <c r="B8" s="4">
        <v>45931</v>
      </c>
      <c r="C8" s="5" t="s">
        <v>40</v>
      </c>
      <c r="D8" s="5" t="s">
        <v>41</v>
      </c>
      <c r="E8" s="6" t="s">
        <v>42</v>
      </c>
      <c r="F8" s="7" t="s">
        <v>57</v>
      </c>
      <c r="G8" s="5" t="s">
        <v>44</v>
      </c>
      <c r="H8" s="5" t="s">
        <v>45</v>
      </c>
      <c r="I8" s="5">
        <v>4</v>
      </c>
      <c r="J8" s="5">
        <v>8</v>
      </c>
      <c r="K8" s="5">
        <v>25000</v>
      </c>
      <c r="L8" s="5">
        <v>1000</v>
      </c>
      <c r="M8" s="5">
        <v>55</v>
      </c>
      <c r="N8" s="5">
        <v>31</v>
      </c>
      <c r="O8" s="6" t="s">
        <v>58</v>
      </c>
      <c r="P8" s="8"/>
      <c r="Q8" s="9">
        <v>5.0694444444444452E-2</v>
      </c>
      <c r="R8" s="9">
        <v>0.18493055555555557</v>
      </c>
      <c r="S8" s="10">
        <v>141296</v>
      </c>
      <c r="T8" s="11">
        <v>0.32070601851851849</v>
      </c>
      <c r="U8" s="11">
        <v>0.32085648148148149</v>
      </c>
      <c r="V8" s="10">
        <v>141320</v>
      </c>
      <c r="W8" s="10">
        <v>31</v>
      </c>
      <c r="X8" s="10">
        <v>63</v>
      </c>
      <c r="Y8" s="12">
        <v>-32</v>
      </c>
      <c r="Z8" s="12">
        <v>24</v>
      </c>
      <c r="AA8" s="12">
        <v>24</v>
      </c>
      <c r="AB8" s="12">
        <v>0</v>
      </c>
      <c r="AC8" s="12">
        <v>0</v>
      </c>
      <c r="AD8" s="13">
        <v>0</v>
      </c>
      <c r="AE8" s="12">
        <v>0</v>
      </c>
      <c r="AF8" s="14">
        <v>0</v>
      </c>
      <c r="AG8" s="5">
        <v>0</v>
      </c>
      <c r="AH8" s="5">
        <v>0</v>
      </c>
      <c r="AI8" s="5">
        <v>0</v>
      </c>
      <c r="AJ8" s="5">
        <v>806.45</v>
      </c>
      <c r="AK8" s="5">
        <v>0</v>
      </c>
      <c r="AL8" s="5">
        <v>806.45</v>
      </c>
      <c r="AM8" s="8"/>
      <c r="AN8" s="8"/>
    </row>
    <row r="9" spans="1:40" ht="16" thickBot="1">
      <c r="A9" s="3">
        <v>8</v>
      </c>
      <c r="B9" s="4">
        <v>45931</v>
      </c>
      <c r="C9" s="5" t="s">
        <v>40</v>
      </c>
      <c r="D9" s="5" t="s">
        <v>41</v>
      </c>
      <c r="E9" s="6" t="s">
        <v>42</v>
      </c>
      <c r="F9" s="7" t="s">
        <v>59</v>
      </c>
      <c r="G9" s="5" t="s">
        <v>44</v>
      </c>
      <c r="H9" s="5" t="s">
        <v>45</v>
      </c>
      <c r="I9" s="5">
        <v>4</v>
      </c>
      <c r="J9" s="5">
        <v>8</v>
      </c>
      <c r="K9" s="5">
        <v>25000</v>
      </c>
      <c r="L9" s="5">
        <v>1000</v>
      </c>
      <c r="M9" s="5">
        <v>55</v>
      </c>
      <c r="N9" s="5">
        <v>31</v>
      </c>
      <c r="O9" s="6" t="s">
        <v>46</v>
      </c>
      <c r="P9" s="8"/>
      <c r="Q9" s="9">
        <v>0.1451388888888889</v>
      </c>
      <c r="R9" s="9">
        <v>0.29982638888888891</v>
      </c>
      <c r="S9" s="10">
        <v>157963</v>
      </c>
      <c r="T9" s="11">
        <v>0.29995370370370372</v>
      </c>
      <c r="U9" s="11">
        <v>0.30005787037037041</v>
      </c>
      <c r="V9" s="10">
        <v>157963</v>
      </c>
      <c r="W9" s="10">
        <v>0</v>
      </c>
      <c r="X9" s="10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3">
        <v>0</v>
      </c>
      <c r="AE9" s="12">
        <v>0</v>
      </c>
      <c r="AF9" s="14">
        <v>0</v>
      </c>
      <c r="AG9" s="5">
        <v>0</v>
      </c>
      <c r="AH9" s="5">
        <v>0</v>
      </c>
      <c r="AI9" s="5">
        <v>0</v>
      </c>
      <c r="AJ9" s="5">
        <v>806.45</v>
      </c>
      <c r="AK9" s="5">
        <v>0</v>
      </c>
      <c r="AL9" s="5">
        <v>806.45</v>
      </c>
      <c r="AM9" s="8"/>
      <c r="AN9" s="8"/>
    </row>
    <row r="10" spans="1:40" ht="16" thickBot="1">
      <c r="A10" s="3">
        <v>9</v>
      </c>
      <c r="B10" s="4">
        <v>45931</v>
      </c>
      <c r="C10" s="5" t="s">
        <v>40</v>
      </c>
      <c r="D10" s="5" t="s">
        <v>41</v>
      </c>
      <c r="E10" s="6" t="s">
        <v>42</v>
      </c>
      <c r="F10" s="7" t="s">
        <v>60</v>
      </c>
      <c r="G10" s="5" t="s">
        <v>44</v>
      </c>
      <c r="H10" s="5" t="s">
        <v>45</v>
      </c>
      <c r="I10" s="5">
        <v>4</v>
      </c>
      <c r="J10" s="5">
        <v>8</v>
      </c>
      <c r="K10" s="5">
        <v>25000</v>
      </c>
      <c r="L10" s="5">
        <v>1000</v>
      </c>
      <c r="M10" s="5">
        <v>55</v>
      </c>
      <c r="N10" s="5">
        <v>31</v>
      </c>
      <c r="O10" s="6" t="s">
        <v>61</v>
      </c>
      <c r="P10" s="8"/>
      <c r="Q10" s="9">
        <v>5.486111111111111E-2</v>
      </c>
      <c r="R10" s="9">
        <v>0.18428240740740742</v>
      </c>
      <c r="S10" s="10">
        <v>111901</v>
      </c>
      <c r="T10" s="11">
        <v>0.37276620370370367</v>
      </c>
      <c r="U10" s="15"/>
      <c r="V10" s="6">
        <v>111901</v>
      </c>
      <c r="W10" s="10">
        <v>36</v>
      </c>
      <c r="X10" s="10">
        <v>36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3">
        <v>1</v>
      </c>
      <c r="AE10" s="12">
        <v>150</v>
      </c>
      <c r="AF10" s="14">
        <v>0</v>
      </c>
      <c r="AG10" s="5">
        <v>0</v>
      </c>
      <c r="AH10" s="5">
        <v>0</v>
      </c>
      <c r="AI10" s="5">
        <v>0</v>
      </c>
      <c r="AJ10" s="5">
        <v>956.45</v>
      </c>
      <c r="AK10" s="5">
        <v>0</v>
      </c>
      <c r="AL10" s="5">
        <v>956.45</v>
      </c>
      <c r="AM10" s="8"/>
      <c r="AN10" s="8"/>
    </row>
    <row r="11" spans="1:40" ht="16" thickBot="1">
      <c r="A11" s="3">
        <v>10</v>
      </c>
      <c r="B11" s="4">
        <v>45931</v>
      </c>
      <c r="C11" s="5" t="s">
        <v>40</v>
      </c>
      <c r="D11" s="5" t="s">
        <v>41</v>
      </c>
      <c r="E11" s="6" t="s">
        <v>42</v>
      </c>
      <c r="F11" s="7" t="s">
        <v>62</v>
      </c>
      <c r="G11" s="5" t="s">
        <v>44</v>
      </c>
      <c r="H11" s="5" t="s">
        <v>45</v>
      </c>
      <c r="I11" s="5">
        <v>6</v>
      </c>
      <c r="J11" s="5">
        <v>8</v>
      </c>
      <c r="K11" s="5">
        <v>33000</v>
      </c>
      <c r="L11" s="5">
        <v>2000</v>
      </c>
      <c r="M11" s="5">
        <v>55</v>
      </c>
      <c r="N11" s="5">
        <v>31</v>
      </c>
      <c r="O11" s="6" t="s">
        <v>63</v>
      </c>
      <c r="P11" s="8"/>
      <c r="Q11" s="9">
        <v>4.9999999999999996E-2</v>
      </c>
      <c r="R11" s="9">
        <v>0.18689814814814817</v>
      </c>
      <c r="S11" s="10">
        <v>46761</v>
      </c>
      <c r="T11" s="11">
        <v>0.45104166666666662</v>
      </c>
      <c r="U11" s="11">
        <v>0.4511574074074074</v>
      </c>
      <c r="V11" s="10">
        <v>46850</v>
      </c>
      <c r="W11" s="10">
        <v>31</v>
      </c>
      <c r="X11" s="10">
        <v>31</v>
      </c>
      <c r="Y11" s="12">
        <v>0</v>
      </c>
      <c r="Z11" s="12">
        <v>89</v>
      </c>
      <c r="AA11" s="12">
        <v>89</v>
      </c>
      <c r="AB11" s="12">
        <v>0</v>
      </c>
      <c r="AC11" s="12">
        <v>0</v>
      </c>
      <c r="AD11" s="13">
        <v>2</v>
      </c>
      <c r="AE11" s="12">
        <v>300</v>
      </c>
      <c r="AF11" s="14">
        <v>0</v>
      </c>
      <c r="AG11" s="5">
        <v>0</v>
      </c>
      <c r="AH11" s="5">
        <v>0</v>
      </c>
      <c r="AI11" s="5">
        <v>0</v>
      </c>
      <c r="AJ11" s="5">
        <v>1364.52</v>
      </c>
      <c r="AK11" s="5">
        <v>0</v>
      </c>
      <c r="AL11" s="5">
        <v>1364.52</v>
      </c>
      <c r="AM11" s="8"/>
      <c r="AN11" s="8"/>
    </row>
    <row r="12" spans="1:40" ht="16" thickBot="1">
      <c r="A12" s="3">
        <v>11</v>
      </c>
      <c r="B12" s="4">
        <v>45931</v>
      </c>
      <c r="C12" s="5" t="s">
        <v>40</v>
      </c>
      <c r="D12" s="5" t="s">
        <v>41</v>
      </c>
      <c r="E12" s="6" t="s">
        <v>42</v>
      </c>
      <c r="F12" s="7" t="s">
        <v>64</v>
      </c>
      <c r="G12" s="5" t="s">
        <v>44</v>
      </c>
      <c r="H12" s="5" t="s">
        <v>45</v>
      </c>
      <c r="I12" s="5">
        <v>4</v>
      </c>
      <c r="J12" s="5">
        <v>8</v>
      </c>
      <c r="K12" s="5">
        <v>25000</v>
      </c>
      <c r="L12" s="5">
        <v>1000</v>
      </c>
      <c r="M12" s="5">
        <v>55</v>
      </c>
      <c r="N12" s="5">
        <v>31</v>
      </c>
      <c r="O12" s="6" t="s">
        <v>65</v>
      </c>
      <c r="P12" s="8"/>
      <c r="Q12" s="9">
        <v>0.13125000000000001</v>
      </c>
      <c r="R12" s="9">
        <v>0.19006944444444443</v>
      </c>
      <c r="S12" s="10">
        <v>73663</v>
      </c>
      <c r="T12" s="11">
        <v>0.31559027777777776</v>
      </c>
      <c r="U12" s="11">
        <v>0.3157638888888889</v>
      </c>
      <c r="V12" s="10">
        <v>73689</v>
      </c>
      <c r="W12" s="10">
        <v>34</v>
      </c>
      <c r="X12" s="10">
        <v>41</v>
      </c>
      <c r="Y12" s="12">
        <v>-7</v>
      </c>
      <c r="Z12" s="12">
        <v>26</v>
      </c>
      <c r="AA12" s="12">
        <v>26</v>
      </c>
      <c r="AB12" s="12">
        <v>0</v>
      </c>
      <c r="AC12" s="12">
        <v>0</v>
      </c>
      <c r="AD12" s="13">
        <v>0</v>
      </c>
      <c r="AE12" s="12">
        <v>0</v>
      </c>
      <c r="AF12" s="14">
        <v>0</v>
      </c>
      <c r="AG12" s="5">
        <v>0</v>
      </c>
      <c r="AH12" s="5">
        <v>0</v>
      </c>
      <c r="AI12" s="5">
        <v>0</v>
      </c>
      <c r="AJ12" s="5">
        <v>806.45</v>
      </c>
      <c r="AK12" s="5">
        <v>0</v>
      </c>
      <c r="AL12" s="5">
        <v>806.45</v>
      </c>
      <c r="AM12" s="8"/>
      <c r="AN12" s="8"/>
    </row>
    <row r="13" spans="1:40" ht="16" thickBot="1">
      <c r="A13" s="3">
        <v>12</v>
      </c>
      <c r="B13" s="4">
        <v>45931</v>
      </c>
      <c r="C13" s="5" t="s">
        <v>40</v>
      </c>
      <c r="D13" s="5" t="s">
        <v>41</v>
      </c>
      <c r="E13" s="6" t="s">
        <v>42</v>
      </c>
      <c r="F13" s="7" t="s">
        <v>66</v>
      </c>
      <c r="G13" s="5" t="s">
        <v>44</v>
      </c>
      <c r="H13" s="5" t="s">
        <v>45</v>
      </c>
      <c r="I13" s="5">
        <v>4</v>
      </c>
      <c r="J13" s="5">
        <v>8</v>
      </c>
      <c r="K13" s="5">
        <v>25000</v>
      </c>
      <c r="L13" s="5">
        <v>1000</v>
      </c>
      <c r="M13" s="5">
        <v>55</v>
      </c>
      <c r="N13" s="5">
        <v>31</v>
      </c>
      <c r="O13" s="6" t="s">
        <v>67</v>
      </c>
      <c r="P13" s="8"/>
      <c r="Q13" s="9">
        <v>5.5555555555555552E-2</v>
      </c>
      <c r="R13" s="9">
        <v>0.18310185185185188</v>
      </c>
      <c r="S13" s="10">
        <v>51629</v>
      </c>
      <c r="T13" s="11">
        <v>0.3168287037037037</v>
      </c>
      <c r="U13" s="11">
        <v>0.31706018518518519</v>
      </c>
      <c r="V13" s="10">
        <v>51659</v>
      </c>
      <c r="W13" s="10">
        <v>12</v>
      </c>
      <c r="X13" s="10">
        <v>12</v>
      </c>
      <c r="Y13" s="12">
        <v>0</v>
      </c>
      <c r="Z13" s="12">
        <v>30</v>
      </c>
      <c r="AA13" s="12">
        <v>30</v>
      </c>
      <c r="AB13" s="12">
        <v>0</v>
      </c>
      <c r="AC13" s="12">
        <v>0</v>
      </c>
      <c r="AD13" s="13">
        <v>0</v>
      </c>
      <c r="AE13" s="12">
        <v>0</v>
      </c>
      <c r="AF13" s="14">
        <v>0</v>
      </c>
      <c r="AG13" s="5">
        <v>0</v>
      </c>
      <c r="AH13" s="5">
        <v>0</v>
      </c>
      <c r="AI13" s="5">
        <v>0</v>
      </c>
      <c r="AJ13" s="5">
        <v>806.45</v>
      </c>
      <c r="AK13" s="5">
        <v>0</v>
      </c>
      <c r="AL13" s="5">
        <v>806.45</v>
      </c>
      <c r="AM13" s="8"/>
      <c r="AN13" s="8"/>
    </row>
    <row r="14" spans="1:40" ht="16" thickBot="1">
      <c r="A14" s="3">
        <v>13</v>
      </c>
      <c r="B14" s="4">
        <v>45931</v>
      </c>
      <c r="C14" s="5" t="s">
        <v>40</v>
      </c>
      <c r="D14" s="5" t="s">
        <v>41</v>
      </c>
      <c r="E14" s="6" t="s">
        <v>42</v>
      </c>
      <c r="F14" s="7" t="s">
        <v>68</v>
      </c>
      <c r="G14" s="5" t="s">
        <v>44</v>
      </c>
      <c r="H14" s="5" t="s">
        <v>45</v>
      </c>
      <c r="I14" s="5">
        <v>4</v>
      </c>
      <c r="J14" s="5">
        <v>8</v>
      </c>
      <c r="K14" s="5">
        <v>25000</v>
      </c>
      <c r="L14" s="5">
        <v>1000</v>
      </c>
      <c r="M14" s="5">
        <v>55</v>
      </c>
      <c r="N14" s="5">
        <v>31</v>
      </c>
      <c r="O14" s="6" t="s">
        <v>69</v>
      </c>
      <c r="P14" s="8"/>
      <c r="Q14" s="9">
        <v>5.4166666666666669E-2</v>
      </c>
      <c r="R14" s="9">
        <v>0.18400462962962963</v>
      </c>
      <c r="S14" s="10">
        <v>82338</v>
      </c>
      <c r="T14" s="11">
        <v>0.28467592592592594</v>
      </c>
      <c r="U14" s="11">
        <v>0.28531250000000002</v>
      </c>
      <c r="V14" s="10">
        <v>82351</v>
      </c>
      <c r="W14" s="10">
        <v>55</v>
      </c>
      <c r="X14" s="10">
        <v>50</v>
      </c>
      <c r="Y14" s="12">
        <v>5</v>
      </c>
      <c r="Z14" s="12">
        <v>13</v>
      </c>
      <c r="AA14" s="12">
        <v>13</v>
      </c>
      <c r="AB14" s="12">
        <v>0</v>
      </c>
      <c r="AC14" s="12">
        <v>0</v>
      </c>
      <c r="AD14" s="13">
        <v>0</v>
      </c>
      <c r="AE14" s="12">
        <v>0</v>
      </c>
      <c r="AF14" s="14">
        <v>0</v>
      </c>
      <c r="AG14" s="5">
        <v>0</v>
      </c>
      <c r="AH14" s="5">
        <v>0</v>
      </c>
      <c r="AI14" s="5">
        <v>0</v>
      </c>
      <c r="AJ14" s="5">
        <v>806.45</v>
      </c>
      <c r="AK14" s="5">
        <v>0</v>
      </c>
      <c r="AL14" s="5">
        <v>806.45</v>
      </c>
      <c r="AM14" s="8"/>
      <c r="AN14" s="8"/>
    </row>
    <row r="15" spans="1:40" ht="16" thickBot="1">
      <c r="A15" s="3">
        <v>14</v>
      </c>
      <c r="B15" s="4">
        <v>45931</v>
      </c>
      <c r="C15" s="5" t="s">
        <v>40</v>
      </c>
      <c r="D15" s="5" t="s">
        <v>41</v>
      </c>
      <c r="E15" s="6" t="s">
        <v>42</v>
      </c>
      <c r="F15" s="7" t="s">
        <v>70</v>
      </c>
      <c r="G15" s="5" t="s">
        <v>44</v>
      </c>
      <c r="H15" s="5" t="s">
        <v>45</v>
      </c>
      <c r="I15" s="5">
        <v>4</v>
      </c>
      <c r="J15" s="5">
        <v>8</v>
      </c>
      <c r="K15" s="5">
        <v>25000</v>
      </c>
      <c r="L15" s="5">
        <v>1000</v>
      </c>
      <c r="M15" s="5">
        <v>55</v>
      </c>
      <c r="N15" s="5">
        <v>31</v>
      </c>
      <c r="O15" s="6" t="s">
        <v>71</v>
      </c>
      <c r="P15" s="8"/>
      <c r="Q15" s="9">
        <v>9.2361111111111116E-2</v>
      </c>
      <c r="R15" s="9">
        <v>0.19210648148148146</v>
      </c>
      <c r="S15" s="10">
        <v>35814</v>
      </c>
      <c r="T15" s="11">
        <v>0.30258101851851854</v>
      </c>
      <c r="U15" s="11">
        <v>0.30268518518518517</v>
      </c>
      <c r="V15" s="10">
        <v>35841</v>
      </c>
      <c r="W15" s="10">
        <v>48</v>
      </c>
      <c r="X15" s="10">
        <v>48</v>
      </c>
      <c r="Y15" s="12">
        <v>0</v>
      </c>
      <c r="Z15" s="12">
        <v>27</v>
      </c>
      <c r="AA15" s="12">
        <v>27</v>
      </c>
      <c r="AB15" s="12">
        <v>0</v>
      </c>
      <c r="AC15" s="12">
        <v>0</v>
      </c>
      <c r="AD15" s="13">
        <v>0</v>
      </c>
      <c r="AE15" s="12">
        <v>0</v>
      </c>
      <c r="AF15" s="14">
        <v>0</v>
      </c>
      <c r="AG15" s="5">
        <v>0</v>
      </c>
      <c r="AH15" s="5">
        <v>0</v>
      </c>
      <c r="AI15" s="5">
        <v>0</v>
      </c>
      <c r="AJ15" s="5">
        <v>806.45</v>
      </c>
      <c r="AK15" s="5">
        <v>0</v>
      </c>
      <c r="AL15" s="5">
        <v>806.45</v>
      </c>
      <c r="AM15" s="8"/>
      <c r="AN15" s="8"/>
    </row>
    <row r="16" spans="1:40" ht="16" thickBot="1">
      <c r="A16" s="3">
        <v>15</v>
      </c>
      <c r="B16" s="4">
        <v>45931</v>
      </c>
      <c r="C16" s="5" t="s">
        <v>40</v>
      </c>
      <c r="D16" s="5" t="s">
        <v>41</v>
      </c>
      <c r="E16" s="6" t="s">
        <v>42</v>
      </c>
      <c r="F16" s="7" t="s">
        <v>72</v>
      </c>
      <c r="G16" s="5" t="s">
        <v>44</v>
      </c>
      <c r="H16" s="5" t="s">
        <v>45</v>
      </c>
      <c r="I16" s="5">
        <v>6</v>
      </c>
      <c r="J16" s="5">
        <v>8</v>
      </c>
      <c r="K16" s="5">
        <v>33000</v>
      </c>
      <c r="L16" s="5">
        <v>2000</v>
      </c>
      <c r="M16" s="5">
        <v>55</v>
      </c>
      <c r="N16" s="5">
        <v>31</v>
      </c>
      <c r="O16" s="6" t="s">
        <v>73</v>
      </c>
      <c r="P16" s="8"/>
      <c r="Q16" s="9">
        <v>5.4166666666666669E-2</v>
      </c>
      <c r="R16" s="9">
        <v>0.1875</v>
      </c>
      <c r="S16" s="10">
        <v>31563</v>
      </c>
      <c r="T16" s="11">
        <v>0.33157407407407408</v>
      </c>
      <c r="U16" s="11">
        <v>0.33174768518518521</v>
      </c>
      <c r="V16" s="10">
        <v>31632</v>
      </c>
      <c r="W16" s="10">
        <v>30</v>
      </c>
      <c r="X16" s="10">
        <v>30</v>
      </c>
      <c r="Y16" s="12">
        <v>0</v>
      </c>
      <c r="Z16" s="12">
        <v>69</v>
      </c>
      <c r="AA16" s="12">
        <v>69</v>
      </c>
      <c r="AB16" s="12">
        <v>0</v>
      </c>
      <c r="AC16" s="12">
        <v>0</v>
      </c>
      <c r="AD16" s="13">
        <v>0</v>
      </c>
      <c r="AE16" s="12">
        <v>0</v>
      </c>
      <c r="AF16" s="14">
        <v>0</v>
      </c>
      <c r="AG16" s="5">
        <v>0</v>
      </c>
      <c r="AH16" s="5">
        <v>0</v>
      </c>
      <c r="AI16" s="5">
        <v>0</v>
      </c>
      <c r="AJ16" s="5">
        <v>1064.52</v>
      </c>
      <c r="AK16" s="5">
        <v>0</v>
      </c>
      <c r="AL16" s="5">
        <v>1064.52</v>
      </c>
      <c r="AM16" s="8"/>
      <c r="AN16" s="8"/>
    </row>
    <row r="17" spans="1:40" ht="16" thickBot="1">
      <c r="A17" s="3">
        <v>16</v>
      </c>
      <c r="B17" s="4">
        <v>45931</v>
      </c>
      <c r="C17" s="5" t="s">
        <v>40</v>
      </c>
      <c r="D17" s="5" t="s">
        <v>41</v>
      </c>
      <c r="E17" s="6" t="s">
        <v>42</v>
      </c>
      <c r="F17" s="7" t="s">
        <v>74</v>
      </c>
      <c r="G17" s="5" t="s">
        <v>44</v>
      </c>
      <c r="H17" s="5" t="s">
        <v>45</v>
      </c>
      <c r="I17" s="5">
        <v>4</v>
      </c>
      <c r="J17" s="5">
        <v>8</v>
      </c>
      <c r="K17" s="5">
        <v>25000</v>
      </c>
      <c r="L17" s="5">
        <v>1000</v>
      </c>
      <c r="M17" s="5">
        <v>55</v>
      </c>
      <c r="N17" s="5">
        <v>31</v>
      </c>
      <c r="O17" s="6" t="s">
        <v>75</v>
      </c>
      <c r="P17" s="8"/>
      <c r="Q17" s="9">
        <v>5.347222222222222E-2</v>
      </c>
      <c r="R17" s="9">
        <v>0.18909722222222222</v>
      </c>
      <c r="S17" s="10">
        <v>36931</v>
      </c>
      <c r="T17" s="11">
        <v>0.37230324074074073</v>
      </c>
      <c r="U17" s="11">
        <v>0.37259259259259259</v>
      </c>
      <c r="V17" s="10">
        <v>36940</v>
      </c>
      <c r="W17" s="10">
        <v>45</v>
      </c>
      <c r="X17" s="10">
        <v>33</v>
      </c>
      <c r="Y17" s="12">
        <v>12</v>
      </c>
      <c r="Z17" s="12">
        <v>9</v>
      </c>
      <c r="AA17" s="12">
        <v>9</v>
      </c>
      <c r="AB17" s="12">
        <v>0</v>
      </c>
      <c r="AC17" s="12">
        <v>0</v>
      </c>
      <c r="AD17" s="13">
        <v>1</v>
      </c>
      <c r="AE17" s="12">
        <v>150</v>
      </c>
      <c r="AF17" s="14">
        <v>0</v>
      </c>
      <c r="AG17" s="5">
        <v>0</v>
      </c>
      <c r="AH17" s="5">
        <v>0</v>
      </c>
      <c r="AI17" s="5">
        <v>0</v>
      </c>
      <c r="AJ17" s="5">
        <v>956.45</v>
      </c>
      <c r="AK17" s="5">
        <v>0</v>
      </c>
      <c r="AL17" s="5">
        <v>956.45</v>
      </c>
      <c r="AM17" s="8"/>
      <c r="AN17" s="8"/>
    </row>
    <row r="18" spans="1:40" ht="16" thickBot="1">
      <c r="A18" s="3">
        <v>17</v>
      </c>
      <c r="B18" s="4">
        <v>45931</v>
      </c>
      <c r="C18" s="5" t="s">
        <v>40</v>
      </c>
      <c r="D18" s="5" t="s">
        <v>41</v>
      </c>
      <c r="E18" s="6" t="s">
        <v>42</v>
      </c>
      <c r="F18" s="7" t="s">
        <v>76</v>
      </c>
      <c r="G18" s="5" t="s">
        <v>44</v>
      </c>
      <c r="H18" s="5" t="s">
        <v>45</v>
      </c>
      <c r="I18" s="5">
        <v>4</v>
      </c>
      <c r="J18" s="5">
        <v>8</v>
      </c>
      <c r="K18" s="5">
        <v>25000</v>
      </c>
      <c r="L18" s="5">
        <v>1000</v>
      </c>
      <c r="M18" s="5">
        <v>55</v>
      </c>
      <c r="N18" s="5">
        <v>31</v>
      </c>
      <c r="O18" s="6" t="s">
        <v>77</v>
      </c>
      <c r="P18" s="8"/>
      <c r="Q18" s="9">
        <v>5.486111111111111E-2</v>
      </c>
      <c r="R18" s="9">
        <v>0.18379629629629632</v>
      </c>
      <c r="S18" s="10">
        <v>5599</v>
      </c>
      <c r="T18" s="11">
        <v>0.30700231481481483</v>
      </c>
      <c r="U18" s="11">
        <v>0.30708333333333332</v>
      </c>
      <c r="V18" s="10">
        <v>5615</v>
      </c>
      <c r="W18" s="10">
        <v>50</v>
      </c>
      <c r="X18" s="10">
        <v>33</v>
      </c>
      <c r="Y18" s="12">
        <v>17</v>
      </c>
      <c r="Z18" s="12">
        <v>16</v>
      </c>
      <c r="AA18" s="12">
        <v>16</v>
      </c>
      <c r="AB18" s="12">
        <v>0</v>
      </c>
      <c r="AC18" s="12">
        <v>0</v>
      </c>
      <c r="AD18" s="13">
        <v>0</v>
      </c>
      <c r="AE18" s="12">
        <v>0</v>
      </c>
      <c r="AF18" s="14">
        <v>0</v>
      </c>
      <c r="AG18" s="5">
        <v>0</v>
      </c>
      <c r="AH18" s="5">
        <v>0</v>
      </c>
      <c r="AI18" s="5">
        <v>0</v>
      </c>
      <c r="AJ18" s="5">
        <v>806.45</v>
      </c>
      <c r="AK18" s="5">
        <v>0</v>
      </c>
      <c r="AL18" s="5">
        <v>806.45</v>
      </c>
      <c r="AM18" s="8"/>
      <c r="AN18" s="8"/>
    </row>
    <row r="19" spans="1:40" ht="16" thickBot="1">
      <c r="A19" s="3">
        <v>18</v>
      </c>
      <c r="B19" s="4">
        <v>45931</v>
      </c>
      <c r="C19" s="5" t="s">
        <v>40</v>
      </c>
      <c r="D19" s="5" t="s">
        <v>41</v>
      </c>
      <c r="E19" s="6" t="s">
        <v>42</v>
      </c>
      <c r="F19" s="7" t="s">
        <v>78</v>
      </c>
      <c r="G19" s="5" t="s">
        <v>44</v>
      </c>
      <c r="H19" s="5" t="s">
        <v>45</v>
      </c>
      <c r="I19" s="5">
        <v>4</v>
      </c>
      <c r="J19" s="5">
        <v>8</v>
      </c>
      <c r="K19" s="5">
        <v>25000</v>
      </c>
      <c r="L19" s="5">
        <v>1000</v>
      </c>
      <c r="M19" s="5">
        <v>55</v>
      </c>
      <c r="N19" s="5">
        <v>31</v>
      </c>
      <c r="O19" s="6" t="s">
        <v>79</v>
      </c>
      <c r="P19" s="8"/>
      <c r="Q19" s="9">
        <v>5.486111111111111E-2</v>
      </c>
      <c r="R19" s="9">
        <v>0.18333333333333335</v>
      </c>
      <c r="S19" s="10">
        <v>6287</v>
      </c>
      <c r="T19" s="11">
        <v>0.33907407407407408</v>
      </c>
      <c r="U19" s="11">
        <v>0.33916666666666667</v>
      </c>
      <c r="V19" s="10">
        <v>6321</v>
      </c>
      <c r="W19" s="10">
        <v>36</v>
      </c>
      <c r="X19" s="10">
        <v>36</v>
      </c>
      <c r="Y19" s="12">
        <v>0</v>
      </c>
      <c r="Z19" s="12">
        <v>34</v>
      </c>
      <c r="AA19" s="12">
        <v>34</v>
      </c>
      <c r="AB19" s="12">
        <v>0</v>
      </c>
      <c r="AC19" s="12">
        <v>0</v>
      </c>
      <c r="AD19" s="13">
        <v>1</v>
      </c>
      <c r="AE19" s="12">
        <v>150</v>
      </c>
      <c r="AF19" s="14">
        <v>0</v>
      </c>
      <c r="AG19" s="5">
        <v>0</v>
      </c>
      <c r="AH19" s="5">
        <v>0</v>
      </c>
      <c r="AI19" s="5">
        <v>0</v>
      </c>
      <c r="AJ19" s="5">
        <v>956.45</v>
      </c>
      <c r="AK19" s="5">
        <v>0</v>
      </c>
      <c r="AL19" s="5">
        <v>956.45</v>
      </c>
      <c r="AM19" s="8"/>
      <c r="AN19" s="8"/>
    </row>
    <row r="20" spans="1:40" ht="16" thickBot="1">
      <c r="A20" s="3">
        <v>19</v>
      </c>
      <c r="B20" s="4">
        <v>45931</v>
      </c>
      <c r="C20" s="5" t="s">
        <v>40</v>
      </c>
      <c r="D20" s="5" t="s">
        <v>41</v>
      </c>
      <c r="E20" s="6" t="s">
        <v>42</v>
      </c>
      <c r="F20" s="7" t="s">
        <v>80</v>
      </c>
      <c r="G20" s="5" t="s">
        <v>44</v>
      </c>
      <c r="H20" s="5" t="s">
        <v>45</v>
      </c>
      <c r="I20" s="5">
        <v>4</v>
      </c>
      <c r="J20" s="5">
        <v>8</v>
      </c>
      <c r="K20" s="5">
        <v>25000</v>
      </c>
      <c r="L20" s="5">
        <v>1000</v>
      </c>
      <c r="M20" s="5">
        <v>55</v>
      </c>
      <c r="N20" s="5">
        <v>31</v>
      </c>
      <c r="O20" s="6" t="s">
        <v>81</v>
      </c>
      <c r="P20" s="8"/>
      <c r="Q20" s="9">
        <v>5.347222222222222E-2</v>
      </c>
      <c r="R20" s="9">
        <v>0.18733796296296298</v>
      </c>
      <c r="S20" s="10">
        <v>3157</v>
      </c>
      <c r="T20" s="11">
        <v>0.3740856481481481</v>
      </c>
      <c r="U20" s="11">
        <v>0.37428240740740742</v>
      </c>
      <c r="V20" s="10">
        <v>3181</v>
      </c>
      <c r="W20" s="10">
        <v>40</v>
      </c>
      <c r="X20" s="10">
        <v>40</v>
      </c>
      <c r="Y20" s="12">
        <v>0</v>
      </c>
      <c r="Z20" s="12">
        <v>24</v>
      </c>
      <c r="AA20" s="12">
        <v>24</v>
      </c>
      <c r="AB20" s="12">
        <v>0</v>
      </c>
      <c r="AC20" s="12">
        <v>0</v>
      </c>
      <c r="AD20" s="13">
        <v>1</v>
      </c>
      <c r="AE20" s="12">
        <v>150</v>
      </c>
      <c r="AF20" s="14">
        <v>0</v>
      </c>
      <c r="AG20" s="5">
        <v>0</v>
      </c>
      <c r="AH20" s="5">
        <v>0</v>
      </c>
      <c r="AI20" s="5">
        <v>0</v>
      </c>
      <c r="AJ20" s="5">
        <v>956.45</v>
      </c>
      <c r="AK20" s="5">
        <v>0</v>
      </c>
      <c r="AL20" s="5">
        <v>956.45</v>
      </c>
      <c r="AM20" s="8"/>
      <c r="AN20" s="8"/>
    </row>
    <row r="21" spans="1:40" ht="16" thickBot="1">
      <c r="A21" s="3">
        <v>20</v>
      </c>
      <c r="B21" s="4">
        <v>45931</v>
      </c>
      <c r="C21" s="5" t="s">
        <v>40</v>
      </c>
      <c r="D21" s="5" t="s">
        <v>41</v>
      </c>
      <c r="E21" s="6" t="s">
        <v>42</v>
      </c>
      <c r="F21" s="7" t="s">
        <v>82</v>
      </c>
      <c r="G21" s="10" t="s">
        <v>83</v>
      </c>
      <c r="H21" s="5" t="s">
        <v>84</v>
      </c>
      <c r="I21" s="5">
        <v>4</v>
      </c>
      <c r="J21" s="5">
        <v>10</v>
      </c>
      <c r="K21" s="6">
        <v>29000</v>
      </c>
      <c r="L21" s="5">
        <v>1000</v>
      </c>
      <c r="M21" s="5">
        <v>55</v>
      </c>
      <c r="N21" s="5">
        <v>31</v>
      </c>
      <c r="O21" s="6" t="s">
        <v>48</v>
      </c>
      <c r="P21" s="8"/>
      <c r="Q21" s="9">
        <v>0.12569444444444444</v>
      </c>
      <c r="R21" s="9">
        <v>0.18986111111111112</v>
      </c>
      <c r="S21" s="10">
        <v>32133</v>
      </c>
      <c r="T21" s="11">
        <v>0.28300925925925924</v>
      </c>
      <c r="U21" s="11">
        <v>0.283287037037037</v>
      </c>
      <c r="V21" s="10">
        <v>32143</v>
      </c>
      <c r="W21" s="10">
        <v>34</v>
      </c>
      <c r="X21" s="10">
        <v>34</v>
      </c>
      <c r="Y21" s="12">
        <v>0</v>
      </c>
      <c r="Z21" s="12">
        <v>10</v>
      </c>
      <c r="AA21" s="12">
        <v>10</v>
      </c>
      <c r="AB21" s="12">
        <v>0</v>
      </c>
      <c r="AC21" s="12">
        <v>0</v>
      </c>
      <c r="AD21" s="13">
        <v>0</v>
      </c>
      <c r="AE21" s="12">
        <v>0</v>
      </c>
      <c r="AF21" s="14">
        <v>0</v>
      </c>
      <c r="AG21" s="5">
        <v>0</v>
      </c>
      <c r="AH21" s="5">
        <v>0</v>
      </c>
      <c r="AI21" s="5">
        <v>0</v>
      </c>
      <c r="AJ21" s="5">
        <v>935.48</v>
      </c>
      <c r="AK21" s="5">
        <v>0</v>
      </c>
      <c r="AL21" s="5">
        <v>935.48</v>
      </c>
      <c r="AM21" s="8"/>
      <c r="AN21" s="8"/>
    </row>
    <row r="22" spans="1:40" ht="16" thickBot="1">
      <c r="A22" s="3">
        <v>21</v>
      </c>
      <c r="B22" s="4">
        <v>45931</v>
      </c>
      <c r="C22" s="5" t="s">
        <v>40</v>
      </c>
      <c r="D22" s="5" t="s">
        <v>41</v>
      </c>
      <c r="E22" s="6" t="s">
        <v>42</v>
      </c>
      <c r="F22" s="7" t="s">
        <v>85</v>
      </c>
      <c r="G22" s="10" t="s">
        <v>83</v>
      </c>
      <c r="H22" s="5" t="s">
        <v>84</v>
      </c>
      <c r="I22" s="5">
        <v>4</v>
      </c>
      <c r="J22" s="5">
        <v>10</v>
      </c>
      <c r="K22" s="6">
        <v>29000</v>
      </c>
      <c r="L22" s="5">
        <v>1000</v>
      </c>
      <c r="M22" s="5">
        <v>55</v>
      </c>
      <c r="N22" s="5">
        <v>31</v>
      </c>
      <c r="O22" s="6" t="s">
        <v>86</v>
      </c>
      <c r="P22" s="8"/>
      <c r="Q22" s="9">
        <v>6.3888888888888884E-2</v>
      </c>
      <c r="R22" s="9">
        <v>0.18196759259259257</v>
      </c>
      <c r="S22" s="10">
        <v>37550</v>
      </c>
      <c r="T22" s="11">
        <v>0.32427083333333334</v>
      </c>
      <c r="U22" s="11">
        <v>0.32442129629629629</v>
      </c>
      <c r="V22" s="10">
        <v>37575</v>
      </c>
      <c r="W22" s="10">
        <v>54</v>
      </c>
      <c r="X22" s="10">
        <v>54</v>
      </c>
      <c r="Y22" s="12">
        <v>0</v>
      </c>
      <c r="Z22" s="12">
        <v>25</v>
      </c>
      <c r="AA22" s="12">
        <v>25</v>
      </c>
      <c r="AB22" s="12">
        <v>0</v>
      </c>
      <c r="AC22" s="12">
        <v>0</v>
      </c>
      <c r="AD22" s="13">
        <v>0</v>
      </c>
      <c r="AE22" s="12">
        <v>0</v>
      </c>
      <c r="AF22" s="14">
        <v>0</v>
      </c>
      <c r="AG22" s="5">
        <v>0</v>
      </c>
      <c r="AH22" s="5">
        <v>0</v>
      </c>
      <c r="AI22" s="5">
        <v>0</v>
      </c>
      <c r="AJ22" s="5">
        <v>935.48</v>
      </c>
      <c r="AK22" s="5">
        <v>0</v>
      </c>
      <c r="AL22" s="5">
        <v>935.48</v>
      </c>
      <c r="AM22" s="8"/>
      <c r="AN22" s="8"/>
    </row>
    <row r="23" spans="1:40" ht="16" thickBot="1">
      <c r="A23" s="3">
        <v>22</v>
      </c>
      <c r="B23" s="4">
        <v>45931</v>
      </c>
      <c r="C23" s="5" t="s">
        <v>40</v>
      </c>
      <c r="D23" s="5" t="s">
        <v>41</v>
      </c>
      <c r="E23" s="6" t="s">
        <v>42</v>
      </c>
      <c r="F23" s="7" t="s">
        <v>87</v>
      </c>
      <c r="G23" s="10" t="s">
        <v>83</v>
      </c>
      <c r="H23" s="5" t="s">
        <v>84</v>
      </c>
      <c r="I23" s="5">
        <v>4</v>
      </c>
      <c r="J23" s="5">
        <v>10</v>
      </c>
      <c r="K23" s="6">
        <v>29000</v>
      </c>
      <c r="L23" s="5">
        <v>1000</v>
      </c>
      <c r="M23" s="5">
        <v>55</v>
      </c>
      <c r="N23" s="5">
        <v>31</v>
      </c>
      <c r="O23" s="6" t="s">
        <v>88</v>
      </c>
      <c r="P23" s="8"/>
      <c r="Q23" s="9">
        <v>0.10277777777777779</v>
      </c>
      <c r="R23" s="9">
        <v>0.1882175925925926</v>
      </c>
      <c r="S23" s="10">
        <v>2366</v>
      </c>
      <c r="T23" s="11">
        <v>0.4524305555555555</v>
      </c>
      <c r="U23" s="11">
        <v>0.45253472222222224</v>
      </c>
      <c r="V23" s="10">
        <v>2411</v>
      </c>
      <c r="W23" s="10">
        <v>40</v>
      </c>
      <c r="X23" s="10">
        <v>40</v>
      </c>
      <c r="Y23" s="12">
        <v>0</v>
      </c>
      <c r="Z23" s="12">
        <v>45</v>
      </c>
      <c r="AA23" s="12">
        <v>45</v>
      </c>
      <c r="AB23" s="12">
        <v>0</v>
      </c>
      <c r="AC23" s="12">
        <v>0</v>
      </c>
      <c r="AD23" s="13">
        <v>3</v>
      </c>
      <c r="AE23" s="12">
        <v>450</v>
      </c>
      <c r="AF23" s="14">
        <v>0</v>
      </c>
      <c r="AG23" s="5">
        <v>0</v>
      </c>
      <c r="AH23" s="5">
        <v>0</v>
      </c>
      <c r="AI23" s="5">
        <v>0</v>
      </c>
      <c r="AJ23" s="5">
        <v>1385.48</v>
      </c>
      <c r="AK23" s="5">
        <v>0</v>
      </c>
      <c r="AL23" s="5">
        <v>1385.48</v>
      </c>
      <c r="AM23" s="8"/>
      <c r="AN23" s="8"/>
    </row>
    <row r="24" spans="1:40" ht="16" thickBot="1">
      <c r="A24" s="3">
        <v>23</v>
      </c>
      <c r="B24" s="4">
        <v>45931</v>
      </c>
      <c r="C24" s="5" t="s">
        <v>40</v>
      </c>
      <c r="D24" s="5" t="s">
        <v>41</v>
      </c>
      <c r="E24" s="6" t="s">
        <v>42</v>
      </c>
      <c r="F24" s="7" t="s">
        <v>89</v>
      </c>
      <c r="G24" s="10" t="s">
        <v>83</v>
      </c>
      <c r="H24" s="5" t="s">
        <v>84</v>
      </c>
      <c r="I24" s="5">
        <v>4</v>
      </c>
      <c r="J24" s="5">
        <v>10</v>
      </c>
      <c r="K24" s="6">
        <v>29000</v>
      </c>
      <c r="L24" s="5">
        <v>1000</v>
      </c>
      <c r="M24" s="5">
        <v>55</v>
      </c>
      <c r="N24" s="5">
        <v>31</v>
      </c>
      <c r="O24" s="6" t="s">
        <v>90</v>
      </c>
      <c r="P24" s="8"/>
      <c r="Q24" s="9">
        <v>5.9027777777777783E-2</v>
      </c>
      <c r="R24" s="9">
        <v>0.19133101851851853</v>
      </c>
      <c r="S24" s="10">
        <v>138529</v>
      </c>
      <c r="T24" s="11">
        <v>0.29281249999999998</v>
      </c>
      <c r="U24" s="11">
        <v>0.29296296296296298</v>
      </c>
      <c r="V24" s="10">
        <v>138559</v>
      </c>
      <c r="W24" s="10">
        <v>47</v>
      </c>
      <c r="X24" s="10">
        <v>47</v>
      </c>
      <c r="Y24" s="12">
        <v>0</v>
      </c>
      <c r="Z24" s="12">
        <v>30</v>
      </c>
      <c r="AA24" s="12">
        <v>30</v>
      </c>
      <c r="AB24" s="12">
        <v>0</v>
      </c>
      <c r="AC24" s="12">
        <v>0</v>
      </c>
      <c r="AD24" s="13">
        <v>0</v>
      </c>
      <c r="AE24" s="12">
        <v>0</v>
      </c>
      <c r="AF24" s="14">
        <v>0</v>
      </c>
      <c r="AG24" s="5">
        <v>0</v>
      </c>
      <c r="AH24" s="5">
        <v>0</v>
      </c>
      <c r="AI24" s="5">
        <v>0</v>
      </c>
      <c r="AJ24" s="5">
        <v>935.48</v>
      </c>
      <c r="AK24" s="5">
        <v>0</v>
      </c>
      <c r="AL24" s="5">
        <v>935.48</v>
      </c>
      <c r="AM24" s="8"/>
      <c r="AN24" s="8"/>
    </row>
    <row r="25" spans="1:40" ht="16" thickBot="1">
      <c r="A25" s="3">
        <v>24</v>
      </c>
      <c r="B25" s="4">
        <v>45932</v>
      </c>
      <c r="C25" s="5" t="s">
        <v>40</v>
      </c>
      <c r="D25" s="5" t="s">
        <v>41</v>
      </c>
      <c r="E25" s="6" t="s">
        <v>42</v>
      </c>
      <c r="F25" s="7" t="s">
        <v>43</v>
      </c>
      <c r="G25" s="5" t="s">
        <v>44</v>
      </c>
      <c r="H25" s="5" t="s">
        <v>45</v>
      </c>
      <c r="I25" s="5">
        <v>4</v>
      </c>
      <c r="J25" s="5">
        <v>8</v>
      </c>
      <c r="K25" s="5">
        <v>25000</v>
      </c>
      <c r="L25" s="5">
        <v>1000</v>
      </c>
      <c r="M25" s="5">
        <v>55</v>
      </c>
      <c r="N25" s="5">
        <v>31</v>
      </c>
      <c r="O25" s="6" t="s">
        <v>46</v>
      </c>
      <c r="P25" s="8"/>
      <c r="Q25" s="9">
        <v>5.4166666666666669E-2</v>
      </c>
      <c r="R25" s="9">
        <v>0.1799537037037037</v>
      </c>
      <c r="S25" s="10">
        <v>55356</v>
      </c>
      <c r="T25" s="11">
        <v>0.28342592592592591</v>
      </c>
      <c r="U25" s="11">
        <v>0.28377314814814814</v>
      </c>
      <c r="V25" s="10">
        <v>55363</v>
      </c>
      <c r="W25" s="10">
        <v>49</v>
      </c>
      <c r="X25" s="10">
        <v>49</v>
      </c>
      <c r="Y25" s="12">
        <v>0</v>
      </c>
      <c r="Z25" s="12">
        <v>7</v>
      </c>
      <c r="AA25" s="12">
        <v>7</v>
      </c>
      <c r="AB25" s="12">
        <v>0</v>
      </c>
      <c r="AC25" s="12">
        <v>0</v>
      </c>
      <c r="AD25" s="13">
        <v>0</v>
      </c>
      <c r="AE25" s="12">
        <v>0</v>
      </c>
      <c r="AF25" s="14">
        <v>0</v>
      </c>
      <c r="AG25" s="5">
        <v>0</v>
      </c>
      <c r="AH25" s="5">
        <v>0</v>
      </c>
      <c r="AI25" s="5">
        <v>0</v>
      </c>
      <c r="AJ25" s="5">
        <v>806.45</v>
      </c>
      <c r="AK25" s="5">
        <v>0</v>
      </c>
      <c r="AL25" s="5">
        <v>806.45</v>
      </c>
      <c r="AM25" s="8"/>
      <c r="AN25" s="8"/>
    </row>
    <row r="26" spans="1:40" ht="16" thickBot="1">
      <c r="A26" s="3">
        <v>25</v>
      </c>
      <c r="B26" s="4">
        <v>45932</v>
      </c>
      <c r="C26" s="5" t="s">
        <v>40</v>
      </c>
      <c r="D26" s="5" t="s">
        <v>41</v>
      </c>
      <c r="E26" s="6" t="s">
        <v>42</v>
      </c>
      <c r="F26" s="7" t="s">
        <v>49</v>
      </c>
      <c r="G26" s="5" t="s">
        <v>44</v>
      </c>
      <c r="H26" s="5" t="s">
        <v>45</v>
      </c>
      <c r="I26" s="5">
        <v>6</v>
      </c>
      <c r="J26" s="5">
        <v>8</v>
      </c>
      <c r="K26" s="5">
        <v>33000</v>
      </c>
      <c r="L26" s="5">
        <v>2000</v>
      </c>
      <c r="M26" s="5">
        <v>55</v>
      </c>
      <c r="N26" s="5">
        <v>31</v>
      </c>
      <c r="O26" s="6" t="s">
        <v>91</v>
      </c>
      <c r="P26" s="8"/>
      <c r="Q26" s="9">
        <v>7.3611111111111113E-2</v>
      </c>
      <c r="R26" s="9">
        <v>0.18557870370370369</v>
      </c>
      <c r="S26" s="10">
        <v>98245</v>
      </c>
      <c r="T26" s="15"/>
      <c r="U26" s="15"/>
      <c r="V26" s="10">
        <v>98298</v>
      </c>
      <c r="W26" s="15"/>
      <c r="X26" s="10">
        <v>59</v>
      </c>
      <c r="Y26" s="12">
        <v>-59</v>
      </c>
      <c r="Z26" s="12">
        <v>53</v>
      </c>
      <c r="AA26" s="12">
        <v>53</v>
      </c>
      <c r="AB26" s="12">
        <v>0</v>
      </c>
      <c r="AC26" s="12">
        <v>0</v>
      </c>
      <c r="AD26" s="13">
        <v>0</v>
      </c>
      <c r="AE26" s="12">
        <v>0</v>
      </c>
      <c r="AF26" s="14">
        <v>0</v>
      </c>
      <c r="AG26" s="5">
        <v>0</v>
      </c>
      <c r="AH26" s="5">
        <v>0</v>
      </c>
      <c r="AI26" s="5">
        <v>0</v>
      </c>
      <c r="AJ26" s="5">
        <v>1064.52</v>
      </c>
      <c r="AK26" s="5">
        <v>0</v>
      </c>
      <c r="AL26" s="5">
        <v>1064.52</v>
      </c>
      <c r="AM26" s="8"/>
      <c r="AN26" s="8"/>
    </row>
    <row r="27" spans="1:40" ht="16" thickBot="1">
      <c r="A27" s="3">
        <v>26</v>
      </c>
      <c r="B27" s="4">
        <v>45932</v>
      </c>
      <c r="C27" s="5" t="s">
        <v>40</v>
      </c>
      <c r="D27" s="5" t="s">
        <v>41</v>
      </c>
      <c r="E27" s="6" t="s">
        <v>42</v>
      </c>
      <c r="F27" s="7" t="s">
        <v>51</v>
      </c>
      <c r="G27" s="5" t="s">
        <v>44</v>
      </c>
      <c r="H27" s="5" t="s">
        <v>45</v>
      </c>
      <c r="I27" s="5">
        <v>4</v>
      </c>
      <c r="J27" s="5">
        <v>8</v>
      </c>
      <c r="K27" s="5">
        <v>25000</v>
      </c>
      <c r="L27" s="5">
        <v>1000</v>
      </c>
      <c r="M27" s="5">
        <v>55</v>
      </c>
      <c r="N27" s="5">
        <v>31</v>
      </c>
      <c r="O27" s="6" t="s">
        <v>92</v>
      </c>
      <c r="P27" s="8"/>
      <c r="Q27" s="9">
        <v>0.13263888888888889</v>
      </c>
      <c r="R27" s="9">
        <v>0.18780092592592593</v>
      </c>
      <c r="S27" s="10">
        <v>83367</v>
      </c>
      <c r="T27" s="11">
        <v>0.32288194444444446</v>
      </c>
      <c r="U27" s="11">
        <v>0.32299768518518518</v>
      </c>
      <c r="V27" s="10">
        <v>83400</v>
      </c>
      <c r="W27" s="10">
        <v>65</v>
      </c>
      <c r="X27" s="10">
        <v>65</v>
      </c>
      <c r="Y27" s="12">
        <v>0</v>
      </c>
      <c r="Z27" s="12">
        <v>33</v>
      </c>
      <c r="AA27" s="12">
        <v>33</v>
      </c>
      <c r="AB27" s="12">
        <v>0</v>
      </c>
      <c r="AC27" s="12">
        <v>0</v>
      </c>
      <c r="AD27" s="13">
        <v>0</v>
      </c>
      <c r="AE27" s="12">
        <v>0</v>
      </c>
      <c r="AF27" s="14">
        <v>0</v>
      </c>
      <c r="AG27" s="5">
        <v>0</v>
      </c>
      <c r="AH27" s="5">
        <v>0</v>
      </c>
      <c r="AI27" s="5">
        <v>0</v>
      </c>
      <c r="AJ27" s="5">
        <v>806.45</v>
      </c>
      <c r="AK27" s="5">
        <v>0</v>
      </c>
      <c r="AL27" s="5">
        <v>806.45</v>
      </c>
      <c r="AM27" s="8"/>
      <c r="AN27" s="8"/>
    </row>
    <row r="28" spans="1:40" ht="16" thickBot="1">
      <c r="A28" s="3">
        <v>27</v>
      </c>
      <c r="B28" s="4">
        <v>45932</v>
      </c>
      <c r="C28" s="5" t="s">
        <v>40</v>
      </c>
      <c r="D28" s="5" t="s">
        <v>41</v>
      </c>
      <c r="E28" s="6" t="s">
        <v>42</v>
      </c>
      <c r="F28" s="7" t="s">
        <v>53</v>
      </c>
      <c r="G28" s="5" t="s">
        <v>44</v>
      </c>
      <c r="H28" s="5" t="s">
        <v>45</v>
      </c>
      <c r="I28" s="5">
        <v>4</v>
      </c>
      <c r="J28" s="5">
        <v>8</v>
      </c>
      <c r="K28" s="5">
        <v>25000</v>
      </c>
      <c r="L28" s="5">
        <v>1000</v>
      </c>
      <c r="M28" s="5">
        <v>55</v>
      </c>
      <c r="N28" s="5">
        <v>31</v>
      </c>
      <c r="O28" s="6" t="s">
        <v>93</v>
      </c>
      <c r="P28" s="8"/>
      <c r="Q28" s="9">
        <v>5.486111111111111E-2</v>
      </c>
      <c r="R28" s="9">
        <v>0.18217592592592591</v>
      </c>
      <c r="S28" s="10">
        <v>11005</v>
      </c>
      <c r="T28" s="11">
        <v>0.3390393518518518</v>
      </c>
      <c r="U28" s="11">
        <v>0.33912037037037041</v>
      </c>
      <c r="V28" s="10">
        <v>11026</v>
      </c>
      <c r="W28" s="10">
        <v>42</v>
      </c>
      <c r="X28" s="10">
        <v>42</v>
      </c>
      <c r="Y28" s="12">
        <v>0</v>
      </c>
      <c r="Z28" s="12">
        <v>21</v>
      </c>
      <c r="AA28" s="12">
        <v>21</v>
      </c>
      <c r="AB28" s="12">
        <v>0</v>
      </c>
      <c r="AC28" s="12">
        <v>0</v>
      </c>
      <c r="AD28" s="13">
        <v>1</v>
      </c>
      <c r="AE28" s="12">
        <v>150</v>
      </c>
      <c r="AF28" s="14">
        <v>0</v>
      </c>
      <c r="AG28" s="5">
        <v>0</v>
      </c>
      <c r="AH28" s="5">
        <v>0</v>
      </c>
      <c r="AI28" s="5">
        <v>0</v>
      </c>
      <c r="AJ28" s="5">
        <v>956.45</v>
      </c>
      <c r="AK28" s="5">
        <v>0</v>
      </c>
      <c r="AL28" s="5">
        <v>956.45</v>
      </c>
      <c r="AM28" s="8"/>
      <c r="AN28" s="8"/>
    </row>
    <row r="29" spans="1:40" ht="16" thickBot="1">
      <c r="A29" s="3">
        <v>28</v>
      </c>
      <c r="B29" s="4">
        <v>45932</v>
      </c>
      <c r="C29" s="5" t="s">
        <v>40</v>
      </c>
      <c r="D29" s="5" t="s">
        <v>41</v>
      </c>
      <c r="E29" s="6" t="s">
        <v>42</v>
      </c>
      <c r="F29" s="7" t="s">
        <v>55</v>
      </c>
      <c r="G29" s="5" t="s">
        <v>44</v>
      </c>
      <c r="H29" s="5" t="s">
        <v>45</v>
      </c>
      <c r="I29" s="5">
        <v>4</v>
      </c>
      <c r="J29" s="5">
        <v>8</v>
      </c>
      <c r="K29" s="5">
        <v>25000</v>
      </c>
      <c r="L29" s="5">
        <v>1000</v>
      </c>
      <c r="M29" s="5">
        <v>55</v>
      </c>
      <c r="N29" s="5">
        <v>31</v>
      </c>
      <c r="O29" s="6" t="s">
        <v>56</v>
      </c>
      <c r="P29" s="8"/>
      <c r="Q29" s="9">
        <v>7.1527777777777787E-2</v>
      </c>
      <c r="R29" s="9">
        <v>0.18057870370370369</v>
      </c>
      <c r="S29" s="10">
        <v>145039</v>
      </c>
      <c r="T29" s="11">
        <v>0.28725694444444444</v>
      </c>
      <c r="U29" s="11">
        <v>0.28759259259259257</v>
      </c>
      <c r="V29" s="10">
        <v>145055</v>
      </c>
      <c r="W29" s="10">
        <v>31</v>
      </c>
      <c r="X29" s="10">
        <v>31</v>
      </c>
      <c r="Y29" s="12">
        <v>0</v>
      </c>
      <c r="Z29" s="12">
        <v>16</v>
      </c>
      <c r="AA29" s="12">
        <v>16</v>
      </c>
      <c r="AB29" s="12">
        <v>0</v>
      </c>
      <c r="AC29" s="12">
        <v>0</v>
      </c>
      <c r="AD29" s="13">
        <v>0</v>
      </c>
      <c r="AE29" s="12">
        <v>0</v>
      </c>
      <c r="AF29" s="14">
        <v>0</v>
      </c>
      <c r="AG29" s="5">
        <v>0</v>
      </c>
      <c r="AH29" s="5">
        <v>0</v>
      </c>
      <c r="AI29" s="5">
        <v>0</v>
      </c>
      <c r="AJ29" s="5">
        <v>806.45</v>
      </c>
      <c r="AK29" s="5">
        <v>0</v>
      </c>
      <c r="AL29" s="5">
        <v>806.45</v>
      </c>
      <c r="AM29" s="8"/>
      <c r="AN29" s="8"/>
    </row>
    <row r="30" spans="1:40" ht="16" thickBot="1">
      <c r="A30" s="3">
        <v>29</v>
      </c>
      <c r="B30" s="4">
        <v>45932</v>
      </c>
      <c r="C30" s="5" t="s">
        <v>40</v>
      </c>
      <c r="D30" s="5" t="s">
        <v>41</v>
      </c>
      <c r="E30" s="6" t="s">
        <v>42</v>
      </c>
      <c r="F30" s="7" t="s">
        <v>57</v>
      </c>
      <c r="G30" s="5" t="s">
        <v>44</v>
      </c>
      <c r="H30" s="5" t="s">
        <v>45</v>
      </c>
      <c r="I30" s="5">
        <v>4</v>
      </c>
      <c r="J30" s="5">
        <v>8</v>
      </c>
      <c r="K30" s="5">
        <v>25000</v>
      </c>
      <c r="L30" s="5">
        <v>1000</v>
      </c>
      <c r="M30" s="5">
        <v>55</v>
      </c>
      <c r="N30" s="5">
        <v>31</v>
      </c>
      <c r="O30" s="6" t="s">
        <v>94</v>
      </c>
      <c r="P30" s="8"/>
      <c r="Q30" s="9">
        <v>5.4166666666666669E-2</v>
      </c>
      <c r="R30" s="9">
        <v>0.18583333333333332</v>
      </c>
      <c r="S30" s="10">
        <v>141612</v>
      </c>
      <c r="T30" s="11">
        <v>0.29297453703703702</v>
      </c>
      <c r="U30" s="11">
        <v>0.29305555555555557</v>
      </c>
      <c r="V30" s="10">
        <v>141648</v>
      </c>
      <c r="W30" s="10">
        <v>34</v>
      </c>
      <c r="X30" s="10">
        <v>34</v>
      </c>
      <c r="Y30" s="12">
        <v>0</v>
      </c>
      <c r="Z30" s="12">
        <v>36</v>
      </c>
      <c r="AA30" s="12">
        <v>36</v>
      </c>
      <c r="AB30" s="12">
        <v>0</v>
      </c>
      <c r="AC30" s="12">
        <v>0</v>
      </c>
      <c r="AD30" s="13">
        <v>0</v>
      </c>
      <c r="AE30" s="12">
        <v>0</v>
      </c>
      <c r="AF30" s="14">
        <v>0</v>
      </c>
      <c r="AG30" s="5">
        <v>0</v>
      </c>
      <c r="AH30" s="5">
        <v>0</v>
      </c>
      <c r="AI30" s="5">
        <v>0</v>
      </c>
      <c r="AJ30" s="5">
        <v>806.45</v>
      </c>
      <c r="AK30" s="5">
        <v>0</v>
      </c>
      <c r="AL30" s="5">
        <v>806.45</v>
      </c>
      <c r="AM30" s="8"/>
      <c r="AN30" s="8"/>
    </row>
    <row r="31" spans="1:40" ht="16" thickBot="1">
      <c r="A31" s="3">
        <v>30</v>
      </c>
      <c r="B31" s="4">
        <v>45932</v>
      </c>
      <c r="C31" s="5" t="s">
        <v>40</v>
      </c>
      <c r="D31" s="5" t="s">
        <v>41</v>
      </c>
      <c r="E31" s="6" t="s">
        <v>42</v>
      </c>
      <c r="F31" s="7" t="s">
        <v>59</v>
      </c>
      <c r="G31" s="5" t="s">
        <v>44</v>
      </c>
      <c r="H31" s="5" t="s">
        <v>45</v>
      </c>
      <c r="I31" s="5">
        <v>4</v>
      </c>
      <c r="J31" s="5">
        <v>8</v>
      </c>
      <c r="K31" s="5">
        <v>25000</v>
      </c>
      <c r="L31" s="5">
        <v>1000</v>
      </c>
      <c r="M31" s="5">
        <v>55</v>
      </c>
      <c r="N31" s="5">
        <v>31</v>
      </c>
      <c r="O31" s="6" t="s">
        <v>95</v>
      </c>
      <c r="P31" s="8"/>
      <c r="Q31" s="9">
        <v>0.13194444444444445</v>
      </c>
      <c r="R31" s="9">
        <v>0.19234953703703703</v>
      </c>
      <c r="S31" s="10">
        <v>158086</v>
      </c>
      <c r="T31" s="11">
        <v>0.34310185185185182</v>
      </c>
      <c r="U31" s="11">
        <v>0.34325231481481483</v>
      </c>
      <c r="V31" s="10">
        <v>158116</v>
      </c>
      <c r="W31" s="10">
        <v>39</v>
      </c>
      <c r="X31" s="10">
        <v>39</v>
      </c>
      <c r="Y31" s="12">
        <v>0</v>
      </c>
      <c r="Z31" s="12">
        <v>30</v>
      </c>
      <c r="AA31" s="12">
        <v>30</v>
      </c>
      <c r="AB31" s="12">
        <v>0</v>
      </c>
      <c r="AC31" s="12">
        <v>0</v>
      </c>
      <c r="AD31" s="13">
        <v>1</v>
      </c>
      <c r="AE31" s="12">
        <v>150</v>
      </c>
      <c r="AF31" s="14">
        <v>0</v>
      </c>
      <c r="AG31" s="5">
        <v>0</v>
      </c>
      <c r="AH31" s="5">
        <v>0</v>
      </c>
      <c r="AI31" s="5">
        <v>0</v>
      </c>
      <c r="AJ31" s="5">
        <v>956.45</v>
      </c>
      <c r="AK31" s="5">
        <v>0</v>
      </c>
      <c r="AL31" s="5">
        <v>956.45</v>
      </c>
      <c r="AM31" s="8"/>
      <c r="AN31" s="8"/>
    </row>
    <row r="32" spans="1:40" ht="16" thickBot="1">
      <c r="A32" s="3">
        <v>31</v>
      </c>
      <c r="B32" s="4">
        <v>45932</v>
      </c>
      <c r="C32" s="5" t="s">
        <v>40</v>
      </c>
      <c r="D32" s="5" t="s">
        <v>41</v>
      </c>
      <c r="E32" s="6" t="s">
        <v>42</v>
      </c>
      <c r="F32" s="7" t="s">
        <v>60</v>
      </c>
      <c r="G32" s="5" t="s">
        <v>44</v>
      </c>
      <c r="H32" s="5" t="s">
        <v>45</v>
      </c>
      <c r="I32" s="5">
        <v>4</v>
      </c>
      <c r="J32" s="5">
        <v>8</v>
      </c>
      <c r="K32" s="5">
        <v>25000</v>
      </c>
      <c r="L32" s="5">
        <v>1000</v>
      </c>
      <c r="M32" s="5">
        <v>55</v>
      </c>
      <c r="N32" s="5">
        <v>31</v>
      </c>
      <c r="O32" s="6" t="s">
        <v>96</v>
      </c>
      <c r="P32" s="8"/>
      <c r="Q32" s="9">
        <v>6.458333333333334E-2</v>
      </c>
      <c r="R32" s="9">
        <v>0.18440972222222221</v>
      </c>
      <c r="S32" s="10">
        <v>111961</v>
      </c>
      <c r="T32" s="11">
        <v>0.30873842592592593</v>
      </c>
      <c r="U32" s="11">
        <v>0.30927083333333333</v>
      </c>
      <c r="V32" s="10">
        <v>111984</v>
      </c>
      <c r="W32" s="10">
        <v>42</v>
      </c>
      <c r="X32" s="10">
        <v>42</v>
      </c>
      <c r="Y32" s="12">
        <v>0</v>
      </c>
      <c r="Z32" s="12">
        <v>23</v>
      </c>
      <c r="AA32" s="12">
        <v>23</v>
      </c>
      <c r="AB32" s="12">
        <v>0</v>
      </c>
      <c r="AC32" s="12">
        <v>0</v>
      </c>
      <c r="AD32" s="13">
        <v>0</v>
      </c>
      <c r="AE32" s="12">
        <v>0</v>
      </c>
      <c r="AF32" s="14">
        <v>0</v>
      </c>
      <c r="AG32" s="5">
        <v>0</v>
      </c>
      <c r="AH32" s="5">
        <v>0</v>
      </c>
      <c r="AI32" s="5">
        <v>0</v>
      </c>
      <c r="AJ32" s="5">
        <v>806.45</v>
      </c>
      <c r="AK32" s="5">
        <v>0</v>
      </c>
      <c r="AL32" s="5">
        <v>806.45</v>
      </c>
      <c r="AM32" s="8"/>
      <c r="AN32" s="8"/>
    </row>
    <row r="33" spans="1:40" ht="16" thickBot="1">
      <c r="A33" s="3">
        <v>32</v>
      </c>
      <c r="B33" s="4">
        <v>45932</v>
      </c>
      <c r="C33" s="5" t="s">
        <v>40</v>
      </c>
      <c r="D33" s="5" t="s">
        <v>41</v>
      </c>
      <c r="E33" s="6" t="s">
        <v>42</v>
      </c>
      <c r="F33" s="7" t="s">
        <v>97</v>
      </c>
      <c r="G33" s="5" t="s">
        <v>44</v>
      </c>
      <c r="H33" s="5" t="s">
        <v>45</v>
      </c>
      <c r="I33" s="5">
        <v>4</v>
      </c>
      <c r="J33" s="5">
        <v>8</v>
      </c>
      <c r="K33" s="5">
        <v>25000</v>
      </c>
      <c r="L33" s="5">
        <v>1000</v>
      </c>
      <c r="M33" s="5">
        <v>55</v>
      </c>
      <c r="N33" s="5">
        <v>31</v>
      </c>
      <c r="O33" s="6" t="s">
        <v>98</v>
      </c>
      <c r="P33" s="8"/>
      <c r="Q33" s="9">
        <v>0.14166666666666666</v>
      </c>
      <c r="R33" s="9">
        <v>0.19012731481481482</v>
      </c>
      <c r="S33" s="10">
        <v>76451</v>
      </c>
      <c r="T33" s="11">
        <v>0.31829861111111107</v>
      </c>
      <c r="U33" s="11">
        <v>0.31839120370370372</v>
      </c>
      <c r="V33" s="10">
        <v>76480</v>
      </c>
      <c r="W33" s="10">
        <v>30</v>
      </c>
      <c r="X33" s="10">
        <v>30</v>
      </c>
      <c r="Y33" s="12">
        <v>0</v>
      </c>
      <c r="Z33" s="12">
        <v>29</v>
      </c>
      <c r="AA33" s="12">
        <v>29</v>
      </c>
      <c r="AB33" s="12">
        <v>0</v>
      </c>
      <c r="AC33" s="12">
        <v>0</v>
      </c>
      <c r="AD33" s="13">
        <v>0</v>
      </c>
      <c r="AE33" s="12">
        <v>0</v>
      </c>
      <c r="AF33" s="14">
        <v>0</v>
      </c>
      <c r="AG33" s="5">
        <v>0</v>
      </c>
      <c r="AH33" s="5">
        <v>0</v>
      </c>
      <c r="AI33" s="5">
        <v>0</v>
      </c>
      <c r="AJ33" s="5">
        <v>806.45</v>
      </c>
      <c r="AK33" s="5">
        <v>0</v>
      </c>
      <c r="AL33" s="5">
        <v>806.45</v>
      </c>
      <c r="AM33" s="8"/>
      <c r="AN33" s="8"/>
    </row>
    <row r="34" spans="1:40" ht="16" thickBot="1">
      <c r="A34" s="3">
        <v>33</v>
      </c>
      <c r="B34" s="4">
        <v>45932</v>
      </c>
      <c r="C34" s="5" t="s">
        <v>40</v>
      </c>
      <c r="D34" s="5" t="s">
        <v>41</v>
      </c>
      <c r="E34" s="6" t="s">
        <v>42</v>
      </c>
      <c r="F34" s="7" t="s">
        <v>62</v>
      </c>
      <c r="G34" s="5" t="s">
        <v>44</v>
      </c>
      <c r="H34" s="5" t="s">
        <v>45</v>
      </c>
      <c r="I34" s="5">
        <v>6</v>
      </c>
      <c r="J34" s="5">
        <v>8</v>
      </c>
      <c r="K34" s="5">
        <v>33000</v>
      </c>
      <c r="L34" s="5">
        <v>2000</v>
      </c>
      <c r="M34" s="5">
        <v>55</v>
      </c>
      <c r="N34" s="5">
        <v>31</v>
      </c>
      <c r="O34" s="6" t="s">
        <v>63</v>
      </c>
      <c r="P34" s="8"/>
      <c r="Q34" s="9">
        <v>7.5694444444444439E-2</v>
      </c>
      <c r="R34" s="9">
        <v>0.1864699074074074</v>
      </c>
      <c r="S34" s="10">
        <v>46874</v>
      </c>
      <c r="T34" s="11">
        <v>0.49322916666666666</v>
      </c>
      <c r="U34" s="11">
        <v>0.49335648148148148</v>
      </c>
      <c r="V34" s="10">
        <v>46951</v>
      </c>
      <c r="W34" s="10">
        <v>29</v>
      </c>
      <c r="X34" s="10">
        <v>34</v>
      </c>
      <c r="Y34" s="12">
        <v>-5</v>
      </c>
      <c r="Z34" s="12">
        <v>77</v>
      </c>
      <c r="AA34" s="12">
        <v>77</v>
      </c>
      <c r="AB34" s="12">
        <v>0</v>
      </c>
      <c r="AC34" s="12">
        <v>0</v>
      </c>
      <c r="AD34" s="13">
        <v>3</v>
      </c>
      <c r="AE34" s="12">
        <v>450</v>
      </c>
      <c r="AF34" s="14">
        <v>0</v>
      </c>
      <c r="AG34" s="5">
        <v>0</v>
      </c>
      <c r="AH34" s="5">
        <v>0</v>
      </c>
      <c r="AI34" s="5">
        <v>0</v>
      </c>
      <c r="AJ34" s="5">
        <v>1514.52</v>
      </c>
      <c r="AK34" s="5">
        <v>0</v>
      </c>
      <c r="AL34" s="5">
        <v>1514.52</v>
      </c>
      <c r="AM34" s="8"/>
      <c r="AN34" s="8"/>
    </row>
    <row r="35" spans="1:40" ht="16" thickBot="1">
      <c r="A35" s="3">
        <v>34</v>
      </c>
      <c r="B35" s="4">
        <v>45932</v>
      </c>
      <c r="C35" s="5" t="s">
        <v>40</v>
      </c>
      <c r="D35" s="5" t="s">
        <v>41</v>
      </c>
      <c r="E35" s="6" t="s">
        <v>42</v>
      </c>
      <c r="F35" s="7" t="s">
        <v>99</v>
      </c>
      <c r="G35" s="5" t="s">
        <v>44</v>
      </c>
      <c r="H35" s="5" t="s">
        <v>45</v>
      </c>
      <c r="I35" s="5">
        <v>4</v>
      </c>
      <c r="J35" s="5">
        <v>8</v>
      </c>
      <c r="K35" s="5">
        <v>25000</v>
      </c>
      <c r="L35" s="5">
        <v>1000</v>
      </c>
      <c r="M35" s="5">
        <v>55</v>
      </c>
      <c r="N35" s="5">
        <v>31</v>
      </c>
      <c r="O35" s="6" t="s">
        <v>100</v>
      </c>
      <c r="P35" s="8"/>
      <c r="Q35" s="9">
        <v>5.486111111111111E-2</v>
      </c>
      <c r="R35" s="9">
        <v>0.18406250000000002</v>
      </c>
      <c r="S35" s="10">
        <v>86184</v>
      </c>
      <c r="T35" s="11">
        <v>0.29203703703703704</v>
      </c>
      <c r="U35" s="11">
        <v>0.29219907407407408</v>
      </c>
      <c r="V35" s="10">
        <v>86206</v>
      </c>
      <c r="W35" s="10">
        <v>62</v>
      </c>
      <c r="X35" s="10">
        <v>62</v>
      </c>
      <c r="Y35" s="12">
        <v>0</v>
      </c>
      <c r="Z35" s="12">
        <v>22</v>
      </c>
      <c r="AA35" s="12">
        <v>22</v>
      </c>
      <c r="AB35" s="12">
        <v>0</v>
      </c>
      <c r="AC35" s="12">
        <v>0</v>
      </c>
      <c r="AD35" s="13">
        <v>0</v>
      </c>
      <c r="AE35" s="12">
        <v>0</v>
      </c>
      <c r="AF35" s="14">
        <v>0</v>
      </c>
      <c r="AG35" s="5">
        <v>0</v>
      </c>
      <c r="AH35" s="5">
        <v>0</v>
      </c>
      <c r="AI35" s="5">
        <v>0</v>
      </c>
      <c r="AJ35" s="5">
        <v>806.45</v>
      </c>
      <c r="AK35" s="5">
        <v>0</v>
      </c>
      <c r="AL35" s="5">
        <v>806.45</v>
      </c>
      <c r="AM35" s="8"/>
      <c r="AN35" s="8"/>
    </row>
    <row r="36" spans="1:40" ht="16" thickBot="1">
      <c r="A36" s="3">
        <v>35</v>
      </c>
      <c r="B36" s="4">
        <v>45932</v>
      </c>
      <c r="C36" s="5" t="s">
        <v>40</v>
      </c>
      <c r="D36" s="5" t="s">
        <v>41</v>
      </c>
      <c r="E36" s="6" t="s">
        <v>42</v>
      </c>
      <c r="F36" s="7" t="s">
        <v>101</v>
      </c>
      <c r="G36" s="5" t="s">
        <v>44</v>
      </c>
      <c r="H36" s="5" t="s">
        <v>45</v>
      </c>
      <c r="I36" s="5">
        <v>4</v>
      </c>
      <c r="J36" s="5">
        <v>8</v>
      </c>
      <c r="K36" s="5">
        <v>25000</v>
      </c>
      <c r="L36" s="5">
        <v>1000</v>
      </c>
      <c r="M36" s="5">
        <v>55</v>
      </c>
      <c r="N36" s="5">
        <v>31</v>
      </c>
      <c r="O36" s="6" t="s">
        <v>67</v>
      </c>
      <c r="P36" s="8"/>
      <c r="Q36" s="9">
        <v>0.11458333333333333</v>
      </c>
      <c r="R36" s="9">
        <v>0.18113425925925927</v>
      </c>
      <c r="S36" s="10">
        <v>117250</v>
      </c>
      <c r="T36" s="15"/>
      <c r="U36" s="15"/>
      <c r="V36" s="6">
        <v>117250</v>
      </c>
      <c r="W36" s="15"/>
      <c r="X36" s="10">
        <v>14</v>
      </c>
      <c r="Y36" s="12">
        <v>-14</v>
      </c>
      <c r="Z36" s="12">
        <v>0</v>
      </c>
      <c r="AA36" s="12">
        <v>0</v>
      </c>
      <c r="AB36" s="12">
        <v>0</v>
      </c>
      <c r="AC36" s="12">
        <v>0</v>
      </c>
      <c r="AD36" s="13">
        <v>0</v>
      </c>
      <c r="AE36" s="12">
        <v>0</v>
      </c>
      <c r="AF36" s="14">
        <v>0</v>
      </c>
      <c r="AG36" s="5">
        <v>0</v>
      </c>
      <c r="AH36" s="5">
        <v>0</v>
      </c>
      <c r="AI36" s="5">
        <v>0</v>
      </c>
      <c r="AJ36" s="5">
        <v>806.45</v>
      </c>
      <c r="AK36" s="5">
        <v>0</v>
      </c>
      <c r="AL36" s="5">
        <v>806.45</v>
      </c>
      <c r="AM36" s="8"/>
      <c r="AN36" s="8"/>
    </row>
    <row r="37" spans="1:40" ht="16" thickBot="1">
      <c r="A37" s="3">
        <v>36</v>
      </c>
      <c r="B37" s="4">
        <v>45932</v>
      </c>
      <c r="C37" s="5" t="s">
        <v>40</v>
      </c>
      <c r="D37" s="5" t="s">
        <v>41</v>
      </c>
      <c r="E37" s="6" t="s">
        <v>42</v>
      </c>
      <c r="F37" s="7" t="s">
        <v>64</v>
      </c>
      <c r="G37" s="5" t="s">
        <v>44</v>
      </c>
      <c r="H37" s="5" t="s">
        <v>45</v>
      </c>
      <c r="I37" s="5">
        <v>4</v>
      </c>
      <c r="J37" s="5">
        <v>8</v>
      </c>
      <c r="K37" s="5">
        <v>25000</v>
      </c>
      <c r="L37" s="5">
        <v>1000</v>
      </c>
      <c r="M37" s="5">
        <v>55</v>
      </c>
      <c r="N37" s="5">
        <v>31</v>
      </c>
      <c r="O37" s="6" t="s">
        <v>102</v>
      </c>
      <c r="P37" s="8"/>
      <c r="Q37" s="9">
        <v>0.12291666666666667</v>
      </c>
      <c r="R37" s="9">
        <v>0.18751157407407407</v>
      </c>
      <c r="S37" s="10">
        <v>73917</v>
      </c>
      <c r="T37" s="11">
        <v>0.35043981481481484</v>
      </c>
      <c r="U37" s="11">
        <v>0.35053240740740743</v>
      </c>
      <c r="V37" s="10">
        <v>73939</v>
      </c>
      <c r="W37" s="10">
        <v>29</v>
      </c>
      <c r="X37" s="10">
        <v>24</v>
      </c>
      <c r="Y37" s="12">
        <v>5</v>
      </c>
      <c r="Z37" s="12">
        <v>22</v>
      </c>
      <c r="AA37" s="12">
        <v>22</v>
      </c>
      <c r="AB37" s="12">
        <v>0</v>
      </c>
      <c r="AC37" s="12">
        <v>0</v>
      </c>
      <c r="AD37" s="13">
        <v>1</v>
      </c>
      <c r="AE37" s="12">
        <v>150</v>
      </c>
      <c r="AF37" s="14">
        <v>0</v>
      </c>
      <c r="AG37" s="5">
        <v>0</v>
      </c>
      <c r="AH37" s="5">
        <v>0</v>
      </c>
      <c r="AI37" s="5">
        <v>0</v>
      </c>
      <c r="AJ37" s="5">
        <v>956.45</v>
      </c>
      <c r="AK37" s="5">
        <v>0</v>
      </c>
      <c r="AL37" s="5">
        <v>956.45</v>
      </c>
      <c r="AM37" s="8"/>
      <c r="AN37" s="8"/>
    </row>
    <row r="38" spans="1:40" ht="16" thickBot="1">
      <c r="A38" s="3">
        <v>37</v>
      </c>
      <c r="B38" s="4">
        <v>45932</v>
      </c>
      <c r="C38" s="5" t="s">
        <v>40</v>
      </c>
      <c r="D38" s="5" t="s">
        <v>41</v>
      </c>
      <c r="E38" s="6" t="s">
        <v>42</v>
      </c>
      <c r="F38" s="7" t="s">
        <v>68</v>
      </c>
      <c r="G38" s="5" t="s">
        <v>44</v>
      </c>
      <c r="H38" s="5" t="s">
        <v>45</v>
      </c>
      <c r="I38" s="5">
        <v>4</v>
      </c>
      <c r="J38" s="5">
        <v>8</v>
      </c>
      <c r="K38" s="5">
        <v>25000</v>
      </c>
      <c r="L38" s="5">
        <v>1000</v>
      </c>
      <c r="M38" s="5">
        <v>55</v>
      </c>
      <c r="N38" s="5">
        <v>31</v>
      </c>
      <c r="O38" s="6" t="s">
        <v>103</v>
      </c>
      <c r="P38" s="8"/>
      <c r="Q38" s="9">
        <v>5.486111111111111E-2</v>
      </c>
      <c r="R38" s="9">
        <v>0.18038194444444444</v>
      </c>
      <c r="S38" s="10">
        <v>82445</v>
      </c>
      <c r="T38" s="11">
        <v>0.29368055555555556</v>
      </c>
      <c r="U38" s="11">
        <v>0.29375000000000001</v>
      </c>
      <c r="V38" s="10">
        <v>82460</v>
      </c>
      <c r="W38" s="10">
        <v>52</v>
      </c>
      <c r="X38" s="10">
        <v>52</v>
      </c>
      <c r="Y38" s="12">
        <v>0</v>
      </c>
      <c r="Z38" s="12">
        <v>15</v>
      </c>
      <c r="AA38" s="12">
        <v>15</v>
      </c>
      <c r="AB38" s="12">
        <v>0</v>
      </c>
      <c r="AC38" s="12">
        <v>0</v>
      </c>
      <c r="AD38" s="13">
        <v>0</v>
      </c>
      <c r="AE38" s="12">
        <v>0</v>
      </c>
      <c r="AF38" s="14">
        <v>0</v>
      </c>
      <c r="AG38" s="5">
        <v>0</v>
      </c>
      <c r="AH38" s="5">
        <v>0</v>
      </c>
      <c r="AI38" s="5">
        <v>0</v>
      </c>
      <c r="AJ38" s="5">
        <v>806.45</v>
      </c>
      <c r="AK38" s="5">
        <v>0</v>
      </c>
      <c r="AL38" s="5">
        <v>806.45</v>
      </c>
      <c r="AM38" s="8"/>
      <c r="AN38" s="8"/>
    </row>
    <row r="39" spans="1:40" ht="16" thickBot="1">
      <c r="A39" s="3">
        <v>38</v>
      </c>
      <c r="B39" s="4">
        <v>45932</v>
      </c>
      <c r="C39" s="5" t="s">
        <v>40</v>
      </c>
      <c r="D39" s="5" t="s">
        <v>41</v>
      </c>
      <c r="E39" s="6" t="s">
        <v>42</v>
      </c>
      <c r="F39" s="7" t="s">
        <v>70</v>
      </c>
      <c r="G39" s="5" t="s">
        <v>44</v>
      </c>
      <c r="H39" s="5" t="s">
        <v>45</v>
      </c>
      <c r="I39" s="5">
        <v>4</v>
      </c>
      <c r="J39" s="5">
        <v>8</v>
      </c>
      <c r="K39" s="5">
        <v>25000</v>
      </c>
      <c r="L39" s="5">
        <v>1000</v>
      </c>
      <c r="M39" s="5">
        <v>55</v>
      </c>
      <c r="N39" s="5">
        <v>31</v>
      </c>
      <c r="O39" s="6" t="s">
        <v>65</v>
      </c>
      <c r="P39" s="8"/>
      <c r="Q39" s="9">
        <v>9.4444444444444442E-2</v>
      </c>
      <c r="R39" s="9">
        <v>0.19068287037037038</v>
      </c>
      <c r="S39" s="10">
        <v>35899</v>
      </c>
      <c r="T39" s="11">
        <v>0.32373842592592594</v>
      </c>
      <c r="U39" s="11">
        <v>0.32437500000000002</v>
      </c>
      <c r="V39" s="10">
        <v>35928</v>
      </c>
      <c r="W39" s="10">
        <v>35</v>
      </c>
      <c r="X39" s="10">
        <v>35</v>
      </c>
      <c r="Y39" s="12">
        <v>0</v>
      </c>
      <c r="Z39" s="12">
        <v>29</v>
      </c>
      <c r="AA39" s="12">
        <v>29</v>
      </c>
      <c r="AB39" s="12">
        <v>0</v>
      </c>
      <c r="AC39" s="12">
        <v>0</v>
      </c>
      <c r="AD39" s="13">
        <v>0</v>
      </c>
      <c r="AE39" s="12">
        <v>0</v>
      </c>
      <c r="AF39" s="14">
        <v>0</v>
      </c>
      <c r="AG39" s="5">
        <v>0</v>
      </c>
      <c r="AH39" s="5">
        <v>0</v>
      </c>
      <c r="AI39" s="5">
        <v>0</v>
      </c>
      <c r="AJ39" s="5">
        <v>806.45</v>
      </c>
      <c r="AK39" s="5">
        <v>0</v>
      </c>
      <c r="AL39" s="5">
        <v>806.45</v>
      </c>
      <c r="AM39" s="8"/>
      <c r="AN39" s="8"/>
    </row>
    <row r="40" spans="1:40" ht="16" thickBot="1">
      <c r="A40" s="3">
        <v>39</v>
      </c>
      <c r="B40" s="4">
        <v>45932</v>
      </c>
      <c r="C40" s="5" t="s">
        <v>40</v>
      </c>
      <c r="D40" s="5" t="s">
        <v>41</v>
      </c>
      <c r="E40" s="6" t="s">
        <v>42</v>
      </c>
      <c r="F40" s="7" t="s">
        <v>72</v>
      </c>
      <c r="G40" s="5" t="s">
        <v>44</v>
      </c>
      <c r="H40" s="5" t="s">
        <v>45</v>
      </c>
      <c r="I40" s="5">
        <v>6</v>
      </c>
      <c r="J40" s="5">
        <v>8</v>
      </c>
      <c r="K40" s="5">
        <v>33000</v>
      </c>
      <c r="L40" s="5">
        <v>2000</v>
      </c>
      <c r="M40" s="5">
        <v>55</v>
      </c>
      <c r="N40" s="5">
        <v>31</v>
      </c>
      <c r="O40" s="6" t="s">
        <v>73</v>
      </c>
      <c r="P40" s="8"/>
      <c r="Q40" s="9">
        <v>5.347222222222222E-2</v>
      </c>
      <c r="R40" s="9">
        <v>0.18753472222222223</v>
      </c>
      <c r="S40" s="10">
        <v>31676</v>
      </c>
      <c r="T40" s="11">
        <v>0.30896990740740743</v>
      </c>
      <c r="U40" s="11">
        <v>0.30905092592592592</v>
      </c>
      <c r="V40" s="10">
        <v>31744</v>
      </c>
      <c r="W40" s="10">
        <v>27</v>
      </c>
      <c r="X40" s="10">
        <v>27</v>
      </c>
      <c r="Y40" s="12">
        <v>0</v>
      </c>
      <c r="Z40" s="12">
        <v>68</v>
      </c>
      <c r="AA40" s="12">
        <v>68</v>
      </c>
      <c r="AB40" s="12">
        <v>0</v>
      </c>
      <c r="AC40" s="12">
        <v>0</v>
      </c>
      <c r="AD40" s="13">
        <v>0</v>
      </c>
      <c r="AE40" s="12">
        <v>0</v>
      </c>
      <c r="AF40" s="14">
        <v>0</v>
      </c>
      <c r="AG40" s="5">
        <v>0</v>
      </c>
      <c r="AH40" s="5">
        <v>0</v>
      </c>
      <c r="AI40" s="5">
        <v>0</v>
      </c>
      <c r="AJ40" s="5">
        <v>1064.52</v>
      </c>
      <c r="AK40" s="5">
        <v>0</v>
      </c>
      <c r="AL40" s="5">
        <v>1064.52</v>
      </c>
      <c r="AM40" s="8"/>
      <c r="AN40" s="8"/>
    </row>
    <row r="41" spans="1:40" ht="16" thickBot="1">
      <c r="A41" s="3">
        <v>40</v>
      </c>
      <c r="B41" s="4">
        <v>45932</v>
      </c>
      <c r="C41" s="5" t="s">
        <v>40</v>
      </c>
      <c r="D41" s="5" t="s">
        <v>41</v>
      </c>
      <c r="E41" s="6" t="s">
        <v>42</v>
      </c>
      <c r="F41" s="7" t="s">
        <v>74</v>
      </c>
      <c r="G41" s="5" t="s">
        <v>44</v>
      </c>
      <c r="H41" s="5" t="s">
        <v>45</v>
      </c>
      <c r="I41" s="5">
        <v>4</v>
      </c>
      <c r="J41" s="5">
        <v>8</v>
      </c>
      <c r="K41" s="5">
        <v>25000</v>
      </c>
      <c r="L41" s="5">
        <v>1000</v>
      </c>
      <c r="M41" s="5">
        <v>55</v>
      </c>
      <c r="N41" s="5">
        <v>31</v>
      </c>
      <c r="O41" s="6" t="s">
        <v>104</v>
      </c>
      <c r="P41" s="8"/>
      <c r="Q41" s="9">
        <v>5.486111111111111E-2</v>
      </c>
      <c r="R41" s="9">
        <v>0.18309027777777778</v>
      </c>
      <c r="S41" s="10">
        <v>37052</v>
      </c>
      <c r="T41" s="11">
        <v>0.31612268518518521</v>
      </c>
      <c r="U41" s="11">
        <v>0.31618055555555552</v>
      </c>
      <c r="V41" s="10">
        <v>37066</v>
      </c>
      <c r="W41" s="10">
        <v>46</v>
      </c>
      <c r="X41" s="10">
        <v>46</v>
      </c>
      <c r="Y41" s="12">
        <v>0</v>
      </c>
      <c r="Z41" s="12">
        <v>14</v>
      </c>
      <c r="AA41" s="12">
        <v>14</v>
      </c>
      <c r="AB41" s="12">
        <v>0</v>
      </c>
      <c r="AC41" s="12">
        <v>0</v>
      </c>
      <c r="AD41" s="13">
        <v>0</v>
      </c>
      <c r="AE41" s="12">
        <v>0</v>
      </c>
      <c r="AF41" s="14">
        <v>0</v>
      </c>
      <c r="AG41" s="5">
        <v>0</v>
      </c>
      <c r="AH41" s="5">
        <v>0</v>
      </c>
      <c r="AI41" s="5">
        <v>0</v>
      </c>
      <c r="AJ41" s="5">
        <v>806.45</v>
      </c>
      <c r="AK41" s="5">
        <v>0</v>
      </c>
      <c r="AL41" s="5">
        <v>806.45</v>
      </c>
      <c r="AM41" s="8"/>
      <c r="AN41" s="8"/>
    </row>
    <row r="42" spans="1:40" ht="16" thickBot="1">
      <c r="A42" s="3">
        <v>41</v>
      </c>
      <c r="B42" s="4">
        <v>45932</v>
      </c>
      <c r="C42" s="5" t="s">
        <v>40</v>
      </c>
      <c r="D42" s="5" t="s">
        <v>41</v>
      </c>
      <c r="E42" s="6" t="s">
        <v>42</v>
      </c>
      <c r="F42" s="7" t="s">
        <v>78</v>
      </c>
      <c r="G42" s="5" t="s">
        <v>44</v>
      </c>
      <c r="H42" s="5" t="s">
        <v>45</v>
      </c>
      <c r="I42" s="5">
        <v>4</v>
      </c>
      <c r="J42" s="5">
        <v>8</v>
      </c>
      <c r="K42" s="5">
        <v>25000</v>
      </c>
      <c r="L42" s="5">
        <v>1000</v>
      </c>
      <c r="M42" s="5">
        <v>55</v>
      </c>
      <c r="N42" s="5">
        <v>31</v>
      </c>
      <c r="O42" s="6" t="s">
        <v>79</v>
      </c>
      <c r="P42" s="8"/>
      <c r="Q42" s="9">
        <v>5.486111111111111E-2</v>
      </c>
      <c r="R42" s="9">
        <v>0.18324074074074073</v>
      </c>
      <c r="S42" s="10">
        <v>6363</v>
      </c>
      <c r="T42" s="11">
        <v>0.32874999999999999</v>
      </c>
      <c r="U42" s="11">
        <v>0.32883101851851854</v>
      </c>
      <c r="V42" s="10">
        <v>6396</v>
      </c>
      <c r="W42" s="10">
        <v>33</v>
      </c>
      <c r="X42" s="10">
        <v>33</v>
      </c>
      <c r="Y42" s="12">
        <v>0</v>
      </c>
      <c r="Z42" s="12">
        <v>33</v>
      </c>
      <c r="AA42" s="12">
        <v>33</v>
      </c>
      <c r="AB42" s="12">
        <v>0</v>
      </c>
      <c r="AC42" s="12">
        <v>0</v>
      </c>
      <c r="AD42" s="13">
        <v>0</v>
      </c>
      <c r="AE42" s="12">
        <v>0</v>
      </c>
      <c r="AF42" s="14">
        <v>0</v>
      </c>
      <c r="AG42" s="5">
        <v>0</v>
      </c>
      <c r="AH42" s="5">
        <v>0</v>
      </c>
      <c r="AI42" s="5">
        <v>0</v>
      </c>
      <c r="AJ42" s="5">
        <v>806.45</v>
      </c>
      <c r="AK42" s="5">
        <v>0</v>
      </c>
      <c r="AL42" s="5">
        <v>806.45</v>
      </c>
      <c r="AM42" s="8"/>
      <c r="AN42" s="8"/>
    </row>
    <row r="43" spans="1:40" ht="16" thickBot="1">
      <c r="A43" s="3">
        <v>42</v>
      </c>
      <c r="B43" s="4">
        <v>45932</v>
      </c>
      <c r="C43" s="5" t="s">
        <v>40</v>
      </c>
      <c r="D43" s="5" t="s">
        <v>41</v>
      </c>
      <c r="E43" s="6" t="s">
        <v>42</v>
      </c>
      <c r="F43" s="7" t="s">
        <v>80</v>
      </c>
      <c r="G43" s="5" t="s">
        <v>44</v>
      </c>
      <c r="H43" s="5" t="s">
        <v>45</v>
      </c>
      <c r="I43" s="5">
        <v>4</v>
      </c>
      <c r="J43" s="5">
        <v>8</v>
      </c>
      <c r="K43" s="5">
        <v>25000</v>
      </c>
      <c r="L43" s="5">
        <v>1000</v>
      </c>
      <c r="M43" s="5">
        <v>55</v>
      </c>
      <c r="N43" s="5">
        <v>31</v>
      </c>
      <c r="O43" s="6" t="s">
        <v>75</v>
      </c>
      <c r="P43" s="8"/>
      <c r="Q43" s="9">
        <v>6.5277777777777782E-2</v>
      </c>
      <c r="R43" s="9">
        <v>0.18162037037037038</v>
      </c>
      <c r="S43" s="10">
        <v>3350</v>
      </c>
      <c r="T43" s="11">
        <v>0.31695601851851851</v>
      </c>
      <c r="U43" s="11">
        <v>0.31702546296296297</v>
      </c>
      <c r="V43" s="10">
        <v>3368</v>
      </c>
      <c r="W43" s="10">
        <v>68</v>
      </c>
      <c r="X43" s="10">
        <v>68</v>
      </c>
      <c r="Y43" s="12">
        <v>0</v>
      </c>
      <c r="Z43" s="12">
        <v>18</v>
      </c>
      <c r="AA43" s="12">
        <v>18</v>
      </c>
      <c r="AB43" s="12">
        <v>0</v>
      </c>
      <c r="AC43" s="12">
        <v>0</v>
      </c>
      <c r="AD43" s="13">
        <v>0</v>
      </c>
      <c r="AE43" s="12">
        <v>0</v>
      </c>
      <c r="AF43" s="14">
        <v>0</v>
      </c>
      <c r="AG43" s="5">
        <v>0</v>
      </c>
      <c r="AH43" s="5">
        <v>0</v>
      </c>
      <c r="AI43" s="5">
        <v>0</v>
      </c>
      <c r="AJ43" s="5">
        <v>806.45</v>
      </c>
      <c r="AK43" s="5">
        <v>0</v>
      </c>
      <c r="AL43" s="5">
        <v>806.45</v>
      </c>
      <c r="AM43" s="8"/>
      <c r="AN43" s="8"/>
    </row>
    <row r="44" spans="1:40" ht="16" thickBot="1">
      <c r="A44" s="3">
        <v>43</v>
      </c>
      <c r="B44" s="4">
        <v>45932</v>
      </c>
      <c r="C44" s="5" t="s">
        <v>40</v>
      </c>
      <c r="D44" s="5" t="s">
        <v>41</v>
      </c>
      <c r="E44" s="6" t="s">
        <v>42</v>
      </c>
      <c r="F44" s="7" t="s">
        <v>105</v>
      </c>
      <c r="G44" s="5" t="s">
        <v>44</v>
      </c>
      <c r="H44" s="5" t="s">
        <v>45</v>
      </c>
      <c r="I44" s="5">
        <v>4</v>
      </c>
      <c r="J44" s="5">
        <v>8</v>
      </c>
      <c r="K44" s="5">
        <v>25000</v>
      </c>
      <c r="L44" s="5">
        <v>1000</v>
      </c>
      <c r="M44" s="5">
        <v>55</v>
      </c>
      <c r="N44" s="5">
        <v>31</v>
      </c>
      <c r="O44" s="6" t="s">
        <v>106</v>
      </c>
      <c r="P44" s="8"/>
      <c r="Q44" s="9">
        <v>6.5972222222222224E-2</v>
      </c>
      <c r="R44" s="9">
        <v>0.18304398148148149</v>
      </c>
      <c r="S44" s="10">
        <v>40439</v>
      </c>
      <c r="T44" s="11">
        <v>0.29449074074074072</v>
      </c>
      <c r="U44" s="11">
        <v>0.29461805555555559</v>
      </c>
      <c r="V44" s="10">
        <v>40463</v>
      </c>
      <c r="W44" s="10">
        <v>29</v>
      </c>
      <c r="X44" s="10">
        <v>29</v>
      </c>
      <c r="Y44" s="12">
        <v>0</v>
      </c>
      <c r="Z44" s="12">
        <v>24</v>
      </c>
      <c r="AA44" s="12">
        <v>24</v>
      </c>
      <c r="AB44" s="12">
        <v>0</v>
      </c>
      <c r="AC44" s="12">
        <v>0</v>
      </c>
      <c r="AD44" s="13">
        <v>0</v>
      </c>
      <c r="AE44" s="12">
        <v>0</v>
      </c>
      <c r="AF44" s="14">
        <v>0</v>
      </c>
      <c r="AG44" s="5">
        <v>0</v>
      </c>
      <c r="AH44" s="5">
        <v>0</v>
      </c>
      <c r="AI44" s="5">
        <v>0</v>
      </c>
      <c r="AJ44" s="5">
        <v>806.45</v>
      </c>
      <c r="AK44" s="5">
        <v>0</v>
      </c>
      <c r="AL44" s="5">
        <v>806.45</v>
      </c>
      <c r="AM44" s="8"/>
      <c r="AN44" s="8"/>
    </row>
    <row r="45" spans="1:40" ht="16" thickBot="1">
      <c r="A45" s="3">
        <v>44</v>
      </c>
      <c r="B45" s="4">
        <v>45932</v>
      </c>
      <c r="C45" s="5" t="s">
        <v>40</v>
      </c>
      <c r="D45" s="5" t="s">
        <v>41</v>
      </c>
      <c r="E45" s="6" t="s">
        <v>42</v>
      </c>
      <c r="F45" s="7" t="s">
        <v>82</v>
      </c>
      <c r="G45" s="10" t="s">
        <v>83</v>
      </c>
      <c r="H45" s="5" t="s">
        <v>84</v>
      </c>
      <c r="I45" s="5">
        <v>4</v>
      </c>
      <c r="J45" s="5">
        <v>10</v>
      </c>
      <c r="K45" s="6">
        <v>29000</v>
      </c>
      <c r="L45" s="5">
        <v>1000</v>
      </c>
      <c r="M45" s="5">
        <v>55</v>
      </c>
      <c r="N45" s="5">
        <v>31</v>
      </c>
      <c r="O45" s="6" t="s">
        <v>107</v>
      </c>
      <c r="P45" s="8"/>
      <c r="Q45" s="9">
        <v>0.12013888888888889</v>
      </c>
      <c r="R45" s="9">
        <v>0.19118055555555555</v>
      </c>
      <c r="S45" s="10">
        <v>32197</v>
      </c>
      <c r="T45" s="11">
        <v>0.31240740740740741</v>
      </c>
      <c r="U45" s="11">
        <v>0.31248842592592591</v>
      </c>
      <c r="V45" s="10">
        <v>32211</v>
      </c>
      <c r="W45" s="10">
        <v>41</v>
      </c>
      <c r="X45" s="10">
        <v>41</v>
      </c>
      <c r="Y45" s="12">
        <v>0</v>
      </c>
      <c r="Z45" s="12">
        <v>14</v>
      </c>
      <c r="AA45" s="12">
        <v>14</v>
      </c>
      <c r="AB45" s="12">
        <v>0</v>
      </c>
      <c r="AC45" s="12">
        <v>0</v>
      </c>
      <c r="AD45" s="13">
        <v>0</v>
      </c>
      <c r="AE45" s="12">
        <v>0</v>
      </c>
      <c r="AF45" s="14">
        <v>0</v>
      </c>
      <c r="AG45" s="5">
        <v>0</v>
      </c>
      <c r="AH45" s="5">
        <v>0</v>
      </c>
      <c r="AI45" s="5">
        <v>0</v>
      </c>
      <c r="AJ45" s="5">
        <v>935.48</v>
      </c>
      <c r="AK45" s="5">
        <v>0</v>
      </c>
      <c r="AL45" s="5">
        <v>935.48</v>
      </c>
      <c r="AM45" s="8"/>
      <c r="AN45" s="8"/>
    </row>
    <row r="46" spans="1:40" ht="16" thickBot="1">
      <c r="A46" s="3">
        <v>45</v>
      </c>
      <c r="B46" s="4">
        <v>45932</v>
      </c>
      <c r="C46" s="5" t="s">
        <v>40</v>
      </c>
      <c r="D46" s="5" t="s">
        <v>41</v>
      </c>
      <c r="E46" s="6" t="s">
        <v>42</v>
      </c>
      <c r="F46" s="7" t="s">
        <v>85</v>
      </c>
      <c r="G46" s="10" t="s">
        <v>83</v>
      </c>
      <c r="H46" s="5" t="s">
        <v>84</v>
      </c>
      <c r="I46" s="5">
        <v>4</v>
      </c>
      <c r="J46" s="5">
        <v>10</v>
      </c>
      <c r="K46" s="6">
        <v>29000</v>
      </c>
      <c r="L46" s="5">
        <v>1000</v>
      </c>
      <c r="M46" s="5">
        <v>55</v>
      </c>
      <c r="N46" s="5">
        <v>31</v>
      </c>
      <c r="O46" s="6" t="s">
        <v>108</v>
      </c>
      <c r="P46" s="8"/>
      <c r="Q46" s="9">
        <v>9.2361111111111116E-2</v>
      </c>
      <c r="R46" s="9">
        <v>0.19260416666666669</v>
      </c>
      <c r="S46" s="10">
        <v>37653</v>
      </c>
      <c r="T46" s="11">
        <v>0.34957175925925926</v>
      </c>
      <c r="U46" s="11">
        <v>0.34971064814814817</v>
      </c>
      <c r="V46" s="10">
        <v>37678</v>
      </c>
      <c r="W46" s="10">
        <v>43</v>
      </c>
      <c r="X46" s="10">
        <v>49</v>
      </c>
      <c r="Y46" s="12">
        <v>-6</v>
      </c>
      <c r="Z46" s="12">
        <v>25</v>
      </c>
      <c r="AA46" s="12">
        <v>25</v>
      </c>
      <c r="AB46" s="12">
        <v>0</v>
      </c>
      <c r="AC46" s="12">
        <v>0</v>
      </c>
      <c r="AD46" s="13">
        <v>1</v>
      </c>
      <c r="AE46" s="12">
        <v>150</v>
      </c>
      <c r="AF46" s="14">
        <v>0</v>
      </c>
      <c r="AG46" s="5">
        <v>0</v>
      </c>
      <c r="AH46" s="5">
        <v>0</v>
      </c>
      <c r="AI46" s="5">
        <v>0</v>
      </c>
      <c r="AJ46" s="5">
        <v>1085.48</v>
      </c>
      <c r="AK46" s="5">
        <v>0</v>
      </c>
      <c r="AL46" s="5">
        <v>1085.48</v>
      </c>
      <c r="AM46" s="8"/>
      <c r="AN46" s="8"/>
    </row>
    <row r="47" spans="1:40" ht="16" thickBot="1">
      <c r="A47" s="3">
        <v>46</v>
      </c>
      <c r="B47" s="4">
        <v>45932</v>
      </c>
      <c r="C47" s="5" t="s">
        <v>40</v>
      </c>
      <c r="D47" s="5" t="s">
        <v>41</v>
      </c>
      <c r="E47" s="6" t="s">
        <v>42</v>
      </c>
      <c r="F47" s="7" t="s">
        <v>87</v>
      </c>
      <c r="G47" s="10" t="s">
        <v>83</v>
      </c>
      <c r="H47" s="5" t="s">
        <v>84</v>
      </c>
      <c r="I47" s="5">
        <v>4</v>
      </c>
      <c r="J47" s="5">
        <v>10</v>
      </c>
      <c r="K47" s="6">
        <v>29000</v>
      </c>
      <c r="L47" s="5">
        <v>1000</v>
      </c>
      <c r="M47" s="5">
        <v>55</v>
      </c>
      <c r="N47" s="5">
        <v>31</v>
      </c>
      <c r="O47" s="6" t="s">
        <v>109</v>
      </c>
      <c r="P47" s="8"/>
      <c r="Q47" s="9">
        <v>0.10555555555555556</v>
      </c>
      <c r="R47" s="9">
        <v>0.19219907407407408</v>
      </c>
      <c r="S47" s="10">
        <v>2432</v>
      </c>
      <c r="T47" s="11">
        <v>0.33417824074074076</v>
      </c>
      <c r="U47" s="11">
        <v>0.33427083333333335</v>
      </c>
      <c r="V47" s="10">
        <v>2465</v>
      </c>
      <c r="W47" s="10">
        <v>44</v>
      </c>
      <c r="X47" s="10">
        <v>44</v>
      </c>
      <c r="Y47" s="12">
        <v>0</v>
      </c>
      <c r="Z47" s="12">
        <v>33</v>
      </c>
      <c r="AA47" s="12">
        <v>33</v>
      </c>
      <c r="AB47" s="12">
        <v>0</v>
      </c>
      <c r="AC47" s="12">
        <v>0</v>
      </c>
      <c r="AD47" s="13">
        <v>1</v>
      </c>
      <c r="AE47" s="12">
        <v>150</v>
      </c>
      <c r="AF47" s="14">
        <v>0</v>
      </c>
      <c r="AG47" s="5">
        <v>0</v>
      </c>
      <c r="AH47" s="5">
        <v>0</v>
      </c>
      <c r="AI47" s="5">
        <v>0</v>
      </c>
      <c r="AJ47" s="5">
        <v>1085.48</v>
      </c>
      <c r="AK47" s="5">
        <v>0</v>
      </c>
      <c r="AL47" s="5">
        <v>1085.48</v>
      </c>
      <c r="AM47" s="8"/>
      <c r="AN47" s="8"/>
    </row>
    <row r="48" spans="1:40" ht="16" thickBot="1">
      <c r="A48" s="3">
        <v>47</v>
      </c>
      <c r="B48" s="4">
        <v>45932</v>
      </c>
      <c r="C48" s="5" t="s">
        <v>40</v>
      </c>
      <c r="D48" s="5" t="s">
        <v>41</v>
      </c>
      <c r="E48" s="6" t="s">
        <v>42</v>
      </c>
      <c r="F48" s="7" t="s">
        <v>89</v>
      </c>
      <c r="G48" s="10" t="s">
        <v>83</v>
      </c>
      <c r="H48" s="5" t="s">
        <v>84</v>
      </c>
      <c r="I48" s="5">
        <v>4</v>
      </c>
      <c r="J48" s="5">
        <v>10</v>
      </c>
      <c r="K48" s="6">
        <v>29000</v>
      </c>
      <c r="L48" s="5">
        <v>1000</v>
      </c>
      <c r="M48" s="5">
        <v>55</v>
      </c>
      <c r="N48" s="5">
        <v>31</v>
      </c>
      <c r="O48" s="6" t="s">
        <v>110</v>
      </c>
      <c r="P48" s="8"/>
      <c r="Q48" s="9">
        <v>5.486111111111111E-2</v>
      </c>
      <c r="R48" s="9">
        <v>0.1804513888888889</v>
      </c>
      <c r="S48" s="10">
        <v>138590</v>
      </c>
      <c r="T48" s="11">
        <v>0.30057870370370371</v>
      </c>
      <c r="U48" s="11">
        <v>0.30327546296296298</v>
      </c>
      <c r="V48" s="10">
        <v>138602</v>
      </c>
      <c r="W48" s="10">
        <v>69</v>
      </c>
      <c r="X48" s="10">
        <v>69</v>
      </c>
      <c r="Y48" s="12">
        <v>0</v>
      </c>
      <c r="Z48" s="12">
        <v>12</v>
      </c>
      <c r="AA48" s="12">
        <v>12</v>
      </c>
      <c r="AB48" s="12">
        <v>0</v>
      </c>
      <c r="AC48" s="12">
        <v>0</v>
      </c>
      <c r="AD48" s="13">
        <v>0</v>
      </c>
      <c r="AE48" s="12">
        <v>0</v>
      </c>
      <c r="AF48" s="14">
        <v>0</v>
      </c>
      <c r="AG48" s="5">
        <v>0</v>
      </c>
      <c r="AH48" s="5">
        <v>0</v>
      </c>
      <c r="AI48" s="5">
        <v>0</v>
      </c>
      <c r="AJ48" s="5">
        <v>935.48</v>
      </c>
      <c r="AK48" s="5">
        <v>0</v>
      </c>
      <c r="AL48" s="5">
        <v>935.48</v>
      </c>
      <c r="AM48" s="8"/>
      <c r="AN48" s="8"/>
    </row>
    <row r="49" spans="1:40" ht="16" thickBot="1">
      <c r="A49" s="3">
        <v>48</v>
      </c>
      <c r="B49" s="4">
        <v>45933</v>
      </c>
      <c r="C49" s="5" t="s">
        <v>40</v>
      </c>
      <c r="D49" s="5" t="s">
        <v>41</v>
      </c>
      <c r="E49" s="6" t="s">
        <v>42</v>
      </c>
      <c r="F49" s="7" t="s">
        <v>43</v>
      </c>
      <c r="G49" s="5" t="s">
        <v>44</v>
      </c>
      <c r="H49" s="5" t="s">
        <v>45</v>
      </c>
      <c r="I49" s="5">
        <v>4</v>
      </c>
      <c r="J49" s="5">
        <v>8</v>
      </c>
      <c r="K49" s="5">
        <v>25000</v>
      </c>
      <c r="L49" s="5">
        <v>1000</v>
      </c>
      <c r="M49" s="5">
        <v>55</v>
      </c>
      <c r="N49" s="5">
        <v>31</v>
      </c>
      <c r="O49" s="6" t="s">
        <v>46</v>
      </c>
      <c r="P49" s="8"/>
      <c r="Q49" s="9">
        <v>4.9999999999999996E-2</v>
      </c>
      <c r="R49" s="9">
        <v>0.16380787037037037</v>
      </c>
      <c r="S49" s="6">
        <v>55412</v>
      </c>
      <c r="T49" s="16">
        <v>0.29768518518518522</v>
      </c>
      <c r="U49" s="16">
        <v>0.29782407407407407</v>
      </c>
      <c r="V49" s="6">
        <v>55419</v>
      </c>
      <c r="W49" s="6">
        <v>40</v>
      </c>
      <c r="X49" s="6">
        <v>40</v>
      </c>
      <c r="Y49" s="12">
        <v>0</v>
      </c>
      <c r="Z49" s="12">
        <v>7</v>
      </c>
      <c r="AA49" s="12">
        <v>7</v>
      </c>
      <c r="AB49" s="12">
        <v>0</v>
      </c>
      <c r="AC49" s="12">
        <v>0</v>
      </c>
      <c r="AD49" s="13">
        <v>0</v>
      </c>
      <c r="AE49" s="12">
        <v>0</v>
      </c>
      <c r="AF49" s="14">
        <v>0</v>
      </c>
      <c r="AG49" s="5">
        <v>0</v>
      </c>
      <c r="AH49" s="5">
        <v>0</v>
      </c>
      <c r="AI49" s="5">
        <v>0</v>
      </c>
      <c r="AJ49" s="5">
        <v>806.45</v>
      </c>
      <c r="AK49" s="5">
        <v>0</v>
      </c>
      <c r="AL49" s="5">
        <v>806.45</v>
      </c>
      <c r="AM49" s="8"/>
      <c r="AN49" s="8"/>
    </row>
    <row r="50" spans="1:40" ht="16" thickBot="1">
      <c r="A50" s="3">
        <v>49</v>
      </c>
      <c r="B50" s="4">
        <v>45933</v>
      </c>
      <c r="C50" s="5" t="s">
        <v>40</v>
      </c>
      <c r="D50" s="5" t="s">
        <v>41</v>
      </c>
      <c r="E50" s="6" t="s">
        <v>42</v>
      </c>
      <c r="F50" s="7" t="s">
        <v>47</v>
      </c>
      <c r="G50" s="5" t="s">
        <v>44</v>
      </c>
      <c r="H50" s="5" t="s">
        <v>45</v>
      </c>
      <c r="I50" s="5">
        <v>4</v>
      </c>
      <c r="J50" s="5">
        <v>8</v>
      </c>
      <c r="K50" s="5">
        <v>25000</v>
      </c>
      <c r="L50" s="5">
        <v>1000</v>
      </c>
      <c r="M50" s="5">
        <v>55</v>
      </c>
      <c r="N50" s="5">
        <v>31</v>
      </c>
      <c r="O50" s="6" t="s">
        <v>54</v>
      </c>
      <c r="P50" s="8"/>
      <c r="Q50" s="9">
        <v>0.14861111111111111</v>
      </c>
      <c r="R50" s="9">
        <v>0.19292824074074075</v>
      </c>
      <c r="S50" s="6">
        <v>190887</v>
      </c>
      <c r="T50" s="16">
        <v>0.32774305555555555</v>
      </c>
      <c r="U50" s="16">
        <v>0.32796296296296296</v>
      </c>
      <c r="V50" s="6">
        <v>190907</v>
      </c>
      <c r="W50" s="6">
        <v>25</v>
      </c>
      <c r="X50" s="6">
        <v>25</v>
      </c>
      <c r="Y50" s="12">
        <v>0</v>
      </c>
      <c r="Z50" s="12">
        <v>20</v>
      </c>
      <c r="AA50" s="12">
        <v>20</v>
      </c>
      <c r="AB50" s="12">
        <v>0</v>
      </c>
      <c r="AC50" s="12">
        <v>0</v>
      </c>
      <c r="AD50" s="13">
        <v>0</v>
      </c>
      <c r="AE50" s="12">
        <v>0</v>
      </c>
      <c r="AF50" s="14">
        <v>0</v>
      </c>
      <c r="AG50" s="5">
        <v>0</v>
      </c>
      <c r="AH50" s="5">
        <v>0</v>
      </c>
      <c r="AI50" s="5">
        <v>0</v>
      </c>
      <c r="AJ50" s="5">
        <v>806.45</v>
      </c>
      <c r="AK50" s="5">
        <v>0</v>
      </c>
      <c r="AL50" s="5">
        <v>806.45</v>
      </c>
      <c r="AM50" s="8"/>
      <c r="AN50" s="8"/>
    </row>
    <row r="51" spans="1:40" ht="16" thickBot="1">
      <c r="A51" s="3">
        <v>50</v>
      </c>
      <c r="B51" s="4">
        <v>45933</v>
      </c>
      <c r="C51" s="5" t="s">
        <v>40</v>
      </c>
      <c r="D51" s="5" t="s">
        <v>41</v>
      </c>
      <c r="E51" s="6" t="s">
        <v>42</v>
      </c>
      <c r="F51" s="7" t="s">
        <v>49</v>
      </c>
      <c r="G51" s="5" t="s">
        <v>44</v>
      </c>
      <c r="H51" s="5" t="s">
        <v>45</v>
      </c>
      <c r="I51" s="5">
        <v>6</v>
      </c>
      <c r="J51" s="5">
        <v>8</v>
      </c>
      <c r="K51" s="5">
        <v>33000</v>
      </c>
      <c r="L51" s="5">
        <v>2000</v>
      </c>
      <c r="M51" s="5">
        <v>55</v>
      </c>
      <c r="N51" s="5">
        <v>31</v>
      </c>
      <c r="O51" s="6" t="s">
        <v>50</v>
      </c>
      <c r="P51" s="8"/>
      <c r="Q51" s="9">
        <v>4.6527777777777779E-2</v>
      </c>
      <c r="R51" s="9">
        <v>0.16195601851851851</v>
      </c>
      <c r="S51" s="6">
        <v>98334</v>
      </c>
      <c r="T51" s="16">
        <v>0.31700231481481483</v>
      </c>
      <c r="U51" s="16">
        <v>0.31714120370370369</v>
      </c>
      <c r="V51" s="6">
        <v>98383</v>
      </c>
      <c r="W51" s="6">
        <v>54</v>
      </c>
      <c r="X51" s="6">
        <v>54</v>
      </c>
      <c r="Y51" s="12">
        <v>0</v>
      </c>
      <c r="Z51" s="12">
        <v>49</v>
      </c>
      <c r="AA51" s="12">
        <v>49</v>
      </c>
      <c r="AB51" s="12">
        <v>0</v>
      </c>
      <c r="AC51" s="12">
        <v>0</v>
      </c>
      <c r="AD51" s="13">
        <v>0</v>
      </c>
      <c r="AE51" s="12">
        <v>0</v>
      </c>
      <c r="AF51" s="14">
        <v>0</v>
      </c>
      <c r="AG51" s="5">
        <v>0</v>
      </c>
      <c r="AH51" s="5">
        <v>0</v>
      </c>
      <c r="AI51" s="5">
        <v>0</v>
      </c>
      <c r="AJ51" s="5">
        <v>1064.52</v>
      </c>
      <c r="AK51" s="5">
        <v>0</v>
      </c>
      <c r="AL51" s="5">
        <v>1064.52</v>
      </c>
      <c r="AM51" s="8"/>
      <c r="AN51" s="8"/>
    </row>
    <row r="52" spans="1:40" ht="16" thickBot="1">
      <c r="A52" s="3">
        <v>51</v>
      </c>
      <c r="B52" s="4">
        <v>45933</v>
      </c>
      <c r="C52" s="5" t="s">
        <v>40</v>
      </c>
      <c r="D52" s="5" t="s">
        <v>41</v>
      </c>
      <c r="E52" s="6" t="s">
        <v>42</v>
      </c>
      <c r="F52" s="7" t="s">
        <v>53</v>
      </c>
      <c r="G52" s="5" t="s">
        <v>44</v>
      </c>
      <c r="H52" s="5" t="s">
        <v>45</v>
      </c>
      <c r="I52" s="5">
        <v>4</v>
      </c>
      <c r="J52" s="5">
        <v>8</v>
      </c>
      <c r="K52" s="5">
        <v>25000</v>
      </c>
      <c r="L52" s="5">
        <v>1000</v>
      </c>
      <c r="M52" s="5">
        <v>55</v>
      </c>
      <c r="N52" s="5">
        <v>31</v>
      </c>
      <c r="O52" s="6" t="s">
        <v>111</v>
      </c>
      <c r="P52" s="8"/>
      <c r="Q52" s="9">
        <v>0.11944444444444445</v>
      </c>
      <c r="R52" s="9">
        <v>0.1685763888888889</v>
      </c>
      <c r="S52" s="6">
        <v>11045</v>
      </c>
      <c r="T52" s="16">
        <v>0.34614583333333332</v>
      </c>
      <c r="U52" s="16">
        <v>0.34622685185185187</v>
      </c>
      <c r="V52" s="6">
        <v>11064</v>
      </c>
      <c r="W52" s="6">
        <v>42</v>
      </c>
      <c r="X52" s="6">
        <v>42</v>
      </c>
      <c r="Y52" s="12">
        <v>0</v>
      </c>
      <c r="Z52" s="12">
        <v>19</v>
      </c>
      <c r="AA52" s="12">
        <v>19</v>
      </c>
      <c r="AB52" s="12">
        <v>0</v>
      </c>
      <c r="AC52" s="12">
        <v>0</v>
      </c>
      <c r="AD52" s="13">
        <v>1</v>
      </c>
      <c r="AE52" s="12">
        <v>150</v>
      </c>
      <c r="AF52" s="14">
        <v>0</v>
      </c>
      <c r="AG52" s="5">
        <v>0</v>
      </c>
      <c r="AH52" s="5">
        <v>0</v>
      </c>
      <c r="AI52" s="5">
        <v>0</v>
      </c>
      <c r="AJ52" s="5">
        <v>956.45</v>
      </c>
      <c r="AK52" s="5">
        <v>0</v>
      </c>
      <c r="AL52" s="5">
        <v>956.45</v>
      </c>
      <c r="AM52" s="8"/>
      <c r="AN52" s="8"/>
    </row>
    <row r="53" spans="1:40" ht="16" thickBot="1">
      <c r="A53" s="3">
        <v>52</v>
      </c>
      <c r="B53" s="4">
        <v>45933</v>
      </c>
      <c r="C53" s="5" t="s">
        <v>40</v>
      </c>
      <c r="D53" s="5" t="s">
        <v>41</v>
      </c>
      <c r="E53" s="6" t="s">
        <v>42</v>
      </c>
      <c r="F53" s="7" t="s">
        <v>55</v>
      </c>
      <c r="G53" s="5" t="s">
        <v>44</v>
      </c>
      <c r="H53" s="5" t="s">
        <v>45</v>
      </c>
      <c r="I53" s="5">
        <v>4</v>
      </c>
      <c r="J53" s="5">
        <v>8</v>
      </c>
      <c r="K53" s="5">
        <v>25000</v>
      </c>
      <c r="L53" s="5">
        <v>1000</v>
      </c>
      <c r="M53" s="5">
        <v>55</v>
      </c>
      <c r="N53" s="5">
        <v>31</v>
      </c>
      <c r="O53" s="6" t="s">
        <v>56</v>
      </c>
      <c r="P53" s="8"/>
      <c r="Q53" s="9">
        <v>4.7916666666666663E-2</v>
      </c>
      <c r="R53" s="9">
        <v>0.16407407407407407</v>
      </c>
      <c r="S53" s="6">
        <v>145060</v>
      </c>
      <c r="T53" s="16">
        <v>0.35412037037037036</v>
      </c>
      <c r="U53" s="16">
        <v>0.35422453703703699</v>
      </c>
      <c r="V53" s="6">
        <v>145083</v>
      </c>
      <c r="W53" s="6">
        <v>27</v>
      </c>
      <c r="X53" s="6">
        <v>27</v>
      </c>
      <c r="Y53" s="12">
        <v>0</v>
      </c>
      <c r="Z53" s="12">
        <v>23</v>
      </c>
      <c r="AA53" s="12">
        <v>23</v>
      </c>
      <c r="AB53" s="12">
        <v>0</v>
      </c>
      <c r="AC53" s="12">
        <v>0</v>
      </c>
      <c r="AD53" s="13">
        <v>1</v>
      </c>
      <c r="AE53" s="12">
        <v>150</v>
      </c>
      <c r="AF53" s="14">
        <v>0</v>
      </c>
      <c r="AG53" s="5">
        <v>0</v>
      </c>
      <c r="AH53" s="5">
        <v>0</v>
      </c>
      <c r="AI53" s="5">
        <v>0</v>
      </c>
      <c r="AJ53" s="5">
        <v>956.45</v>
      </c>
      <c r="AK53" s="5">
        <v>0</v>
      </c>
      <c r="AL53" s="5">
        <v>956.45</v>
      </c>
      <c r="AM53" s="8"/>
      <c r="AN53" s="8"/>
    </row>
    <row r="54" spans="1:40" ht="16" thickBot="1">
      <c r="A54" s="3">
        <v>53</v>
      </c>
      <c r="B54" s="4">
        <v>45933</v>
      </c>
      <c r="C54" s="5" t="s">
        <v>40</v>
      </c>
      <c r="D54" s="5" t="s">
        <v>41</v>
      </c>
      <c r="E54" s="6" t="s">
        <v>42</v>
      </c>
      <c r="F54" s="7" t="s">
        <v>57</v>
      </c>
      <c r="G54" s="5" t="s">
        <v>44</v>
      </c>
      <c r="H54" s="5" t="s">
        <v>45</v>
      </c>
      <c r="I54" s="5">
        <v>4</v>
      </c>
      <c r="J54" s="5">
        <v>8</v>
      </c>
      <c r="K54" s="5">
        <v>25000</v>
      </c>
      <c r="L54" s="5">
        <v>1000</v>
      </c>
      <c r="M54" s="5">
        <v>55</v>
      </c>
      <c r="N54" s="5">
        <v>31</v>
      </c>
      <c r="O54" s="6" t="s">
        <v>58</v>
      </c>
      <c r="P54" s="8"/>
      <c r="Q54" s="9">
        <v>8.6111111111111124E-2</v>
      </c>
      <c r="R54" s="9">
        <v>0.15936342592592592</v>
      </c>
      <c r="S54" s="6">
        <v>141752</v>
      </c>
      <c r="T54" s="16">
        <v>0.31307870370370372</v>
      </c>
      <c r="U54" s="16">
        <v>0.31315972222222221</v>
      </c>
      <c r="V54" s="6">
        <v>141785</v>
      </c>
      <c r="W54" s="6">
        <v>49</v>
      </c>
      <c r="X54" s="6">
        <v>49</v>
      </c>
      <c r="Y54" s="12">
        <v>0</v>
      </c>
      <c r="Z54" s="12">
        <v>33</v>
      </c>
      <c r="AA54" s="12">
        <v>33</v>
      </c>
      <c r="AB54" s="12">
        <v>0</v>
      </c>
      <c r="AC54" s="12">
        <v>0</v>
      </c>
      <c r="AD54" s="13">
        <v>0</v>
      </c>
      <c r="AE54" s="12">
        <v>0</v>
      </c>
      <c r="AF54" s="14">
        <v>0</v>
      </c>
      <c r="AG54" s="5">
        <v>0</v>
      </c>
      <c r="AH54" s="5">
        <v>0</v>
      </c>
      <c r="AI54" s="5">
        <v>0</v>
      </c>
      <c r="AJ54" s="5">
        <v>806.45</v>
      </c>
      <c r="AK54" s="5">
        <v>0</v>
      </c>
      <c r="AL54" s="5">
        <v>806.45</v>
      </c>
      <c r="AM54" s="8"/>
      <c r="AN54" s="8"/>
    </row>
    <row r="55" spans="1:40" ht="16" thickBot="1">
      <c r="A55" s="3">
        <v>54</v>
      </c>
      <c r="B55" s="4">
        <v>45933</v>
      </c>
      <c r="C55" s="5" t="s">
        <v>40</v>
      </c>
      <c r="D55" s="5" t="s">
        <v>41</v>
      </c>
      <c r="E55" s="6" t="s">
        <v>42</v>
      </c>
      <c r="F55" s="7" t="s">
        <v>59</v>
      </c>
      <c r="G55" s="5" t="s">
        <v>44</v>
      </c>
      <c r="H55" s="5" t="s">
        <v>45</v>
      </c>
      <c r="I55" s="5">
        <v>4</v>
      </c>
      <c r="J55" s="5">
        <v>8</v>
      </c>
      <c r="K55" s="5">
        <v>25000</v>
      </c>
      <c r="L55" s="5">
        <v>1000</v>
      </c>
      <c r="M55" s="5">
        <v>55</v>
      </c>
      <c r="N55" s="5">
        <v>31</v>
      </c>
      <c r="O55" s="6" t="s">
        <v>112</v>
      </c>
      <c r="P55" s="8"/>
      <c r="Q55" s="9">
        <v>0.14305555555555557</v>
      </c>
      <c r="R55" s="9">
        <v>0.19399305555555557</v>
      </c>
      <c r="S55" s="6">
        <v>158167</v>
      </c>
      <c r="T55" s="16">
        <v>0.30781249999999999</v>
      </c>
      <c r="U55" s="16">
        <v>0.30791666666666667</v>
      </c>
      <c r="V55" s="6">
        <v>158197</v>
      </c>
      <c r="W55" s="6">
        <v>0</v>
      </c>
      <c r="X55" s="6">
        <v>0</v>
      </c>
      <c r="Y55" s="12">
        <v>0</v>
      </c>
      <c r="Z55" s="12">
        <v>30</v>
      </c>
      <c r="AA55" s="12">
        <v>30</v>
      </c>
      <c r="AB55" s="12">
        <v>0</v>
      </c>
      <c r="AC55" s="12">
        <v>0</v>
      </c>
      <c r="AD55" s="13">
        <v>0</v>
      </c>
      <c r="AE55" s="12">
        <v>0</v>
      </c>
      <c r="AF55" s="14">
        <v>0</v>
      </c>
      <c r="AG55" s="5">
        <v>0</v>
      </c>
      <c r="AH55" s="5">
        <v>0</v>
      </c>
      <c r="AI55" s="5">
        <v>0</v>
      </c>
      <c r="AJ55" s="5">
        <v>806.45</v>
      </c>
      <c r="AK55" s="5">
        <v>0</v>
      </c>
      <c r="AL55" s="5">
        <v>806.45</v>
      </c>
      <c r="AM55" s="8"/>
      <c r="AN55" s="8"/>
    </row>
    <row r="56" spans="1:40" ht="16" thickBot="1">
      <c r="A56" s="3">
        <v>55</v>
      </c>
      <c r="B56" s="4">
        <v>45933</v>
      </c>
      <c r="C56" s="5" t="s">
        <v>40</v>
      </c>
      <c r="D56" s="5" t="s">
        <v>41</v>
      </c>
      <c r="E56" s="6" t="s">
        <v>42</v>
      </c>
      <c r="F56" s="7" t="s">
        <v>62</v>
      </c>
      <c r="G56" s="5" t="s">
        <v>44</v>
      </c>
      <c r="H56" s="5" t="s">
        <v>45</v>
      </c>
      <c r="I56" s="5">
        <v>6</v>
      </c>
      <c r="J56" s="5">
        <v>8</v>
      </c>
      <c r="K56" s="5">
        <v>33000</v>
      </c>
      <c r="L56" s="5">
        <v>2000</v>
      </c>
      <c r="M56" s="5">
        <v>55</v>
      </c>
      <c r="N56" s="5">
        <v>31</v>
      </c>
      <c r="O56" s="6" t="s">
        <v>63</v>
      </c>
      <c r="P56" s="8"/>
      <c r="Q56" s="9">
        <v>4.7916666666666663E-2</v>
      </c>
      <c r="R56" s="9">
        <v>0.18909722222222222</v>
      </c>
      <c r="S56" s="6">
        <v>46989</v>
      </c>
      <c r="T56" s="16">
        <v>0.40869212962962959</v>
      </c>
      <c r="U56" s="16">
        <v>0.40908564814814818</v>
      </c>
      <c r="V56" s="6">
        <v>47061</v>
      </c>
      <c r="W56" s="6">
        <v>15</v>
      </c>
      <c r="X56" s="6">
        <v>15</v>
      </c>
      <c r="Y56" s="12">
        <v>0</v>
      </c>
      <c r="Z56" s="12">
        <v>72</v>
      </c>
      <c r="AA56" s="12">
        <v>72</v>
      </c>
      <c r="AB56" s="12">
        <v>0</v>
      </c>
      <c r="AC56" s="12">
        <v>0</v>
      </c>
      <c r="AD56" s="13">
        <v>1</v>
      </c>
      <c r="AE56" s="12">
        <v>150</v>
      </c>
      <c r="AF56" s="14">
        <v>0</v>
      </c>
      <c r="AG56" s="5">
        <v>0</v>
      </c>
      <c r="AH56" s="5">
        <v>0</v>
      </c>
      <c r="AI56" s="5">
        <v>0</v>
      </c>
      <c r="AJ56" s="5">
        <v>1214.52</v>
      </c>
      <c r="AK56" s="5">
        <v>0</v>
      </c>
      <c r="AL56" s="5">
        <v>1214.52</v>
      </c>
      <c r="AM56" s="8"/>
      <c r="AN56" s="8"/>
    </row>
    <row r="57" spans="1:40" ht="16" thickBot="1">
      <c r="A57" s="3">
        <v>56</v>
      </c>
      <c r="B57" s="4">
        <v>45933</v>
      </c>
      <c r="C57" s="5" t="s">
        <v>40</v>
      </c>
      <c r="D57" s="5" t="s">
        <v>41</v>
      </c>
      <c r="E57" s="6" t="s">
        <v>42</v>
      </c>
      <c r="F57" s="7" t="s">
        <v>99</v>
      </c>
      <c r="G57" s="5" t="s">
        <v>44</v>
      </c>
      <c r="H57" s="5" t="s">
        <v>45</v>
      </c>
      <c r="I57" s="5">
        <v>4</v>
      </c>
      <c r="J57" s="5">
        <v>8</v>
      </c>
      <c r="K57" s="5">
        <v>25000</v>
      </c>
      <c r="L57" s="5">
        <v>1000</v>
      </c>
      <c r="M57" s="5">
        <v>55</v>
      </c>
      <c r="N57" s="5">
        <v>31</v>
      </c>
      <c r="O57" s="6" t="s">
        <v>113</v>
      </c>
      <c r="P57" s="8"/>
      <c r="Q57" s="9">
        <v>5.2083333333333336E-2</v>
      </c>
      <c r="R57" s="9">
        <v>0.17723379629629629</v>
      </c>
      <c r="S57" s="6">
        <v>86283</v>
      </c>
      <c r="T57" s="16">
        <v>0.31216435185185182</v>
      </c>
      <c r="U57" s="16">
        <v>0.31287037037037035</v>
      </c>
      <c r="V57" s="6">
        <v>86297</v>
      </c>
      <c r="W57" s="6">
        <v>22</v>
      </c>
      <c r="X57" s="6">
        <v>22</v>
      </c>
      <c r="Y57" s="12">
        <v>0</v>
      </c>
      <c r="Z57" s="12">
        <v>14</v>
      </c>
      <c r="AA57" s="12">
        <v>14</v>
      </c>
      <c r="AB57" s="12">
        <v>0</v>
      </c>
      <c r="AC57" s="12">
        <v>0</v>
      </c>
      <c r="AD57" s="13">
        <v>0</v>
      </c>
      <c r="AE57" s="12">
        <v>0</v>
      </c>
      <c r="AF57" s="14">
        <v>0</v>
      </c>
      <c r="AG57" s="5">
        <v>0</v>
      </c>
      <c r="AH57" s="5">
        <v>0</v>
      </c>
      <c r="AI57" s="5">
        <v>0</v>
      </c>
      <c r="AJ57" s="5">
        <v>806.45</v>
      </c>
      <c r="AK57" s="5">
        <v>0</v>
      </c>
      <c r="AL57" s="5">
        <v>806.45</v>
      </c>
      <c r="AM57" s="8"/>
      <c r="AN57" s="8"/>
    </row>
    <row r="58" spans="1:40" ht="16" thickBot="1">
      <c r="A58" s="3">
        <v>57</v>
      </c>
      <c r="B58" s="4">
        <v>45933</v>
      </c>
      <c r="C58" s="5" t="s">
        <v>40</v>
      </c>
      <c r="D58" s="5" t="s">
        <v>41</v>
      </c>
      <c r="E58" s="6" t="s">
        <v>42</v>
      </c>
      <c r="F58" s="7" t="s">
        <v>101</v>
      </c>
      <c r="G58" s="5" t="s">
        <v>44</v>
      </c>
      <c r="H58" s="5" t="s">
        <v>45</v>
      </c>
      <c r="I58" s="5">
        <v>4</v>
      </c>
      <c r="J58" s="5">
        <v>8</v>
      </c>
      <c r="K58" s="5">
        <v>25000</v>
      </c>
      <c r="L58" s="5">
        <v>1000</v>
      </c>
      <c r="M58" s="5">
        <v>55</v>
      </c>
      <c r="N58" s="5">
        <v>31</v>
      </c>
      <c r="O58" s="6" t="s">
        <v>67</v>
      </c>
      <c r="P58" s="8"/>
      <c r="Q58" s="9">
        <v>9.7222222222222224E-2</v>
      </c>
      <c r="R58" s="9">
        <v>0.16809027777777777</v>
      </c>
      <c r="S58" s="6">
        <v>117291</v>
      </c>
      <c r="T58" s="16">
        <v>0.31105324074074076</v>
      </c>
      <c r="U58" s="16">
        <v>0.31116898148148148</v>
      </c>
      <c r="V58" s="6">
        <v>117315</v>
      </c>
      <c r="W58" s="6">
        <v>14</v>
      </c>
      <c r="X58" s="6">
        <v>14</v>
      </c>
      <c r="Y58" s="12">
        <v>0</v>
      </c>
      <c r="Z58" s="12">
        <v>24</v>
      </c>
      <c r="AA58" s="12">
        <v>24</v>
      </c>
      <c r="AB58" s="12">
        <v>0</v>
      </c>
      <c r="AC58" s="12">
        <v>0</v>
      </c>
      <c r="AD58" s="13">
        <v>0</v>
      </c>
      <c r="AE58" s="12">
        <v>0</v>
      </c>
      <c r="AF58" s="14">
        <v>0</v>
      </c>
      <c r="AG58" s="5">
        <v>0</v>
      </c>
      <c r="AH58" s="5">
        <v>0</v>
      </c>
      <c r="AI58" s="5">
        <v>0</v>
      </c>
      <c r="AJ58" s="5">
        <v>806.45</v>
      </c>
      <c r="AK58" s="5">
        <v>0</v>
      </c>
      <c r="AL58" s="5">
        <v>806.45</v>
      </c>
      <c r="AM58" s="8"/>
      <c r="AN58" s="8"/>
    </row>
    <row r="59" spans="1:40" ht="16" thickBot="1">
      <c r="A59" s="3">
        <v>58</v>
      </c>
      <c r="B59" s="4">
        <v>45933</v>
      </c>
      <c r="C59" s="5" t="s">
        <v>40</v>
      </c>
      <c r="D59" s="5" t="s">
        <v>41</v>
      </c>
      <c r="E59" s="6" t="s">
        <v>42</v>
      </c>
      <c r="F59" s="7" t="s">
        <v>68</v>
      </c>
      <c r="G59" s="5" t="s">
        <v>44</v>
      </c>
      <c r="H59" s="5" t="s">
        <v>45</v>
      </c>
      <c r="I59" s="5">
        <v>4</v>
      </c>
      <c r="J59" s="5">
        <v>8</v>
      </c>
      <c r="K59" s="5">
        <v>25000</v>
      </c>
      <c r="L59" s="5">
        <v>1000</v>
      </c>
      <c r="M59" s="5">
        <v>55</v>
      </c>
      <c r="N59" s="5">
        <v>31</v>
      </c>
      <c r="O59" s="6" t="s">
        <v>48</v>
      </c>
      <c r="P59" s="8"/>
      <c r="Q59" s="9">
        <v>5.1388888888888894E-2</v>
      </c>
      <c r="R59" s="9">
        <v>0.16782407407407407</v>
      </c>
      <c r="S59" s="6">
        <v>82553</v>
      </c>
      <c r="T59" s="16">
        <v>0.33004629629629628</v>
      </c>
      <c r="U59" s="16">
        <v>0.33013888888888893</v>
      </c>
      <c r="V59" s="6">
        <v>82563</v>
      </c>
      <c r="W59" s="6">
        <v>59</v>
      </c>
      <c r="X59" s="6">
        <v>35</v>
      </c>
      <c r="Y59" s="12">
        <v>24</v>
      </c>
      <c r="Z59" s="12">
        <v>10</v>
      </c>
      <c r="AA59" s="12">
        <v>10</v>
      </c>
      <c r="AB59" s="12">
        <v>0</v>
      </c>
      <c r="AC59" s="12">
        <v>0</v>
      </c>
      <c r="AD59" s="13">
        <v>0</v>
      </c>
      <c r="AE59" s="12">
        <v>0</v>
      </c>
      <c r="AF59" s="14">
        <v>0</v>
      </c>
      <c r="AG59" s="5">
        <v>0</v>
      </c>
      <c r="AH59" s="5">
        <v>0</v>
      </c>
      <c r="AI59" s="5">
        <v>0</v>
      </c>
      <c r="AJ59" s="5">
        <v>806.45</v>
      </c>
      <c r="AK59" s="5">
        <v>0</v>
      </c>
      <c r="AL59" s="5">
        <v>806.45</v>
      </c>
      <c r="AM59" s="8"/>
      <c r="AN59" s="8"/>
    </row>
    <row r="60" spans="1:40" ht="16" thickBot="1">
      <c r="A60" s="3">
        <v>59</v>
      </c>
      <c r="B60" s="4">
        <v>45933</v>
      </c>
      <c r="C60" s="5" t="s">
        <v>40</v>
      </c>
      <c r="D60" s="5" t="s">
        <v>41</v>
      </c>
      <c r="E60" s="6" t="s">
        <v>42</v>
      </c>
      <c r="F60" s="7" t="s">
        <v>70</v>
      </c>
      <c r="G60" s="5" t="s">
        <v>44</v>
      </c>
      <c r="H60" s="5" t="s">
        <v>45</v>
      </c>
      <c r="I60" s="5">
        <v>4</v>
      </c>
      <c r="J60" s="5">
        <v>8</v>
      </c>
      <c r="K60" s="5">
        <v>25000</v>
      </c>
      <c r="L60" s="5">
        <v>1000</v>
      </c>
      <c r="M60" s="5">
        <v>55</v>
      </c>
      <c r="N60" s="5">
        <v>31</v>
      </c>
      <c r="O60" s="6" t="s">
        <v>65</v>
      </c>
      <c r="P60" s="8"/>
      <c r="Q60" s="9">
        <v>9.7222222222222224E-2</v>
      </c>
      <c r="R60" s="9">
        <v>0.19344907407407408</v>
      </c>
      <c r="S60" s="6">
        <v>35973</v>
      </c>
      <c r="T60" s="16">
        <v>0.31887731481481479</v>
      </c>
      <c r="U60" s="16">
        <v>0.32041666666666663</v>
      </c>
      <c r="V60" s="6">
        <v>36005</v>
      </c>
      <c r="W60" s="6">
        <v>35</v>
      </c>
      <c r="X60" s="6">
        <v>35</v>
      </c>
      <c r="Y60" s="12">
        <v>0</v>
      </c>
      <c r="Z60" s="12">
        <v>32</v>
      </c>
      <c r="AA60" s="12">
        <v>32</v>
      </c>
      <c r="AB60" s="12">
        <v>0</v>
      </c>
      <c r="AC60" s="12">
        <v>0</v>
      </c>
      <c r="AD60" s="13">
        <v>0</v>
      </c>
      <c r="AE60" s="12">
        <v>0</v>
      </c>
      <c r="AF60" s="14">
        <v>0</v>
      </c>
      <c r="AG60" s="5">
        <v>0</v>
      </c>
      <c r="AH60" s="5">
        <v>0</v>
      </c>
      <c r="AI60" s="5">
        <v>0</v>
      </c>
      <c r="AJ60" s="5">
        <v>806.45</v>
      </c>
      <c r="AK60" s="5">
        <v>0</v>
      </c>
      <c r="AL60" s="5">
        <v>806.45</v>
      </c>
      <c r="AM60" s="8"/>
      <c r="AN60" s="8"/>
    </row>
    <row r="61" spans="1:40" ht="16" thickBot="1">
      <c r="A61" s="3">
        <v>60</v>
      </c>
      <c r="B61" s="4">
        <v>45933</v>
      </c>
      <c r="C61" s="5" t="s">
        <v>40</v>
      </c>
      <c r="D61" s="5" t="s">
        <v>41</v>
      </c>
      <c r="E61" s="6" t="s">
        <v>42</v>
      </c>
      <c r="F61" s="7" t="s">
        <v>74</v>
      </c>
      <c r="G61" s="5" t="s">
        <v>44</v>
      </c>
      <c r="H61" s="5" t="s">
        <v>45</v>
      </c>
      <c r="I61" s="5">
        <v>4</v>
      </c>
      <c r="J61" s="5">
        <v>8</v>
      </c>
      <c r="K61" s="5">
        <v>25000</v>
      </c>
      <c r="L61" s="5">
        <v>1000</v>
      </c>
      <c r="M61" s="5">
        <v>55</v>
      </c>
      <c r="N61" s="5">
        <v>31</v>
      </c>
      <c r="O61" s="6" t="s">
        <v>81</v>
      </c>
      <c r="P61" s="8"/>
      <c r="Q61" s="9">
        <v>5.1388888888888894E-2</v>
      </c>
      <c r="R61" s="9">
        <v>0.16679398148148147</v>
      </c>
      <c r="S61" s="6">
        <v>37141</v>
      </c>
      <c r="T61" s="16">
        <v>0.30896990740740743</v>
      </c>
      <c r="U61" s="16">
        <v>0.30903935185185188</v>
      </c>
      <c r="V61" s="6">
        <v>37159</v>
      </c>
      <c r="W61" s="6">
        <v>59</v>
      </c>
      <c r="X61" s="6">
        <v>59</v>
      </c>
      <c r="Y61" s="12">
        <v>0</v>
      </c>
      <c r="Z61" s="12">
        <v>18</v>
      </c>
      <c r="AA61" s="12">
        <v>18</v>
      </c>
      <c r="AB61" s="12">
        <v>0</v>
      </c>
      <c r="AC61" s="12">
        <v>0</v>
      </c>
      <c r="AD61" s="13">
        <v>0</v>
      </c>
      <c r="AE61" s="12">
        <v>0</v>
      </c>
      <c r="AF61" s="14">
        <v>0</v>
      </c>
      <c r="AG61" s="5">
        <v>0</v>
      </c>
      <c r="AH61" s="5">
        <v>0</v>
      </c>
      <c r="AI61" s="5">
        <v>0</v>
      </c>
      <c r="AJ61" s="5">
        <v>806.45</v>
      </c>
      <c r="AK61" s="5">
        <v>0</v>
      </c>
      <c r="AL61" s="5">
        <v>806.45</v>
      </c>
      <c r="AM61" s="8"/>
      <c r="AN61" s="8"/>
    </row>
    <row r="62" spans="1:40" ht="16" thickBot="1">
      <c r="A62" s="3">
        <v>61</v>
      </c>
      <c r="B62" s="4">
        <v>45933</v>
      </c>
      <c r="C62" s="5" t="s">
        <v>40</v>
      </c>
      <c r="D62" s="5" t="s">
        <v>41</v>
      </c>
      <c r="E62" s="6" t="s">
        <v>42</v>
      </c>
      <c r="F62" s="7" t="s">
        <v>78</v>
      </c>
      <c r="G62" s="5" t="s">
        <v>44</v>
      </c>
      <c r="H62" s="5" t="s">
        <v>45</v>
      </c>
      <c r="I62" s="5">
        <v>4</v>
      </c>
      <c r="J62" s="5">
        <v>8</v>
      </c>
      <c r="K62" s="5">
        <v>25000</v>
      </c>
      <c r="L62" s="5">
        <v>1000</v>
      </c>
      <c r="M62" s="5">
        <v>55</v>
      </c>
      <c r="N62" s="5">
        <v>31</v>
      </c>
      <c r="O62" s="6" t="s">
        <v>114</v>
      </c>
      <c r="P62" s="8"/>
      <c r="Q62" s="9">
        <v>5.2083333333333336E-2</v>
      </c>
      <c r="R62" s="9">
        <v>0.16633101851851853</v>
      </c>
      <c r="S62" s="6">
        <v>6435</v>
      </c>
      <c r="T62" s="16">
        <v>0.32393518518518521</v>
      </c>
      <c r="U62" s="16">
        <v>0.32400462962962967</v>
      </c>
      <c r="V62" s="6">
        <v>6467</v>
      </c>
      <c r="W62" s="6">
        <v>42</v>
      </c>
      <c r="X62" s="6">
        <v>42</v>
      </c>
      <c r="Y62" s="12">
        <v>0</v>
      </c>
      <c r="Z62" s="12">
        <v>32</v>
      </c>
      <c r="AA62" s="12">
        <v>32</v>
      </c>
      <c r="AB62" s="12">
        <v>0</v>
      </c>
      <c r="AC62" s="12">
        <v>0</v>
      </c>
      <c r="AD62" s="13">
        <v>0</v>
      </c>
      <c r="AE62" s="12">
        <v>0</v>
      </c>
      <c r="AF62" s="14">
        <v>0</v>
      </c>
      <c r="AG62" s="5">
        <v>0</v>
      </c>
      <c r="AH62" s="5">
        <v>0</v>
      </c>
      <c r="AI62" s="5">
        <v>0</v>
      </c>
      <c r="AJ62" s="5">
        <v>806.45</v>
      </c>
      <c r="AK62" s="5">
        <v>0</v>
      </c>
      <c r="AL62" s="5">
        <v>806.45</v>
      </c>
      <c r="AM62" s="8"/>
      <c r="AN62" s="8"/>
    </row>
    <row r="63" spans="1:40" ht="16" thickBot="1">
      <c r="A63" s="3">
        <v>62</v>
      </c>
      <c r="B63" s="4">
        <v>45933</v>
      </c>
      <c r="C63" s="5" t="s">
        <v>40</v>
      </c>
      <c r="D63" s="5" t="s">
        <v>41</v>
      </c>
      <c r="E63" s="6" t="s">
        <v>42</v>
      </c>
      <c r="F63" s="7" t="s">
        <v>80</v>
      </c>
      <c r="G63" s="5" t="s">
        <v>44</v>
      </c>
      <c r="H63" s="5" t="s">
        <v>45</v>
      </c>
      <c r="I63" s="5">
        <v>4</v>
      </c>
      <c r="J63" s="5">
        <v>8</v>
      </c>
      <c r="K63" s="5">
        <v>25000</v>
      </c>
      <c r="L63" s="5">
        <v>1000</v>
      </c>
      <c r="M63" s="5">
        <v>55</v>
      </c>
      <c r="N63" s="5">
        <v>31</v>
      </c>
      <c r="O63" s="6" t="s">
        <v>115</v>
      </c>
      <c r="P63" s="8"/>
      <c r="Q63" s="9">
        <v>5.0694444444444452E-2</v>
      </c>
      <c r="R63" s="9">
        <v>0.16722222222222224</v>
      </c>
      <c r="S63" s="6">
        <v>3388</v>
      </c>
      <c r="T63" s="16">
        <v>0.32481481481481483</v>
      </c>
      <c r="U63" s="16">
        <v>0.32490740740740742</v>
      </c>
      <c r="V63" s="6">
        <v>3424</v>
      </c>
      <c r="W63" s="6">
        <v>23</v>
      </c>
      <c r="X63" s="6">
        <v>23</v>
      </c>
      <c r="Y63" s="12">
        <v>0</v>
      </c>
      <c r="Z63" s="12">
        <v>36</v>
      </c>
      <c r="AA63" s="12">
        <v>36</v>
      </c>
      <c r="AB63" s="12">
        <v>0</v>
      </c>
      <c r="AC63" s="12">
        <v>0</v>
      </c>
      <c r="AD63" s="13">
        <v>0</v>
      </c>
      <c r="AE63" s="12">
        <v>0</v>
      </c>
      <c r="AF63" s="14">
        <v>0</v>
      </c>
      <c r="AG63" s="5">
        <v>0</v>
      </c>
      <c r="AH63" s="5">
        <v>0</v>
      </c>
      <c r="AI63" s="5">
        <v>0</v>
      </c>
      <c r="AJ63" s="5">
        <v>806.45</v>
      </c>
      <c r="AK63" s="5">
        <v>0</v>
      </c>
      <c r="AL63" s="5">
        <v>806.45</v>
      </c>
      <c r="AM63" s="8"/>
      <c r="AN63" s="8"/>
    </row>
    <row r="64" spans="1:40" ht="16" thickBot="1">
      <c r="A64" s="3">
        <v>63</v>
      </c>
      <c r="B64" s="4">
        <v>45933</v>
      </c>
      <c r="C64" s="5" t="s">
        <v>40</v>
      </c>
      <c r="D64" s="5" t="s">
        <v>41</v>
      </c>
      <c r="E64" s="6" t="s">
        <v>42</v>
      </c>
      <c r="F64" s="7" t="s">
        <v>85</v>
      </c>
      <c r="G64" s="10" t="s">
        <v>83</v>
      </c>
      <c r="H64" s="5" t="s">
        <v>84</v>
      </c>
      <c r="I64" s="5">
        <v>4</v>
      </c>
      <c r="J64" s="5">
        <v>10</v>
      </c>
      <c r="K64" s="6">
        <v>29000</v>
      </c>
      <c r="L64" s="5">
        <v>1000</v>
      </c>
      <c r="M64" s="5">
        <v>55</v>
      </c>
      <c r="N64" s="5">
        <v>31</v>
      </c>
      <c r="O64" s="6" t="s">
        <v>116</v>
      </c>
      <c r="P64" s="8"/>
      <c r="Q64" s="9">
        <v>5.2777777777777778E-2</v>
      </c>
      <c r="R64" s="9">
        <v>0.18841435185185185</v>
      </c>
      <c r="S64" s="6">
        <v>37745</v>
      </c>
      <c r="T64" s="16">
        <v>0.40098379629629632</v>
      </c>
      <c r="U64" s="16">
        <v>0.40168981481481486</v>
      </c>
      <c r="V64" s="6">
        <v>37780</v>
      </c>
      <c r="W64" s="6">
        <v>30</v>
      </c>
      <c r="X64" s="6">
        <v>30</v>
      </c>
      <c r="Y64" s="12">
        <v>0</v>
      </c>
      <c r="Z64" s="12">
        <v>35</v>
      </c>
      <c r="AA64" s="12">
        <v>35</v>
      </c>
      <c r="AB64" s="12">
        <v>0</v>
      </c>
      <c r="AC64" s="12">
        <v>0</v>
      </c>
      <c r="AD64" s="13">
        <v>2</v>
      </c>
      <c r="AE64" s="12">
        <v>300</v>
      </c>
      <c r="AF64" s="14">
        <v>0</v>
      </c>
      <c r="AG64" s="5">
        <v>0</v>
      </c>
      <c r="AH64" s="5">
        <v>0</v>
      </c>
      <c r="AI64" s="5">
        <v>0</v>
      </c>
      <c r="AJ64" s="5">
        <v>1235.48</v>
      </c>
      <c r="AK64" s="5">
        <v>0</v>
      </c>
      <c r="AL64" s="5">
        <v>1235.48</v>
      </c>
      <c r="AM64" s="8"/>
      <c r="AN64" s="8"/>
    </row>
    <row r="65" spans="1:40" ht="16" thickBot="1">
      <c r="A65" s="3">
        <v>64</v>
      </c>
      <c r="B65" s="4">
        <v>45933</v>
      </c>
      <c r="C65" s="5" t="s">
        <v>40</v>
      </c>
      <c r="D65" s="5" t="s">
        <v>41</v>
      </c>
      <c r="E65" s="6" t="s">
        <v>42</v>
      </c>
      <c r="F65" s="7" t="s">
        <v>117</v>
      </c>
      <c r="G65" s="10" t="s">
        <v>83</v>
      </c>
      <c r="H65" s="5" t="s">
        <v>84</v>
      </c>
      <c r="I65" s="5">
        <v>4</v>
      </c>
      <c r="J65" s="5">
        <v>10</v>
      </c>
      <c r="K65" s="6">
        <v>29000</v>
      </c>
      <c r="L65" s="5">
        <v>1000</v>
      </c>
      <c r="M65" s="5">
        <v>55</v>
      </c>
      <c r="N65" s="5">
        <v>31</v>
      </c>
      <c r="O65" s="6" t="s">
        <v>61</v>
      </c>
      <c r="P65" s="8"/>
      <c r="Q65" s="9">
        <v>5.0694444444444452E-2</v>
      </c>
      <c r="R65" s="9">
        <v>0.16744212962962965</v>
      </c>
      <c r="S65" s="6">
        <v>17329</v>
      </c>
      <c r="T65" s="8"/>
      <c r="U65" s="8"/>
      <c r="V65" s="6">
        <v>17329</v>
      </c>
      <c r="W65" s="8"/>
      <c r="X65" s="6">
        <v>63</v>
      </c>
      <c r="Y65" s="12">
        <v>-63</v>
      </c>
      <c r="Z65" s="12">
        <v>0</v>
      </c>
      <c r="AA65" s="12">
        <v>0</v>
      </c>
      <c r="AB65" s="12">
        <v>0</v>
      </c>
      <c r="AC65" s="12">
        <v>0</v>
      </c>
      <c r="AD65" s="13">
        <v>0</v>
      </c>
      <c r="AE65" s="12">
        <v>0</v>
      </c>
      <c r="AF65" s="14">
        <v>0</v>
      </c>
      <c r="AG65" s="5">
        <v>0</v>
      </c>
      <c r="AH65" s="5">
        <v>0</v>
      </c>
      <c r="AI65" s="5">
        <v>0</v>
      </c>
      <c r="AJ65" s="5">
        <v>935.48</v>
      </c>
      <c r="AK65" s="5">
        <v>0</v>
      </c>
      <c r="AL65" s="5">
        <v>935.48</v>
      </c>
      <c r="AM65" s="8"/>
      <c r="AN65" s="8"/>
    </row>
    <row r="66" spans="1:40" ht="16" thickBot="1">
      <c r="A66" s="3">
        <v>65</v>
      </c>
      <c r="B66" s="4">
        <v>45933</v>
      </c>
      <c r="C66" s="5" t="s">
        <v>40</v>
      </c>
      <c r="D66" s="5" t="s">
        <v>41</v>
      </c>
      <c r="E66" s="6" t="s">
        <v>42</v>
      </c>
      <c r="F66" s="7" t="s">
        <v>87</v>
      </c>
      <c r="G66" s="10" t="s">
        <v>83</v>
      </c>
      <c r="H66" s="5" t="s">
        <v>84</v>
      </c>
      <c r="I66" s="5">
        <v>4</v>
      </c>
      <c r="J66" s="5">
        <v>10</v>
      </c>
      <c r="K66" s="6">
        <v>29000</v>
      </c>
      <c r="L66" s="5">
        <v>1000</v>
      </c>
      <c r="M66" s="5">
        <v>55</v>
      </c>
      <c r="N66" s="5">
        <v>31</v>
      </c>
      <c r="O66" s="6" t="s">
        <v>88</v>
      </c>
      <c r="P66" s="8"/>
      <c r="Q66" s="9">
        <v>9.7222222222222224E-2</v>
      </c>
      <c r="R66" s="9">
        <v>0.18986111111111112</v>
      </c>
      <c r="S66" s="6">
        <v>2562</v>
      </c>
      <c r="T66" s="16">
        <v>0.32722222222222225</v>
      </c>
      <c r="U66" s="16">
        <v>0.32754629629629628</v>
      </c>
      <c r="V66" s="6">
        <v>2606</v>
      </c>
      <c r="W66" s="6">
        <v>55</v>
      </c>
      <c r="X66" s="6">
        <v>55</v>
      </c>
      <c r="Y66" s="12">
        <v>0</v>
      </c>
      <c r="Z66" s="12">
        <v>44</v>
      </c>
      <c r="AA66" s="12">
        <v>44</v>
      </c>
      <c r="AB66" s="12">
        <v>0</v>
      </c>
      <c r="AC66" s="12">
        <v>0</v>
      </c>
      <c r="AD66" s="13">
        <v>0</v>
      </c>
      <c r="AE66" s="12">
        <v>0</v>
      </c>
      <c r="AF66" s="14">
        <v>0</v>
      </c>
      <c r="AG66" s="5">
        <v>0</v>
      </c>
      <c r="AH66" s="5">
        <v>0</v>
      </c>
      <c r="AI66" s="5">
        <v>0</v>
      </c>
      <c r="AJ66" s="5">
        <v>935.48</v>
      </c>
      <c r="AK66" s="5">
        <v>0</v>
      </c>
      <c r="AL66" s="5">
        <v>935.48</v>
      </c>
      <c r="AM66" s="8"/>
      <c r="AN66" s="8"/>
    </row>
    <row r="67" spans="1:40" ht="16" thickBot="1">
      <c r="A67" s="3">
        <v>66</v>
      </c>
      <c r="B67" s="4">
        <v>45934</v>
      </c>
      <c r="C67" s="5" t="s">
        <v>40</v>
      </c>
      <c r="D67" s="5" t="s">
        <v>41</v>
      </c>
      <c r="E67" s="6" t="s">
        <v>42</v>
      </c>
      <c r="F67" s="7" t="s">
        <v>43</v>
      </c>
      <c r="G67" s="5" t="s">
        <v>44</v>
      </c>
      <c r="H67" s="5" t="s">
        <v>45</v>
      </c>
      <c r="I67" s="5">
        <v>4</v>
      </c>
      <c r="J67" s="5">
        <v>8</v>
      </c>
      <c r="K67" s="5">
        <v>25000</v>
      </c>
      <c r="L67" s="5">
        <v>1000</v>
      </c>
      <c r="M67" s="5">
        <v>55</v>
      </c>
      <c r="N67" s="5">
        <v>31</v>
      </c>
      <c r="O67" s="6" t="s">
        <v>46</v>
      </c>
      <c r="P67" s="8"/>
      <c r="Q67" s="9">
        <v>4.1666666666666664E-2</v>
      </c>
      <c r="R67" s="9">
        <v>0.17112268518518517</v>
      </c>
      <c r="S67" s="17">
        <v>55517</v>
      </c>
      <c r="T67" s="18">
        <v>0.28423611111111108</v>
      </c>
      <c r="U67" s="18">
        <v>0.28438657407407408</v>
      </c>
      <c r="V67" s="17">
        <v>55523</v>
      </c>
      <c r="W67" s="17">
        <v>49</v>
      </c>
      <c r="X67" s="17">
        <v>49</v>
      </c>
      <c r="Y67" s="12">
        <v>0</v>
      </c>
      <c r="Z67" s="12">
        <v>6</v>
      </c>
      <c r="AA67" s="12">
        <v>6</v>
      </c>
      <c r="AB67" s="12">
        <v>0</v>
      </c>
      <c r="AC67" s="12">
        <v>0</v>
      </c>
      <c r="AD67" s="13">
        <v>0</v>
      </c>
      <c r="AE67" s="12">
        <v>0</v>
      </c>
      <c r="AF67" s="14">
        <v>0</v>
      </c>
      <c r="AG67" s="5">
        <v>0</v>
      </c>
      <c r="AH67" s="5">
        <v>0</v>
      </c>
      <c r="AI67" s="5">
        <v>0</v>
      </c>
      <c r="AJ67" s="5">
        <v>806.45</v>
      </c>
      <c r="AK67" s="5">
        <v>0</v>
      </c>
      <c r="AL67" s="5">
        <v>806.45</v>
      </c>
      <c r="AM67" s="8"/>
      <c r="AN67" s="8"/>
    </row>
    <row r="68" spans="1:40" ht="16" thickBot="1">
      <c r="A68" s="3">
        <v>67</v>
      </c>
      <c r="B68" s="4">
        <v>45934</v>
      </c>
      <c r="C68" s="5" t="s">
        <v>40</v>
      </c>
      <c r="D68" s="5" t="s">
        <v>41</v>
      </c>
      <c r="E68" s="6" t="s">
        <v>42</v>
      </c>
      <c r="F68" s="7" t="s">
        <v>47</v>
      </c>
      <c r="G68" s="5" t="s">
        <v>44</v>
      </c>
      <c r="H68" s="5" t="s">
        <v>45</v>
      </c>
      <c r="I68" s="5">
        <v>4</v>
      </c>
      <c r="J68" s="5">
        <v>8</v>
      </c>
      <c r="K68" s="5">
        <v>25000</v>
      </c>
      <c r="L68" s="5">
        <v>1000</v>
      </c>
      <c r="M68" s="5">
        <v>55</v>
      </c>
      <c r="N68" s="5">
        <v>31</v>
      </c>
      <c r="O68" s="6" t="s">
        <v>46</v>
      </c>
      <c r="P68" s="8"/>
      <c r="Q68" s="9">
        <v>0.13958333333333334</v>
      </c>
      <c r="R68" s="9">
        <v>0.30238425925925927</v>
      </c>
      <c r="S68" s="17">
        <v>190953</v>
      </c>
      <c r="T68" s="18">
        <v>0.30355324074074075</v>
      </c>
      <c r="U68" s="18">
        <v>0.30454861111111114</v>
      </c>
      <c r="V68" s="17">
        <v>190953</v>
      </c>
      <c r="W68" s="17">
        <v>0</v>
      </c>
      <c r="X68" s="17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>
        <v>0</v>
      </c>
      <c r="AE68" s="12">
        <v>0</v>
      </c>
      <c r="AF68" s="14">
        <v>0</v>
      </c>
      <c r="AG68" s="5">
        <v>0</v>
      </c>
      <c r="AH68" s="5">
        <v>0</v>
      </c>
      <c r="AI68" s="5">
        <v>0</v>
      </c>
      <c r="AJ68" s="5">
        <v>806.45</v>
      </c>
      <c r="AK68" s="5">
        <v>0</v>
      </c>
      <c r="AL68" s="5">
        <v>806.45</v>
      </c>
      <c r="AM68" s="8"/>
      <c r="AN68" s="8"/>
    </row>
    <row r="69" spans="1:40" ht="16" thickBot="1">
      <c r="A69" s="3">
        <v>68</v>
      </c>
      <c r="B69" s="4">
        <v>45934</v>
      </c>
      <c r="C69" s="5" t="s">
        <v>40</v>
      </c>
      <c r="D69" s="5" t="s">
        <v>41</v>
      </c>
      <c r="E69" s="6" t="s">
        <v>42</v>
      </c>
      <c r="F69" s="7" t="s">
        <v>49</v>
      </c>
      <c r="G69" s="5" t="s">
        <v>44</v>
      </c>
      <c r="H69" s="5" t="s">
        <v>45</v>
      </c>
      <c r="I69" s="5">
        <v>6</v>
      </c>
      <c r="J69" s="5">
        <v>8</v>
      </c>
      <c r="K69" s="5">
        <v>33000</v>
      </c>
      <c r="L69" s="5">
        <v>2000</v>
      </c>
      <c r="M69" s="5">
        <v>55</v>
      </c>
      <c r="N69" s="5">
        <v>31</v>
      </c>
      <c r="O69" s="6" t="s">
        <v>50</v>
      </c>
      <c r="P69" s="8"/>
      <c r="Q69" s="9">
        <v>7.6388888888888895E-2</v>
      </c>
      <c r="R69" s="9">
        <v>0.17130787037037035</v>
      </c>
      <c r="S69" s="17">
        <v>98477</v>
      </c>
      <c r="T69" s="18">
        <v>0.32824074074074078</v>
      </c>
      <c r="U69" s="18">
        <v>0.32831018518518518</v>
      </c>
      <c r="V69" s="17">
        <v>98530</v>
      </c>
      <c r="W69" s="17">
        <v>56</v>
      </c>
      <c r="X69" s="17">
        <v>55</v>
      </c>
      <c r="Y69" s="12">
        <v>1</v>
      </c>
      <c r="Z69" s="12">
        <v>53</v>
      </c>
      <c r="AA69" s="12">
        <v>53</v>
      </c>
      <c r="AB69" s="12">
        <v>0</v>
      </c>
      <c r="AC69" s="12">
        <v>0</v>
      </c>
      <c r="AD69" s="13">
        <v>0</v>
      </c>
      <c r="AE69" s="12">
        <v>0</v>
      </c>
      <c r="AF69" s="14">
        <v>0</v>
      </c>
      <c r="AG69" s="5">
        <v>0</v>
      </c>
      <c r="AH69" s="5">
        <v>0</v>
      </c>
      <c r="AI69" s="5">
        <v>0</v>
      </c>
      <c r="AJ69" s="5">
        <v>1064.52</v>
      </c>
      <c r="AK69" s="5">
        <v>0</v>
      </c>
      <c r="AL69" s="5">
        <v>1064.52</v>
      </c>
      <c r="AM69" s="8"/>
      <c r="AN69" s="8"/>
    </row>
    <row r="70" spans="1:40" ht="16" thickBot="1">
      <c r="A70" s="3">
        <v>69</v>
      </c>
      <c r="B70" s="4">
        <v>45934</v>
      </c>
      <c r="C70" s="5" t="s">
        <v>40</v>
      </c>
      <c r="D70" s="5" t="s">
        <v>41</v>
      </c>
      <c r="E70" s="6" t="s">
        <v>42</v>
      </c>
      <c r="F70" s="7" t="s">
        <v>51</v>
      </c>
      <c r="G70" s="5" t="s">
        <v>44</v>
      </c>
      <c r="H70" s="5" t="s">
        <v>45</v>
      </c>
      <c r="I70" s="5">
        <v>4</v>
      </c>
      <c r="J70" s="5">
        <v>8</v>
      </c>
      <c r="K70" s="5">
        <v>25000</v>
      </c>
      <c r="L70" s="5">
        <v>1000</v>
      </c>
      <c r="M70" s="5">
        <v>55</v>
      </c>
      <c r="N70" s="5">
        <v>31</v>
      </c>
      <c r="O70" s="6" t="s">
        <v>118</v>
      </c>
      <c r="P70" s="8"/>
      <c r="Q70" s="9">
        <v>0.12152777777777778</v>
      </c>
      <c r="R70" s="9">
        <v>0.15636574074074075</v>
      </c>
      <c r="S70" s="17">
        <v>83410</v>
      </c>
      <c r="T70" s="18">
        <v>0.31059027777777776</v>
      </c>
      <c r="U70" s="18">
        <v>0.3106828703703704</v>
      </c>
      <c r="V70" s="17">
        <v>83438</v>
      </c>
      <c r="W70" s="17">
        <v>28</v>
      </c>
      <c r="X70" s="17">
        <v>28</v>
      </c>
      <c r="Y70" s="12">
        <v>0</v>
      </c>
      <c r="Z70" s="12">
        <v>28</v>
      </c>
      <c r="AA70" s="12">
        <v>28</v>
      </c>
      <c r="AB70" s="12">
        <v>0</v>
      </c>
      <c r="AC70" s="12">
        <v>0</v>
      </c>
      <c r="AD70" s="13">
        <v>0</v>
      </c>
      <c r="AE70" s="12">
        <v>0</v>
      </c>
      <c r="AF70" s="14">
        <v>0</v>
      </c>
      <c r="AG70" s="5">
        <v>0</v>
      </c>
      <c r="AH70" s="5">
        <v>0</v>
      </c>
      <c r="AI70" s="5">
        <v>0</v>
      </c>
      <c r="AJ70" s="5">
        <v>806.45</v>
      </c>
      <c r="AK70" s="5">
        <v>0</v>
      </c>
      <c r="AL70" s="5">
        <v>806.45</v>
      </c>
      <c r="AM70" s="8"/>
      <c r="AN70" s="8"/>
    </row>
    <row r="71" spans="1:40" ht="16" thickBot="1">
      <c r="A71" s="3">
        <v>70</v>
      </c>
      <c r="B71" s="4">
        <v>45934</v>
      </c>
      <c r="C71" s="5" t="s">
        <v>40</v>
      </c>
      <c r="D71" s="5" t="s">
        <v>41</v>
      </c>
      <c r="E71" s="6" t="s">
        <v>42</v>
      </c>
      <c r="F71" s="7" t="s">
        <v>53</v>
      </c>
      <c r="G71" s="5" t="s">
        <v>44</v>
      </c>
      <c r="H71" s="5" t="s">
        <v>45</v>
      </c>
      <c r="I71" s="5">
        <v>4</v>
      </c>
      <c r="J71" s="5">
        <v>8</v>
      </c>
      <c r="K71" s="5">
        <v>25000</v>
      </c>
      <c r="L71" s="5">
        <v>1000</v>
      </c>
      <c r="M71" s="5">
        <v>55</v>
      </c>
      <c r="N71" s="5">
        <v>31</v>
      </c>
      <c r="O71" s="6" t="s">
        <v>119</v>
      </c>
      <c r="P71" s="8"/>
      <c r="Q71" s="9">
        <v>0.1173611111111111</v>
      </c>
      <c r="R71" s="9">
        <v>0.16490740740740742</v>
      </c>
      <c r="S71" s="17">
        <v>11125</v>
      </c>
      <c r="T71" s="18">
        <v>0.31178240740740742</v>
      </c>
      <c r="U71" s="18">
        <v>0.31186342592592592</v>
      </c>
      <c r="V71" s="17">
        <v>11168</v>
      </c>
      <c r="W71" s="17">
        <v>28</v>
      </c>
      <c r="X71" s="17">
        <v>28</v>
      </c>
      <c r="Y71" s="12">
        <v>0</v>
      </c>
      <c r="Z71" s="12">
        <v>43</v>
      </c>
      <c r="AA71" s="12">
        <v>43</v>
      </c>
      <c r="AB71" s="12">
        <v>0</v>
      </c>
      <c r="AC71" s="12">
        <v>0</v>
      </c>
      <c r="AD71" s="13">
        <v>0</v>
      </c>
      <c r="AE71" s="12">
        <v>0</v>
      </c>
      <c r="AF71" s="14">
        <v>0</v>
      </c>
      <c r="AG71" s="5">
        <v>0</v>
      </c>
      <c r="AH71" s="5">
        <v>0</v>
      </c>
      <c r="AI71" s="5">
        <v>0</v>
      </c>
      <c r="AJ71" s="5">
        <v>806.45</v>
      </c>
      <c r="AK71" s="5">
        <v>0</v>
      </c>
      <c r="AL71" s="5">
        <v>806.45</v>
      </c>
      <c r="AM71" s="8"/>
      <c r="AN71" s="8"/>
    </row>
    <row r="72" spans="1:40" ht="16" thickBot="1">
      <c r="A72" s="3">
        <v>71</v>
      </c>
      <c r="B72" s="4">
        <v>45934</v>
      </c>
      <c r="C72" s="5" t="s">
        <v>40</v>
      </c>
      <c r="D72" s="5" t="s">
        <v>41</v>
      </c>
      <c r="E72" s="6" t="s">
        <v>42</v>
      </c>
      <c r="F72" s="7" t="s">
        <v>120</v>
      </c>
      <c r="G72" s="5" t="s">
        <v>44</v>
      </c>
      <c r="H72" s="5" t="s">
        <v>45</v>
      </c>
      <c r="I72" s="5">
        <v>4</v>
      </c>
      <c r="J72" s="5">
        <v>8</v>
      </c>
      <c r="K72" s="5">
        <v>25000</v>
      </c>
      <c r="L72" s="5">
        <v>1000</v>
      </c>
      <c r="M72" s="5">
        <v>55</v>
      </c>
      <c r="N72" s="5">
        <v>31</v>
      </c>
      <c r="O72" s="6" t="s">
        <v>93</v>
      </c>
      <c r="P72" s="8"/>
      <c r="Q72" s="9">
        <v>0.12083333333333333</v>
      </c>
      <c r="R72" s="9">
        <v>0.16512731481481482</v>
      </c>
      <c r="S72" s="17">
        <v>13797</v>
      </c>
      <c r="T72" s="18">
        <v>0.33649305555555559</v>
      </c>
      <c r="U72" s="18">
        <v>0.33657407407407408</v>
      </c>
      <c r="V72" s="17">
        <v>13814</v>
      </c>
      <c r="W72" s="17">
        <v>34</v>
      </c>
      <c r="X72" s="17">
        <v>34</v>
      </c>
      <c r="Y72" s="12">
        <v>0</v>
      </c>
      <c r="Z72" s="12">
        <v>17</v>
      </c>
      <c r="AA72" s="12">
        <v>17</v>
      </c>
      <c r="AB72" s="12">
        <v>0</v>
      </c>
      <c r="AC72" s="12">
        <v>0</v>
      </c>
      <c r="AD72" s="13">
        <v>1</v>
      </c>
      <c r="AE72" s="12">
        <v>150</v>
      </c>
      <c r="AF72" s="14">
        <v>0</v>
      </c>
      <c r="AG72" s="5">
        <v>0</v>
      </c>
      <c r="AH72" s="5">
        <v>0</v>
      </c>
      <c r="AI72" s="5">
        <v>0</v>
      </c>
      <c r="AJ72" s="5">
        <v>956.45</v>
      </c>
      <c r="AK72" s="5">
        <v>0</v>
      </c>
      <c r="AL72" s="5">
        <v>956.45</v>
      </c>
      <c r="AM72" s="8"/>
      <c r="AN72" s="8"/>
    </row>
    <row r="73" spans="1:40" ht="16" thickBot="1">
      <c r="A73" s="3">
        <v>72</v>
      </c>
      <c r="B73" s="4">
        <v>45934</v>
      </c>
      <c r="C73" s="5" t="s">
        <v>40</v>
      </c>
      <c r="D73" s="5" t="s">
        <v>41</v>
      </c>
      <c r="E73" s="6" t="s">
        <v>42</v>
      </c>
      <c r="F73" s="7" t="s">
        <v>55</v>
      </c>
      <c r="G73" s="5" t="s">
        <v>44</v>
      </c>
      <c r="H73" s="5" t="s">
        <v>45</v>
      </c>
      <c r="I73" s="5">
        <v>4</v>
      </c>
      <c r="J73" s="5">
        <v>8</v>
      </c>
      <c r="K73" s="5">
        <v>25000</v>
      </c>
      <c r="L73" s="5">
        <v>1000</v>
      </c>
      <c r="M73" s="5">
        <v>55</v>
      </c>
      <c r="N73" s="5">
        <v>31</v>
      </c>
      <c r="O73" s="6" t="s">
        <v>56</v>
      </c>
      <c r="P73" s="8"/>
      <c r="Q73" s="9">
        <v>5.2083333333333336E-2</v>
      </c>
      <c r="R73" s="9">
        <v>0.1637962962962963</v>
      </c>
      <c r="S73" s="17">
        <v>145088</v>
      </c>
      <c r="T73" s="18">
        <v>0.29244212962962962</v>
      </c>
      <c r="U73" s="18">
        <v>0.29252314814814812</v>
      </c>
      <c r="V73" s="17">
        <v>145104</v>
      </c>
      <c r="W73" s="17">
        <v>28</v>
      </c>
      <c r="X73" s="17">
        <v>28</v>
      </c>
      <c r="Y73" s="12">
        <v>0</v>
      </c>
      <c r="Z73" s="12">
        <v>16</v>
      </c>
      <c r="AA73" s="12">
        <v>16</v>
      </c>
      <c r="AB73" s="12">
        <v>0</v>
      </c>
      <c r="AC73" s="12">
        <v>0</v>
      </c>
      <c r="AD73" s="13">
        <v>0</v>
      </c>
      <c r="AE73" s="12">
        <v>0</v>
      </c>
      <c r="AF73" s="14">
        <v>0</v>
      </c>
      <c r="AG73" s="5">
        <v>0</v>
      </c>
      <c r="AH73" s="5">
        <v>0</v>
      </c>
      <c r="AI73" s="5">
        <v>0</v>
      </c>
      <c r="AJ73" s="5">
        <v>806.45</v>
      </c>
      <c r="AK73" s="5">
        <v>0</v>
      </c>
      <c r="AL73" s="5">
        <v>806.45</v>
      </c>
      <c r="AM73" s="8"/>
      <c r="AN73" s="8"/>
    </row>
    <row r="74" spans="1:40" ht="16" thickBot="1">
      <c r="A74" s="3">
        <v>73</v>
      </c>
      <c r="B74" s="4">
        <v>45934</v>
      </c>
      <c r="C74" s="5" t="s">
        <v>40</v>
      </c>
      <c r="D74" s="5" t="s">
        <v>41</v>
      </c>
      <c r="E74" s="6" t="s">
        <v>42</v>
      </c>
      <c r="F74" s="7" t="s">
        <v>57</v>
      </c>
      <c r="G74" s="5" t="s">
        <v>44</v>
      </c>
      <c r="H74" s="5" t="s">
        <v>45</v>
      </c>
      <c r="I74" s="5">
        <v>4</v>
      </c>
      <c r="J74" s="5">
        <v>8</v>
      </c>
      <c r="K74" s="5">
        <v>25000</v>
      </c>
      <c r="L74" s="5">
        <v>1000</v>
      </c>
      <c r="M74" s="5">
        <v>55</v>
      </c>
      <c r="N74" s="5">
        <v>31</v>
      </c>
      <c r="O74" s="6" t="s">
        <v>121</v>
      </c>
      <c r="P74" s="8"/>
      <c r="Q74" s="9">
        <v>6.3194444444444442E-2</v>
      </c>
      <c r="R74" s="9">
        <v>0.16988425925925923</v>
      </c>
      <c r="S74" s="17">
        <v>141903</v>
      </c>
      <c r="T74" s="18">
        <v>0.33829861111111109</v>
      </c>
      <c r="U74" s="18">
        <v>0.33839120370370374</v>
      </c>
      <c r="V74" s="17">
        <v>141920</v>
      </c>
      <c r="W74" s="17">
        <v>49</v>
      </c>
      <c r="X74" s="17">
        <v>49</v>
      </c>
      <c r="Y74" s="12">
        <v>0</v>
      </c>
      <c r="Z74" s="12">
        <v>17</v>
      </c>
      <c r="AA74" s="12">
        <v>17</v>
      </c>
      <c r="AB74" s="12">
        <v>0</v>
      </c>
      <c r="AC74" s="12">
        <v>0</v>
      </c>
      <c r="AD74" s="13">
        <v>1</v>
      </c>
      <c r="AE74" s="12">
        <v>150</v>
      </c>
      <c r="AF74" s="14">
        <v>0</v>
      </c>
      <c r="AG74" s="5">
        <v>0</v>
      </c>
      <c r="AH74" s="5">
        <v>0</v>
      </c>
      <c r="AI74" s="5">
        <v>0</v>
      </c>
      <c r="AJ74" s="5">
        <v>956.45</v>
      </c>
      <c r="AK74" s="5">
        <v>0</v>
      </c>
      <c r="AL74" s="5">
        <v>956.45</v>
      </c>
      <c r="AM74" s="8"/>
      <c r="AN74" s="8"/>
    </row>
    <row r="75" spans="1:40" ht="16" thickBot="1">
      <c r="A75" s="3">
        <v>74</v>
      </c>
      <c r="B75" s="4">
        <v>45934</v>
      </c>
      <c r="C75" s="5" t="s">
        <v>40</v>
      </c>
      <c r="D75" s="5" t="s">
        <v>41</v>
      </c>
      <c r="E75" s="6" t="s">
        <v>42</v>
      </c>
      <c r="F75" s="7" t="s">
        <v>62</v>
      </c>
      <c r="G75" s="5" t="s">
        <v>44</v>
      </c>
      <c r="H75" s="5" t="s">
        <v>45</v>
      </c>
      <c r="I75" s="5">
        <v>6</v>
      </c>
      <c r="J75" s="5">
        <v>8</v>
      </c>
      <c r="K75" s="5">
        <v>33000</v>
      </c>
      <c r="L75" s="5">
        <v>2000</v>
      </c>
      <c r="M75" s="5">
        <v>55</v>
      </c>
      <c r="N75" s="5">
        <v>31</v>
      </c>
      <c r="O75" s="6" t="s">
        <v>63</v>
      </c>
      <c r="P75" s="8"/>
      <c r="Q75" s="9">
        <v>9.9999999999999992E-2</v>
      </c>
      <c r="R75" s="9">
        <v>0.17232638888888888</v>
      </c>
      <c r="S75" s="17">
        <v>47075</v>
      </c>
      <c r="T75" s="18">
        <v>0.35497685185185185</v>
      </c>
      <c r="U75" s="18">
        <v>0.35615740740740742</v>
      </c>
      <c r="V75" s="17">
        <v>47162</v>
      </c>
      <c r="W75" s="17">
        <v>25</v>
      </c>
      <c r="X75" s="17">
        <v>25</v>
      </c>
      <c r="Y75" s="12">
        <v>0</v>
      </c>
      <c r="Z75" s="12">
        <v>87</v>
      </c>
      <c r="AA75" s="12">
        <v>87</v>
      </c>
      <c r="AB75" s="12">
        <v>0</v>
      </c>
      <c r="AC75" s="12">
        <v>0</v>
      </c>
      <c r="AD75" s="13">
        <v>0</v>
      </c>
      <c r="AE75" s="12">
        <v>0</v>
      </c>
      <c r="AF75" s="14">
        <v>0</v>
      </c>
      <c r="AG75" s="5">
        <v>0</v>
      </c>
      <c r="AH75" s="5">
        <v>0</v>
      </c>
      <c r="AI75" s="5">
        <v>0</v>
      </c>
      <c r="AJ75" s="5">
        <v>1064.52</v>
      </c>
      <c r="AK75" s="5">
        <v>0</v>
      </c>
      <c r="AL75" s="5">
        <v>1064.52</v>
      </c>
      <c r="AM75" s="8"/>
      <c r="AN75" s="8"/>
    </row>
    <row r="76" spans="1:40" ht="16" thickBot="1">
      <c r="A76" s="3">
        <v>75</v>
      </c>
      <c r="B76" s="4">
        <v>45934</v>
      </c>
      <c r="C76" s="5" t="s">
        <v>40</v>
      </c>
      <c r="D76" s="5" t="s">
        <v>41</v>
      </c>
      <c r="E76" s="6" t="s">
        <v>42</v>
      </c>
      <c r="F76" s="7" t="s">
        <v>101</v>
      </c>
      <c r="G76" s="5" t="s">
        <v>44</v>
      </c>
      <c r="H76" s="5" t="s">
        <v>45</v>
      </c>
      <c r="I76" s="5">
        <v>4</v>
      </c>
      <c r="J76" s="5">
        <v>8</v>
      </c>
      <c r="K76" s="5">
        <v>25000</v>
      </c>
      <c r="L76" s="5">
        <v>1000</v>
      </c>
      <c r="M76" s="5">
        <v>55</v>
      </c>
      <c r="N76" s="5">
        <v>31</v>
      </c>
      <c r="O76" s="6" t="s">
        <v>122</v>
      </c>
      <c r="P76" s="8"/>
      <c r="Q76" s="9">
        <v>0.13541666666666666</v>
      </c>
      <c r="R76" s="9">
        <v>0.18630787037037036</v>
      </c>
      <c r="S76" s="17">
        <v>117339</v>
      </c>
      <c r="T76" s="18">
        <v>0.29432870370370373</v>
      </c>
      <c r="U76" s="18">
        <v>0.29444444444444445</v>
      </c>
      <c r="V76" s="17">
        <v>117369</v>
      </c>
      <c r="W76" s="17">
        <v>30</v>
      </c>
      <c r="X76" s="17">
        <v>0</v>
      </c>
      <c r="Y76" s="12">
        <v>30</v>
      </c>
      <c r="Z76" s="12">
        <v>30</v>
      </c>
      <c r="AA76" s="12">
        <v>30</v>
      </c>
      <c r="AB76" s="12">
        <v>0</v>
      </c>
      <c r="AC76" s="12">
        <v>0</v>
      </c>
      <c r="AD76" s="13">
        <v>0</v>
      </c>
      <c r="AE76" s="12">
        <v>0</v>
      </c>
      <c r="AF76" s="14">
        <v>0</v>
      </c>
      <c r="AG76" s="5">
        <v>0</v>
      </c>
      <c r="AH76" s="5">
        <v>0</v>
      </c>
      <c r="AI76" s="5">
        <v>0</v>
      </c>
      <c r="AJ76" s="5">
        <v>806.45</v>
      </c>
      <c r="AK76" s="5">
        <v>0</v>
      </c>
      <c r="AL76" s="5">
        <v>806.45</v>
      </c>
      <c r="AM76" s="8"/>
      <c r="AN76" s="8"/>
    </row>
    <row r="77" spans="1:40" ht="16" thickBot="1">
      <c r="A77" s="3">
        <v>76</v>
      </c>
      <c r="B77" s="4">
        <v>45934</v>
      </c>
      <c r="C77" s="5" t="s">
        <v>40</v>
      </c>
      <c r="D77" s="5" t="s">
        <v>41</v>
      </c>
      <c r="E77" s="6" t="s">
        <v>42</v>
      </c>
      <c r="F77" s="7" t="s">
        <v>64</v>
      </c>
      <c r="G77" s="5" t="s">
        <v>44</v>
      </c>
      <c r="H77" s="5" t="s">
        <v>45</v>
      </c>
      <c r="I77" s="5">
        <v>4</v>
      </c>
      <c r="J77" s="5">
        <v>8</v>
      </c>
      <c r="K77" s="5">
        <v>25000</v>
      </c>
      <c r="L77" s="5">
        <v>1000</v>
      </c>
      <c r="M77" s="5">
        <v>55</v>
      </c>
      <c r="N77" s="5">
        <v>31</v>
      </c>
      <c r="O77" s="6" t="s">
        <v>95</v>
      </c>
      <c r="P77" s="8"/>
      <c r="Q77" s="9">
        <v>0.1277777777777778</v>
      </c>
      <c r="R77" s="9">
        <v>0.18650462962962963</v>
      </c>
      <c r="S77" s="17">
        <v>73989</v>
      </c>
      <c r="T77" s="18">
        <v>0.33702546296296299</v>
      </c>
      <c r="U77" s="18">
        <v>0.33710648148148148</v>
      </c>
      <c r="V77" s="17">
        <v>74013</v>
      </c>
      <c r="W77" s="17">
        <v>0</v>
      </c>
      <c r="X77" s="17">
        <v>0</v>
      </c>
      <c r="Y77" s="12">
        <v>0</v>
      </c>
      <c r="Z77" s="12">
        <v>24</v>
      </c>
      <c r="AA77" s="12">
        <v>24</v>
      </c>
      <c r="AB77" s="12">
        <v>0</v>
      </c>
      <c r="AC77" s="12">
        <v>0</v>
      </c>
      <c r="AD77" s="13">
        <v>1</v>
      </c>
      <c r="AE77" s="12">
        <v>150</v>
      </c>
      <c r="AF77" s="14">
        <v>0</v>
      </c>
      <c r="AG77" s="5">
        <v>0</v>
      </c>
      <c r="AH77" s="5">
        <v>0</v>
      </c>
      <c r="AI77" s="5">
        <v>0</v>
      </c>
      <c r="AJ77" s="5">
        <v>956.45</v>
      </c>
      <c r="AK77" s="5">
        <v>0</v>
      </c>
      <c r="AL77" s="5">
        <v>956.45</v>
      </c>
      <c r="AM77" s="8"/>
      <c r="AN77" s="8"/>
    </row>
    <row r="78" spans="1:40" ht="16" thickBot="1">
      <c r="A78" s="3">
        <v>77</v>
      </c>
      <c r="B78" s="4">
        <v>45934</v>
      </c>
      <c r="C78" s="5" t="s">
        <v>40</v>
      </c>
      <c r="D78" s="5" t="s">
        <v>41</v>
      </c>
      <c r="E78" s="6" t="s">
        <v>42</v>
      </c>
      <c r="F78" s="7" t="s">
        <v>66</v>
      </c>
      <c r="G78" s="5" t="s">
        <v>44</v>
      </c>
      <c r="H78" s="5" t="s">
        <v>45</v>
      </c>
      <c r="I78" s="5">
        <v>4</v>
      </c>
      <c r="J78" s="5">
        <v>8</v>
      </c>
      <c r="K78" s="5">
        <v>25000</v>
      </c>
      <c r="L78" s="5">
        <v>1000</v>
      </c>
      <c r="M78" s="5">
        <v>55</v>
      </c>
      <c r="N78" s="5">
        <v>31</v>
      </c>
      <c r="O78" s="6" t="s">
        <v>67</v>
      </c>
      <c r="P78" s="8"/>
      <c r="Q78" s="9">
        <v>4.6527777777777779E-2</v>
      </c>
      <c r="R78" s="9">
        <v>0.15991898148148148</v>
      </c>
      <c r="S78" s="17">
        <v>51816</v>
      </c>
      <c r="T78" s="16">
        <v>0.35486111111111113</v>
      </c>
      <c r="U78" s="16">
        <v>0.35559027777777774</v>
      </c>
      <c r="V78" s="17">
        <v>51849</v>
      </c>
      <c r="W78" s="17">
        <v>12</v>
      </c>
      <c r="X78" s="17">
        <v>12</v>
      </c>
      <c r="Y78" s="12">
        <v>0</v>
      </c>
      <c r="Z78" s="12">
        <v>33</v>
      </c>
      <c r="AA78" s="12">
        <v>33</v>
      </c>
      <c r="AB78" s="12">
        <v>0</v>
      </c>
      <c r="AC78" s="12">
        <v>0</v>
      </c>
      <c r="AD78" s="13">
        <v>1</v>
      </c>
      <c r="AE78" s="12">
        <v>150</v>
      </c>
      <c r="AF78" s="14">
        <v>0</v>
      </c>
      <c r="AG78" s="5">
        <v>0</v>
      </c>
      <c r="AH78" s="5">
        <v>0</v>
      </c>
      <c r="AI78" s="5">
        <v>0</v>
      </c>
      <c r="AJ78" s="5">
        <v>956.45</v>
      </c>
      <c r="AK78" s="5">
        <v>0</v>
      </c>
      <c r="AL78" s="5">
        <v>956.45</v>
      </c>
      <c r="AM78" s="8"/>
      <c r="AN78" s="8"/>
    </row>
    <row r="79" spans="1:40" ht="16" thickBot="1">
      <c r="A79" s="3">
        <v>78</v>
      </c>
      <c r="B79" s="4">
        <v>45934</v>
      </c>
      <c r="C79" s="5" t="s">
        <v>40</v>
      </c>
      <c r="D79" s="5" t="s">
        <v>41</v>
      </c>
      <c r="E79" s="6" t="s">
        <v>42</v>
      </c>
      <c r="F79" s="7" t="s">
        <v>68</v>
      </c>
      <c r="G79" s="5" t="s">
        <v>44</v>
      </c>
      <c r="H79" s="5" t="s">
        <v>45</v>
      </c>
      <c r="I79" s="5">
        <v>4</v>
      </c>
      <c r="J79" s="5">
        <v>8</v>
      </c>
      <c r="K79" s="5">
        <v>25000</v>
      </c>
      <c r="L79" s="5">
        <v>1000</v>
      </c>
      <c r="M79" s="5">
        <v>55</v>
      </c>
      <c r="N79" s="5">
        <v>31</v>
      </c>
      <c r="O79" s="6" t="s">
        <v>61</v>
      </c>
      <c r="P79" s="8"/>
      <c r="Q79" s="9">
        <v>4.5138888888888888E-2</v>
      </c>
      <c r="R79" s="9">
        <v>0.15888888888888889</v>
      </c>
      <c r="S79" s="17">
        <v>82674</v>
      </c>
      <c r="T79" s="16">
        <v>0.29503472222222221</v>
      </c>
      <c r="U79" s="16">
        <v>0.29531250000000003</v>
      </c>
      <c r="V79" s="17">
        <v>82690</v>
      </c>
      <c r="W79" s="17">
        <v>58</v>
      </c>
      <c r="X79" s="17">
        <v>58</v>
      </c>
      <c r="Y79" s="12">
        <v>0</v>
      </c>
      <c r="Z79" s="12">
        <v>16</v>
      </c>
      <c r="AA79" s="12">
        <v>16</v>
      </c>
      <c r="AB79" s="12">
        <v>0</v>
      </c>
      <c r="AC79" s="12">
        <v>0</v>
      </c>
      <c r="AD79" s="13">
        <v>0</v>
      </c>
      <c r="AE79" s="12">
        <v>0</v>
      </c>
      <c r="AF79" s="14">
        <v>0</v>
      </c>
      <c r="AG79" s="5">
        <v>0</v>
      </c>
      <c r="AH79" s="5">
        <v>0</v>
      </c>
      <c r="AI79" s="5">
        <v>0</v>
      </c>
      <c r="AJ79" s="5">
        <v>806.45</v>
      </c>
      <c r="AK79" s="5">
        <v>0</v>
      </c>
      <c r="AL79" s="5">
        <v>806.45</v>
      </c>
      <c r="AM79" s="8"/>
      <c r="AN79" s="8"/>
    </row>
    <row r="80" spans="1:40" ht="16" thickBot="1">
      <c r="A80" s="3">
        <v>79</v>
      </c>
      <c r="B80" s="4">
        <v>45934</v>
      </c>
      <c r="C80" s="5" t="s">
        <v>40</v>
      </c>
      <c r="D80" s="5" t="s">
        <v>41</v>
      </c>
      <c r="E80" s="6" t="s">
        <v>42</v>
      </c>
      <c r="F80" s="7" t="s">
        <v>70</v>
      </c>
      <c r="G80" s="5" t="s">
        <v>44</v>
      </c>
      <c r="H80" s="5" t="s">
        <v>45</v>
      </c>
      <c r="I80" s="5">
        <v>4</v>
      </c>
      <c r="J80" s="5">
        <v>8</v>
      </c>
      <c r="K80" s="5">
        <v>25000</v>
      </c>
      <c r="L80" s="5">
        <v>1000</v>
      </c>
      <c r="M80" s="5">
        <v>55</v>
      </c>
      <c r="N80" s="5">
        <v>31</v>
      </c>
      <c r="O80" s="6" t="s">
        <v>123</v>
      </c>
      <c r="P80" s="8"/>
      <c r="Q80" s="9">
        <v>9.1666666666666674E-2</v>
      </c>
      <c r="R80" s="9">
        <v>0.1784259259259259</v>
      </c>
      <c r="S80" s="17">
        <v>36059</v>
      </c>
      <c r="T80" s="16">
        <v>0.29341435185185188</v>
      </c>
      <c r="U80" s="16">
        <v>0.29347222222222219</v>
      </c>
      <c r="V80" s="17">
        <v>36083</v>
      </c>
      <c r="W80" s="17">
        <v>36</v>
      </c>
      <c r="X80" s="17">
        <v>36</v>
      </c>
      <c r="Y80" s="12">
        <v>0</v>
      </c>
      <c r="Z80" s="12">
        <v>24</v>
      </c>
      <c r="AA80" s="12">
        <v>24</v>
      </c>
      <c r="AB80" s="12">
        <v>0</v>
      </c>
      <c r="AC80" s="12">
        <v>0</v>
      </c>
      <c r="AD80" s="13">
        <v>0</v>
      </c>
      <c r="AE80" s="12">
        <v>0</v>
      </c>
      <c r="AF80" s="14">
        <v>0</v>
      </c>
      <c r="AG80" s="5">
        <v>0</v>
      </c>
      <c r="AH80" s="5">
        <v>0</v>
      </c>
      <c r="AI80" s="5">
        <v>0</v>
      </c>
      <c r="AJ80" s="5">
        <v>806.45</v>
      </c>
      <c r="AK80" s="5">
        <v>0</v>
      </c>
      <c r="AL80" s="5">
        <v>806.45</v>
      </c>
      <c r="AM80" s="8"/>
      <c r="AN80" s="8"/>
    </row>
    <row r="81" spans="1:40" ht="16" thickBot="1">
      <c r="A81" s="3">
        <v>80</v>
      </c>
      <c r="B81" s="4">
        <v>45934</v>
      </c>
      <c r="C81" s="5" t="s">
        <v>40</v>
      </c>
      <c r="D81" s="5" t="s">
        <v>41</v>
      </c>
      <c r="E81" s="6" t="s">
        <v>42</v>
      </c>
      <c r="F81" s="7" t="s">
        <v>72</v>
      </c>
      <c r="G81" s="5" t="s">
        <v>44</v>
      </c>
      <c r="H81" s="5" t="s">
        <v>45</v>
      </c>
      <c r="I81" s="5">
        <v>6</v>
      </c>
      <c r="J81" s="5">
        <v>8</v>
      </c>
      <c r="K81" s="5">
        <v>33000</v>
      </c>
      <c r="L81" s="5">
        <v>2000</v>
      </c>
      <c r="M81" s="5">
        <v>55</v>
      </c>
      <c r="N81" s="5">
        <v>31</v>
      </c>
      <c r="O81" s="6" t="s">
        <v>73</v>
      </c>
      <c r="P81" s="8"/>
      <c r="Q81" s="9">
        <v>5.6944444444444443E-2</v>
      </c>
      <c r="R81" s="9">
        <v>0.17216435185185186</v>
      </c>
      <c r="S81" s="17">
        <v>31874</v>
      </c>
      <c r="T81" s="16">
        <v>0.29268518518518521</v>
      </c>
      <c r="U81" s="16">
        <v>0.29275462962962961</v>
      </c>
      <c r="V81" s="17">
        <v>31942</v>
      </c>
      <c r="W81" s="17">
        <v>29</v>
      </c>
      <c r="X81" s="17">
        <v>29</v>
      </c>
      <c r="Y81" s="12">
        <v>0</v>
      </c>
      <c r="Z81" s="12">
        <v>68</v>
      </c>
      <c r="AA81" s="12">
        <v>68</v>
      </c>
      <c r="AB81" s="12">
        <v>0</v>
      </c>
      <c r="AC81" s="12">
        <v>0</v>
      </c>
      <c r="AD81" s="13">
        <v>0</v>
      </c>
      <c r="AE81" s="12">
        <v>0</v>
      </c>
      <c r="AF81" s="14">
        <v>0</v>
      </c>
      <c r="AG81" s="5">
        <v>0</v>
      </c>
      <c r="AH81" s="5">
        <v>0</v>
      </c>
      <c r="AI81" s="5">
        <v>0</v>
      </c>
      <c r="AJ81" s="5">
        <v>1064.52</v>
      </c>
      <c r="AK81" s="5">
        <v>0</v>
      </c>
      <c r="AL81" s="5">
        <v>1064.52</v>
      </c>
      <c r="AM81" s="8"/>
      <c r="AN81" s="8"/>
    </row>
    <row r="82" spans="1:40" ht="16" thickBot="1">
      <c r="A82" s="3">
        <v>81</v>
      </c>
      <c r="B82" s="4">
        <v>45934</v>
      </c>
      <c r="C82" s="5" t="s">
        <v>40</v>
      </c>
      <c r="D82" s="5" t="s">
        <v>41</v>
      </c>
      <c r="E82" s="6" t="s">
        <v>42</v>
      </c>
      <c r="F82" s="7" t="s">
        <v>74</v>
      </c>
      <c r="G82" s="5" t="s">
        <v>44</v>
      </c>
      <c r="H82" s="5" t="s">
        <v>45</v>
      </c>
      <c r="I82" s="5">
        <v>4</v>
      </c>
      <c r="J82" s="5">
        <v>8</v>
      </c>
      <c r="K82" s="5">
        <v>25000</v>
      </c>
      <c r="L82" s="5">
        <v>1000</v>
      </c>
      <c r="M82" s="5">
        <v>55</v>
      </c>
      <c r="N82" s="5">
        <v>31</v>
      </c>
      <c r="O82" s="6" t="s">
        <v>104</v>
      </c>
      <c r="P82" s="8"/>
      <c r="Q82" s="9">
        <v>4.5833333333333337E-2</v>
      </c>
      <c r="R82" s="9">
        <v>0.15972222222222224</v>
      </c>
      <c r="S82" s="6">
        <v>37332</v>
      </c>
      <c r="T82" s="16">
        <v>0.29962962962962963</v>
      </c>
      <c r="U82" s="16">
        <v>0.29969907407407409</v>
      </c>
      <c r="V82" s="6">
        <v>37348</v>
      </c>
      <c r="W82" s="6">
        <v>50</v>
      </c>
      <c r="X82" s="6">
        <v>50</v>
      </c>
      <c r="Y82" s="12">
        <v>0</v>
      </c>
      <c r="Z82" s="12">
        <v>16</v>
      </c>
      <c r="AA82" s="12">
        <v>16</v>
      </c>
      <c r="AB82" s="12">
        <v>0</v>
      </c>
      <c r="AC82" s="12">
        <v>0</v>
      </c>
      <c r="AD82" s="13">
        <v>0</v>
      </c>
      <c r="AE82" s="12">
        <v>0</v>
      </c>
      <c r="AF82" s="14">
        <v>0</v>
      </c>
      <c r="AG82" s="5">
        <v>0</v>
      </c>
      <c r="AH82" s="5">
        <v>0</v>
      </c>
      <c r="AI82" s="5">
        <v>0</v>
      </c>
      <c r="AJ82" s="5">
        <v>806.45</v>
      </c>
      <c r="AK82" s="5">
        <v>0</v>
      </c>
      <c r="AL82" s="5">
        <v>806.45</v>
      </c>
      <c r="AM82" s="8"/>
      <c r="AN82" s="8"/>
    </row>
    <row r="83" spans="1:40" ht="16" thickBot="1">
      <c r="A83" s="3">
        <v>82</v>
      </c>
      <c r="B83" s="4">
        <v>45934</v>
      </c>
      <c r="C83" s="5" t="s">
        <v>40</v>
      </c>
      <c r="D83" s="5" t="s">
        <v>41</v>
      </c>
      <c r="E83" s="6" t="s">
        <v>42</v>
      </c>
      <c r="F83" s="7" t="s">
        <v>78</v>
      </c>
      <c r="G83" s="5" t="s">
        <v>44</v>
      </c>
      <c r="H83" s="5" t="s">
        <v>45</v>
      </c>
      <c r="I83" s="5">
        <v>4</v>
      </c>
      <c r="J83" s="5">
        <v>8</v>
      </c>
      <c r="K83" s="5">
        <v>25000</v>
      </c>
      <c r="L83" s="5">
        <v>1000</v>
      </c>
      <c r="M83" s="5">
        <v>55</v>
      </c>
      <c r="N83" s="5">
        <v>31</v>
      </c>
      <c r="O83" s="6" t="s">
        <v>79</v>
      </c>
      <c r="P83" s="8"/>
      <c r="Q83" s="9">
        <v>4.6527777777777779E-2</v>
      </c>
      <c r="R83" s="9">
        <v>0.16078703703703703</v>
      </c>
      <c r="S83" s="6">
        <v>6503</v>
      </c>
      <c r="T83" s="16">
        <v>0.30685185185185188</v>
      </c>
      <c r="U83" s="16">
        <v>0.30694444444444441</v>
      </c>
      <c r="V83" s="6">
        <v>6527</v>
      </c>
      <c r="W83" s="6">
        <v>37</v>
      </c>
      <c r="X83" s="6">
        <v>37</v>
      </c>
      <c r="Y83" s="12">
        <v>0</v>
      </c>
      <c r="Z83" s="12">
        <v>24</v>
      </c>
      <c r="AA83" s="12">
        <v>24</v>
      </c>
      <c r="AB83" s="12">
        <v>0</v>
      </c>
      <c r="AC83" s="12">
        <v>0</v>
      </c>
      <c r="AD83" s="13">
        <v>0</v>
      </c>
      <c r="AE83" s="12">
        <v>0</v>
      </c>
      <c r="AF83" s="14">
        <v>0</v>
      </c>
      <c r="AG83" s="5">
        <v>0</v>
      </c>
      <c r="AH83" s="5">
        <v>0</v>
      </c>
      <c r="AI83" s="5">
        <v>0</v>
      </c>
      <c r="AJ83" s="5">
        <v>806.45</v>
      </c>
      <c r="AK83" s="5">
        <v>0</v>
      </c>
      <c r="AL83" s="5">
        <v>806.45</v>
      </c>
      <c r="AM83" s="8"/>
      <c r="AN83" s="8"/>
    </row>
    <row r="84" spans="1:40" ht="16" thickBot="1">
      <c r="A84" s="3">
        <v>83</v>
      </c>
      <c r="B84" s="4">
        <v>45934</v>
      </c>
      <c r="C84" s="5" t="s">
        <v>40</v>
      </c>
      <c r="D84" s="5" t="s">
        <v>41</v>
      </c>
      <c r="E84" s="6" t="s">
        <v>42</v>
      </c>
      <c r="F84" s="7" t="s">
        <v>80</v>
      </c>
      <c r="G84" s="5" t="s">
        <v>44</v>
      </c>
      <c r="H84" s="5" t="s">
        <v>45</v>
      </c>
      <c r="I84" s="5">
        <v>4</v>
      </c>
      <c r="J84" s="5">
        <v>8</v>
      </c>
      <c r="K84" s="5">
        <v>25000</v>
      </c>
      <c r="L84" s="5">
        <v>1000</v>
      </c>
      <c r="M84" s="5">
        <v>55</v>
      </c>
      <c r="N84" s="5">
        <v>31</v>
      </c>
      <c r="O84" s="6" t="s">
        <v>81</v>
      </c>
      <c r="P84" s="8"/>
      <c r="Q84" s="9">
        <v>4.5138888888888888E-2</v>
      </c>
      <c r="R84" s="9">
        <v>0.15909722222222222</v>
      </c>
      <c r="S84" s="6">
        <v>3475</v>
      </c>
      <c r="T84" s="16">
        <v>0.29982638888888891</v>
      </c>
      <c r="U84" s="16">
        <v>0.29989583333333331</v>
      </c>
      <c r="V84" s="6">
        <v>3494</v>
      </c>
      <c r="W84" s="6">
        <v>67</v>
      </c>
      <c r="X84" s="6">
        <v>67</v>
      </c>
      <c r="Y84" s="12">
        <v>0</v>
      </c>
      <c r="Z84" s="12">
        <v>19</v>
      </c>
      <c r="AA84" s="12">
        <v>19</v>
      </c>
      <c r="AB84" s="12">
        <v>0</v>
      </c>
      <c r="AC84" s="12">
        <v>0</v>
      </c>
      <c r="AD84" s="13">
        <v>0</v>
      </c>
      <c r="AE84" s="12">
        <v>0</v>
      </c>
      <c r="AF84" s="14">
        <v>0</v>
      </c>
      <c r="AG84" s="5">
        <v>0</v>
      </c>
      <c r="AH84" s="5">
        <v>0</v>
      </c>
      <c r="AI84" s="5">
        <v>0</v>
      </c>
      <c r="AJ84" s="5">
        <v>806.45</v>
      </c>
      <c r="AK84" s="5">
        <v>0</v>
      </c>
      <c r="AL84" s="5">
        <v>806.45</v>
      </c>
      <c r="AM84" s="8"/>
      <c r="AN84" s="8"/>
    </row>
    <row r="85" spans="1:40" ht="16" thickBot="1">
      <c r="A85" s="3">
        <v>84</v>
      </c>
      <c r="B85" s="4">
        <v>45934</v>
      </c>
      <c r="C85" s="5" t="s">
        <v>40</v>
      </c>
      <c r="D85" s="5" t="s">
        <v>41</v>
      </c>
      <c r="E85" s="6" t="s">
        <v>42</v>
      </c>
      <c r="F85" s="7" t="s">
        <v>105</v>
      </c>
      <c r="G85" s="5" t="s">
        <v>44</v>
      </c>
      <c r="H85" s="5" t="s">
        <v>45</v>
      </c>
      <c r="I85" s="5">
        <v>4</v>
      </c>
      <c r="J85" s="5">
        <v>8</v>
      </c>
      <c r="K85" s="5">
        <v>25000</v>
      </c>
      <c r="L85" s="5">
        <v>1000</v>
      </c>
      <c r="M85" s="5">
        <v>55</v>
      </c>
      <c r="N85" s="5">
        <v>31</v>
      </c>
      <c r="O85" s="6" t="s">
        <v>94</v>
      </c>
      <c r="P85" s="8"/>
      <c r="Q85" s="9">
        <v>4.0972222222222222E-2</v>
      </c>
      <c r="R85" s="9">
        <v>0.17700231481481479</v>
      </c>
      <c r="S85" s="6">
        <v>40681</v>
      </c>
      <c r="T85" s="16">
        <v>0.28496527777777775</v>
      </c>
      <c r="U85" s="16">
        <v>0.28515046296296293</v>
      </c>
      <c r="V85" s="6">
        <v>40712</v>
      </c>
      <c r="W85" s="6">
        <v>26</v>
      </c>
      <c r="X85" s="6">
        <v>26</v>
      </c>
      <c r="Y85" s="12">
        <v>0</v>
      </c>
      <c r="Z85" s="12">
        <v>31</v>
      </c>
      <c r="AA85" s="12">
        <v>31</v>
      </c>
      <c r="AB85" s="12">
        <v>0</v>
      </c>
      <c r="AC85" s="12">
        <v>0</v>
      </c>
      <c r="AD85" s="13">
        <v>0</v>
      </c>
      <c r="AE85" s="12">
        <v>0</v>
      </c>
      <c r="AF85" s="14">
        <v>0</v>
      </c>
      <c r="AG85" s="5">
        <v>0</v>
      </c>
      <c r="AH85" s="5">
        <v>0</v>
      </c>
      <c r="AI85" s="5">
        <v>0</v>
      </c>
      <c r="AJ85" s="5">
        <v>806.45</v>
      </c>
      <c r="AK85" s="5">
        <v>0</v>
      </c>
      <c r="AL85" s="5">
        <v>806.45</v>
      </c>
      <c r="AM85" s="8"/>
      <c r="AN85" s="8"/>
    </row>
    <row r="86" spans="1:40" ht="16" thickBot="1">
      <c r="A86" s="3">
        <v>85</v>
      </c>
      <c r="B86" s="4">
        <v>45934</v>
      </c>
      <c r="C86" s="5" t="s">
        <v>40</v>
      </c>
      <c r="D86" s="5" t="s">
        <v>41</v>
      </c>
      <c r="E86" s="6" t="s">
        <v>42</v>
      </c>
      <c r="F86" s="7" t="s">
        <v>82</v>
      </c>
      <c r="G86" s="10" t="s">
        <v>83</v>
      </c>
      <c r="H86" s="5" t="s">
        <v>84</v>
      </c>
      <c r="I86" s="5">
        <v>4</v>
      </c>
      <c r="J86" s="5">
        <v>10</v>
      </c>
      <c r="K86" s="6">
        <v>29000</v>
      </c>
      <c r="L86" s="5">
        <v>1000</v>
      </c>
      <c r="M86" s="5">
        <v>55</v>
      </c>
      <c r="N86" s="5">
        <v>31</v>
      </c>
      <c r="O86" s="6" t="s">
        <v>124</v>
      </c>
      <c r="P86" s="8"/>
      <c r="Q86" s="9">
        <v>0.13263888888888889</v>
      </c>
      <c r="R86" s="9">
        <v>0.18612268518518518</v>
      </c>
      <c r="S86" s="6">
        <v>32238</v>
      </c>
      <c r="T86" s="16">
        <v>0.31497685185185187</v>
      </c>
      <c r="U86" s="16">
        <v>0.31510416666666669</v>
      </c>
      <c r="V86" s="6">
        <v>32251</v>
      </c>
      <c r="W86" s="6">
        <v>0</v>
      </c>
      <c r="X86" s="6">
        <v>0</v>
      </c>
      <c r="Y86" s="12">
        <v>0</v>
      </c>
      <c r="Z86" s="12">
        <v>13</v>
      </c>
      <c r="AA86" s="12">
        <v>13</v>
      </c>
      <c r="AB86" s="12">
        <v>0</v>
      </c>
      <c r="AC86" s="12">
        <v>0</v>
      </c>
      <c r="AD86" s="13">
        <v>0</v>
      </c>
      <c r="AE86" s="12">
        <v>0</v>
      </c>
      <c r="AF86" s="14">
        <v>0</v>
      </c>
      <c r="AG86" s="5">
        <v>0</v>
      </c>
      <c r="AH86" s="5">
        <v>0</v>
      </c>
      <c r="AI86" s="5">
        <v>0</v>
      </c>
      <c r="AJ86" s="5">
        <v>935.48</v>
      </c>
      <c r="AK86" s="5">
        <v>0</v>
      </c>
      <c r="AL86" s="5">
        <v>935.48</v>
      </c>
      <c r="AM86" s="8"/>
      <c r="AN86" s="8"/>
    </row>
    <row r="87" spans="1:40" ht="16" thickBot="1">
      <c r="A87" s="3">
        <v>86</v>
      </c>
      <c r="B87" s="4">
        <v>45934</v>
      </c>
      <c r="C87" s="5" t="s">
        <v>40</v>
      </c>
      <c r="D87" s="5" t="s">
        <v>41</v>
      </c>
      <c r="E87" s="6" t="s">
        <v>42</v>
      </c>
      <c r="F87" s="7" t="s">
        <v>85</v>
      </c>
      <c r="G87" s="10" t="s">
        <v>83</v>
      </c>
      <c r="H87" s="5" t="s">
        <v>84</v>
      </c>
      <c r="I87" s="5">
        <v>4</v>
      </c>
      <c r="J87" s="5">
        <v>10</v>
      </c>
      <c r="K87" s="6">
        <v>29000</v>
      </c>
      <c r="L87" s="5">
        <v>1000</v>
      </c>
      <c r="M87" s="5">
        <v>55</v>
      </c>
      <c r="N87" s="5">
        <v>31</v>
      </c>
      <c r="O87" s="6" t="s">
        <v>108</v>
      </c>
      <c r="P87" s="8"/>
      <c r="Q87" s="9">
        <v>5.6250000000000001E-2</v>
      </c>
      <c r="R87" s="9">
        <v>0.15589120370370371</v>
      </c>
      <c r="S87" s="6">
        <v>37847</v>
      </c>
      <c r="T87" s="16">
        <v>0.32556712962962964</v>
      </c>
      <c r="U87" s="16">
        <v>0.32571759259259259</v>
      </c>
      <c r="V87" s="6">
        <v>37877</v>
      </c>
      <c r="W87" s="6">
        <v>46</v>
      </c>
      <c r="X87" s="6">
        <v>46</v>
      </c>
      <c r="Y87" s="12">
        <v>0</v>
      </c>
      <c r="Z87" s="12">
        <v>30</v>
      </c>
      <c r="AA87" s="12">
        <v>30</v>
      </c>
      <c r="AB87" s="12">
        <v>0</v>
      </c>
      <c r="AC87" s="12">
        <v>0</v>
      </c>
      <c r="AD87" s="13">
        <v>0</v>
      </c>
      <c r="AE87" s="12">
        <v>0</v>
      </c>
      <c r="AF87" s="14">
        <v>0</v>
      </c>
      <c r="AG87" s="5">
        <v>0</v>
      </c>
      <c r="AH87" s="5">
        <v>0</v>
      </c>
      <c r="AI87" s="5">
        <v>0</v>
      </c>
      <c r="AJ87" s="5">
        <v>935.48</v>
      </c>
      <c r="AK87" s="5">
        <v>0</v>
      </c>
      <c r="AL87" s="5">
        <v>935.48</v>
      </c>
      <c r="AM87" s="8"/>
      <c r="AN87" s="8"/>
    </row>
    <row r="88" spans="1:40" ht="16" thickBot="1">
      <c r="A88" s="3">
        <v>87</v>
      </c>
      <c r="B88" s="4">
        <v>45934</v>
      </c>
      <c r="C88" s="5" t="s">
        <v>40</v>
      </c>
      <c r="D88" s="5" t="s">
        <v>41</v>
      </c>
      <c r="E88" s="6" t="s">
        <v>42</v>
      </c>
      <c r="F88" s="7" t="s">
        <v>117</v>
      </c>
      <c r="G88" s="10" t="s">
        <v>83</v>
      </c>
      <c r="H88" s="5" t="s">
        <v>84</v>
      </c>
      <c r="I88" s="5">
        <v>4</v>
      </c>
      <c r="J88" s="5">
        <v>10</v>
      </c>
      <c r="K88" s="6">
        <v>29000</v>
      </c>
      <c r="L88" s="5">
        <v>1000</v>
      </c>
      <c r="M88" s="5">
        <v>55</v>
      </c>
      <c r="N88" s="5">
        <v>31</v>
      </c>
      <c r="O88" s="6" t="s">
        <v>46</v>
      </c>
      <c r="P88" s="8"/>
      <c r="Q88" s="9">
        <v>4.7222222222222221E-2</v>
      </c>
      <c r="R88" s="9">
        <v>0.18943287037037038</v>
      </c>
      <c r="S88" s="6">
        <v>17398</v>
      </c>
      <c r="T88" s="16">
        <v>0.30892361111111111</v>
      </c>
      <c r="U88" s="16">
        <v>0.30900462962962966</v>
      </c>
      <c r="V88" s="6">
        <v>17398</v>
      </c>
      <c r="W88" s="6">
        <v>0</v>
      </c>
      <c r="X88" s="6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3">
        <v>0</v>
      </c>
      <c r="AE88" s="12">
        <v>0</v>
      </c>
      <c r="AF88" s="14">
        <v>0</v>
      </c>
      <c r="AG88" s="5">
        <v>0</v>
      </c>
      <c r="AH88" s="5">
        <v>0</v>
      </c>
      <c r="AI88" s="5">
        <v>0</v>
      </c>
      <c r="AJ88" s="5">
        <v>935.48</v>
      </c>
      <c r="AK88" s="5">
        <v>0</v>
      </c>
      <c r="AL88" s="5">
        <v>935.48</v>
      </c>
      <c r="AM88" s="8"/>
      <c r="AN88" s="8"/>
    </row>
    <row r="89" spans="1:40" ht="16" thickBot="1">
      <c r="A89" s="3">
        <v>88</v>
      </c>
      <c r="B89" s="4">
        <v>45934</v>
      </c>
      <c r="C89" s="5" t="s">
        <v>40</v>
      </c>
      <c r="D89" s="5" t="s">
        <v>41</v>
      </c>
      <c r="E89" s="6" t="s">
        <v>42</v>
      </c>
      <c r="F89" s="7" t="s">
        <v>87</v>
      </c>
      <c r="G89" s="10" t="s">
        <v>83</v>
      </c>
      <c r="H89" s="5" t="s">
        <v>84</v>
      </c>
      <c r="I89" s="5">
        <v>4</v>
      </c>
      <c r="J89" s="5">
        <v>10</v>
      </c>
      <c r="K89" s="6">
        <v>29000</v>
      </c>
      <c r="L89" s="5">
        <v>1000</v>
      </c>
      <c r="M89" s="5">
        <v>55</v>
      </c>
      <c r="N89" s="5">
        <v>31</v>
      </c>
      <c r="O89" s="6" t="s">
        <v>125</v>
      </c>
      <c r="P89" s="8"/>
      <c r="Q89" s="9">
        <v>0.11319444444444444</v>
      </c>
      <c r="R89" s="9">
        <v>0.16740740740740742</v>
      </c>
      <c r="S89" s="6">
        <v>2628</v>
      </c>
      <c r="T89" s="16">
        <v>0.31291666666666668</v>
      </c>
      <c r="U89" s="16">
        <v>0.31299768518518517</v>
      </c>
      <c r="V89" s="6">
        <v>2663</v>
      </c>
      <c r="W89" s="6">
        <v>55</v>
      </c>
      <c r="X89" s="6">
        <v>55</v>
      </c>
      <c r="Y89" s="12">
        <v>0</v>
      </c>
      <c r="Z89" s="12">
        <v>35</v>
      </c>
      <c r="AA89" s="12">
        <v>35</v>
      </c>
      <c r="AB89" s="12">
        <v>0</v>
      </c>
      <c r="AC89" s="12">
        <v>0</v>
      </c>
      <c r="AD89" s="13">
        <v>0</v>
      </c>
      <c r="AE89" s="12">
        <v>0</v>
      </c>
      <c r="AF89" s="14">
        <v>0</v>
      </c>
      <c r="AG89" s="5">
        <v>0</v>
      </c>
      <c r="AH89" s="5">
        <v>0</v>
      </c>
      <c r="AI89" s="5">
        <v>0</v>
      </c>
      <c r="AJ89" s="5">
        <v>935.48</v>
      </c>
      <c r="AK89" s="5">
        <v>0</v>
      </c>
      <c r="AL89" s="5">
        <v>935.48</v>
      </c>
      <c r="AM89" s="8"/>
      <c r="AN89" s="8"/>
    </row>
    <row r="90" spans="1:40" ht="16" thickBot="1">
      <c r="A90" s="3">
        <v>89</v>
      </c>
      <c r="B90" s="4">
        <v>45934</v>
      </c>
      <c r="C90" s="5" t="s">
        <v>40</v>
      </c>
      <c r="D90" s="5" t="s">
        <v>41</v>
      </c>
      <c r="E90" s="6" t="s">
        <v>42</v>
      </c>
      <c r="F90" s="7" t="s">
        <v>89</v>
      </c>
      <c r="G90" s="10" t="s">
        <v>83</v>
      </c>
      <c r="H90" s="5" t="s">
        <v>84</v>
      </c>
      <c r="I90" s="5">
        <v>4</v>
      </c>
      <c r="J90" s="5">
        <v>10</v>
      </c>
      <c r="K90" s="6">
        <v>29000</v>
      </c>
      <c r="L90" s="5">
        <v>1000</v>
      </c>
      <c r="M90" s="5">
        <v>55</v>
      </c>
      <c r="N90" s="5">
        <v>31</v>
      </c>
      <c r="O90" s="6" t="s">
        <v>126</v>
      </c>
      <c r="P90" s="8"/>
      <c r="Q90" s="9">
        <v>6.458333333333334E-2</v>
      </c>
      <c r="R90" s="9">
        <v>0.18089120370370371</v>
      </c>
      <c r="S90" s="6">
        <v>138670</v>
      </c>
      <c r="T90" s="16">
        <v>0.30101851851851852</v>
      </c>
      <c r="U90" s="16">
        <v>0.30113425925925924</v>
      </c>
      <c r="V90" s="6">
        <v>138703</v>
      </c>
      <c r="W90" s="6">
        <v>45</v>
      </c>
      <c r="X90" s="6">
        <v>45</v>
      </c>
      <c r="Y90" s="12">
        <v>0</v>
      </c>
      <c r="Z90" s="12">
        <v>33</v>
      </c>
      <c r="AA90" s="12">
        <v>33</v>
      </c>
      <c r="AB90" s="12">
        <v>0</v>
      </c>
      <c r="AC90" s="12">
        <v>0</v>
      </c>
      <c r="AD90" s="13">
        <v>0</v>
      </c>
      <c r="AE90" s="12">
        <v>0</v>
      </c>
      <c r="AF90" s="14">
        <v>0</v>
      </c>
      <c r="AG90" s="5">
        <v>0</v>
      </c>
      <c r="AH90" s="5">
        <v>0</v>
      </c>
      <c r="AI90" s="5">
        <v>0</v>
      </c>
      <c r="AJ90" s="5">
        <v>935.48</v>
      </c>
      <c r="AK90" s="5">
        <v>0</v>
      </c>
      <c r="AL90" s="5">
        <v>935.48</v>
      </c>
      <c r="AM90" s="8"/>
      <c r="AN90" s="8"/>
    </row>
    <row r="91" spans="1:40" ht="16" thickBot="1">
      <c r="A91" s="3">
        <v>90</v>
      </c>
      <c r="B91" s="19">
        <v>45935</v>
      </c>
      <c r="C91" s="5" t="s">
        <v>40</v>
      </c>
      <c r="D91" s="5" t="s">
        <v>41</v>
      </c>
      <c r="E91" s="6" t="s">
        <v>42</v>
      </c>
      <c r="F91" s="7" t="s">
        <v>43</v>
      </c>
      <c r="G91" s="5" t="s">
        <v>44</v>
      </c>
      <c r="H91" s="5" t="s">
        <v>45</v>
      </c>
      <c r="I91" s="5">
        <v>4</v>
      </c>
      <c r="J91" s="5">
        <v>8</v>
      </c>
      <c r="K91" s="5">
        <v>25000</v>
      </c>
      <c r="L91" s="5">
        <v>1000</v>
      </c>
      <c r="M91" s="5">
        <v>55</v>
      </c>
      <c r="N91" s="5">
        <v>31</v>
      </c>
      <c r="O91" s="6" t="s">
        <v>46</v>
      </c>
      <c r="P91" s="8"/>
      <c r="Q91" s="16">
        <v>5.347222222222222E-2</v>
      </c>
      <c r="R91" s="16">
        <v>0.18109953703703704</v>
      </c>
      <c r="S91" s="6">
        <v>55601</v>
      </c>
      <c r="T91" s="16">
        <v>0.29944444444444446</v>
      </c>
      <c r="U91" s="16">
        <v>0.29957175925925927</v>
      </c>
      <c r="V91" s="6">
        <v>55607</v>
      </c>
      <c r="W91" s="6">
        <v>53</v>
      </c>
      <c r="X91" s="6">
        <v>53</v>
      </c>
      <c r="Y91" s="12">
        <v>0</v>
      </c>
      <c r="Z91" s="12">
        <v>6</v>
      </c>
      <c r="AA91" s="12">
        <v>6</v>
      </c>
      <c r="AB91" s="12">
        <v>0</v>
      </c>
      <c r="AC91" s="12">
        <v>0</v>
      </c>
      <c r="AD91" s="13">
        <v>0</v>
      </c>
      <c r="AE91" s="12">
        <v>0</v>
      </c>
      <c r="AF91" s="14">
        <v>0</v>
      </c>
      <c r="AG91" s="5">
        <v>0</v>
      </c>
      <c r="AH91" s="5">
        <v>0</v>
      </c>
      <c r="AI91" s="5">
        <v>0</v>
      </c>
      <c r="AJ91" s="5">
        <v>806.45</v>
      </c>
      <c r="AK91" s="5">
        <v>0</v>
      </c>
      <c r="AL91" s="5">
        <v>806.45</v>
      </c>
      <c r="AM91" s="8"/>
      <c r="AN91" s="8"/>
    </row>
    <row r="92" spans="1:40" ht="16" thickBot="1">
      <c r="A92" s="3">
        <v>91</v>
      </c>
      <c r="B92" s="19">
        <v>45935</v>
      </c>
      <c r="C92" s="5" t="s">
        <v>40</v>
      </c>
      <c r="D92" s="5" t="s">
        <v>41</v>
      </c>
      <c r="E92" s="6" t="s">
        <v>42</v>
      </c>
      <c r="F92" s="7" t="s">
        <v>47</v>
      </c>
      <c r="G92" s="5" t="s">
        <v>44</v>
      </c>
      <c r="H92" s="5" t="s">
        <v>45</v>
      </c>
      <c r="I92" s="5">
        <v>4</v>
      </c>
      <c r="J92" s="5">
        <v>8</v>
      </c>
      <c r="K92" s="5">
        <v>25000</v>
      </c>
      <c r="L92" s="5">
        <v>1000</v>
      </c>
      <c r="M92" s="5">
        <v>55</v>
      </c>
      <c r="N92" s="5">
        <v>31</v>
      </c>
      <c r="O92" s="6" t="s">
        <v>127</v>
      </c>
      <c r="P92" s="8"/>
      <c r="Q92" s="16">
        <v>0.13958333333333334</v>
      </c>
      <c r="R92" s="16">
        <v>0.32650462962962962</v>
      </c>
      <c r="S92" s="6">
        <v>190984</v>
      </c>
      <c r="T92" s="16">
        <v>0.32662037037037034</v>
      </c>
      <c r="U92" s="16">
        <v>0.32671296296296298</v>
      </c>
      <c r="V92" s="6">
        <v>190984</v>
      </c>
      <c r="W92" s="6">
        <v>0</v>
      </c>
      <c r="X92" s="6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3">
        <v>0</v>
      </c>
      <c r="AE92" s="12">
        <v>0</v>
      </c>
      <c r="AF92" s="14">
        <v>0</v>
      </c>
      <c r="AG92" s="5">
        <v>0</v>
      </c>
      <c r="AH92" s="5">
        <v>0</v>
      </c>
      <c r="AI92" s="5">
        <v>0</v>
      </c>
      <c r="AJ92" s="5">
        <v>806.45</v>
      </c>
      <c r="AK92" s="5">
        <v>0</v>
      </c>
      <c r="AL92" s="5">
        <v>806.45</v>
      </c>
      <c r="AM92" s="8"/>
      <c r="AN92" s="8"/>
    </row>
    <row r="93" spans="1:40" ht="16" thickBot="1">
      <c r="A93" s="3">
        <v>92</v>
      </c>
      <c r="B93" s="19">
        <v>45935</v>
      </c>
      <c r="C93" s="5" t="s">
        <v>40</v>
      </c>
      <c r="D93" s="5" t="s">
        <v>41</v>
      </c>
      <c r="E93" s="6" t="s">
        <v>42</v>
      </c>
      <c r="F93" s="7" t="s">
        <v>49</v>
      </c>
      <c r="G93" s="5" t="s">
        <v>44</v>
      </c>
      <c r="H93" s="5" t="s">
        <v>45</v>
      </c>
      <c r="I93" s="5">
        <v>6</v>
      </c>
      <c r="J93" s="5">
        <v>8</v>
      </c>
      <c r="K93" s="5">
        <v>33000</v>
      </c>
      <c r="L93" s="5">
        <v>2000</v>
      </c>
      <c r="M93" s="5">
        <v>55</v>
      </c>
      <c r="N93" s="5">
        <v>31</v>
      </c>
      <c r="O93" s="6" t="s">
        <v>91</v>
      </c>
      <c r="P93" s="8"/>
      <c r="Q93" s="16">
        <v>7.0833333333333331E-2</v>
      </c>
      <c r="R93" s="16">
        <v>0.17898148148148149</v>
      </c>
      <c r="S93" s="6">
        <v>98619</v>
      </c>
      <c r="T93" s="16">
        <v>0.35533564814814816</v>
      </c>
      <c r="U93" s="16">
        <v>0.35546296296296293</v>
      </c>
      <c r="V93" s="6">
        <v>98677</v>
      </c>
      <c r="W93" s="6">
        <v>51</v>
      </c>
      <c r="X93" s="6">
        <v>51</v>
      </c>
      <c r="Y93" s="12">
        <v>0</v>
      </c>
      <c r="Z93" s="12">
        <v>58</v>
      </c>
      <c r="AA93" s="12">
        <v>58</v>
      </c>
      <c r="AB93" s="12">
        <v>0</v>
      </c>
      <c r="AC93" s="12">
        <v>0</v>
      </c>
      <c r="AD93" s="13">
        <v>0</v>
      </c>
      <c r="AE93" s="12">
        <v>0</v>
      </c>
      <c r="AF93" s="14">
        <v>0</v>
      </c>
      <c r="AG93" s="5">
        <v>0</v>
      </c>
      <c r="AH93" s="5">
        <v>0</v>
      </c>
      <c r="AI93" s="5">
        <v>0</v>
      </c>
      <c r="AJ93" s="5">
        <v>1064.52</v>
      </c>
      <c r="AK93" s="5">
        <v>0</v>
      </c>
      <c r="AL93" s="5">
        <v>1064.52</v>
      </c>
      <c r="AM93" s="8"/>
      <c r="AN93" s="8"/>
    </row>
    <row r="94" spans="1:40" ht="16" thickBot="1">
      <c r="A94" s="3">
        <v>93</v>
      </c>
      <c r="B94" s="19">
        <v>45935</v>
      </c>
      <c r="C94" s="5" t="s">
        <v>40</v>
      </c>
      <c r="D94" s="5" t="s">
        <v>41</v>
      </c>
      <c r="E94" s="6" t="s">
        <v>42</v>
      </c>
      <c r="F94" s="7" t="s">
        <v>53</v>
      </c>
      <c r="G94" s="5" t="s">
        <v>44</v>
      </c>
      <c r="H94" s="5" t="s">
        <v>45</v>
      </c>
      <c r="I94" s="5">
        <v>4</v>
      </c>
      <c r="J94" s="5">
        <v>8</v>
      </c>
      <c r="K94" s="5">
        <v>25000</v>
      </c>
      <c r="L94" s="5">
        <v>1000</v>
      </c>
      <c r="M94" s="5">
        <v>55</v>
      </c>
      <c r="N94" s="5">
        <v>31</v>
      </c>
      <c r="O94" s="6" t="s">
        <v>46</v>
      </c>
      <c r="P94" s="8"/>
      <c r="Q94" s="16">
        <v>0.14097222222222222</v>
      </c>
      <c r="R94" s="16">
        <v>0.32537037037037037</v>
      </c>
      <c r="S94" s="6">
        <v>11269</v>
      </c>
      <c r="T94" s="16">
        <v>0.32546296296296295</v>
      </c>
      <c r="U94" s="16">
        <v>0.32622685185185185</v>
      </c>
      <c r="V94" s="6">
        <v>11269</v>
      </c>
      <c r="W94" s="6">
        <v>0</v>
      </c>
      <c r="X94" s="6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3">
        <v>0</v>
      </c>
      <c r="AE94" s="12">
        <v>0</v>
      </c>
      <c r="AF94" s="14">
        <v>0</v>
      </c>
      <c r="AG94" s="5">
        <v>0</v>
      </c>
      <c r="AH94" s="5">
        <v>0</v>
      </c>
      <c r="AI94" s="5">
        <v>0</v>
      </c>
      <c r="AJ94" s="5">
        <v>806.45</v>
      </c>
      <c r="AK94" s="5">
        <v>0</v>
      </c>
      <c r="AL94" s="5">
        <v>806.45</v>
      </c>
      <c r="AM94" s="8"/>
      <c r="AN94" s="8"/>
    </row>
    <row r="95" spans="1:40" ht="16" thickBot="1">
      <c r="A95" s="3">
        <v>94</v>
      </c>
      <c r="B95" s="19">
        <v>45935</v>
      </c>
      <c r="C95" s="5" t="s">
        <v>40</v>
      </c>
      <c r="D95" s="5" t="s">
        <v>41</v>
      </c>
      <c r="E95" s="6" t="s">
        <v>42</v>
      </c>
      <c r="F95" s="7" t="s">
        <v>120</v>
      </c>
      <c r="G95" s="5" t="s">
        <v>44</v>
      </c>
      <c r="H95" s="5" t="s">
        <v>45</v>
      </c>
      <c r="I95" s="5">
        <v>4</v>
      </c>
      <c r="J95" s="5">
        <v>8</v>
      </c>
      <c r="K95" s="5">
        <v>25000</v>
      </c>
      <c r="L95" s="5">
        <v>1000</v>
      </c>
      <c r="M95" s="5">
        <v>55</v>
      </c>
      <c r="N95" s="5">
        <v>31</v>
      </c>
      <c r="O95" s="6" t="s">
        <v>128</v>
      </c>
      <c r="P95" s="8"/>
      <c r="Q95" s="16">
        <v>0.12708333333333333</v>
      </c>
      <c r="R95" s="16">
        <v>0.18836805555555555</v>
      </c>
      <c r="S95" s="6">
        <v>13932</v>
      </c>
      <c r="T95" s="16">
        <v>0.41319444444444442</v>
      </c>
      <c r="U95" s="16">
        <v>0.41350694444444441</v>
      </c>
      <c r="V95" s="6">
        <v>13965</v>
      </c>
      <c r="W95" s="6">
        <v>30</v>
      </c>
      <c r="X95" s="6">
        <v>0</v>
      </c>
      <c r="Y95" s="12">
        <v>30</v>
      </c>
      <c r="Z95" s="12">
        <v>33</v>
      </c>
      <c r="AA95" s="12">
        <v>33</v>
      </c>
      <c r="AB95" s="12">
        <v>0</v>
      </c>
      <c r="AC95" s="12">
        <v>0</v>
      </c>
      <c r="AD95" s="13">
        <v>2</v>
      </c>
      <c r="AE95" s="12">
        <v>300</v>
      </c>
      <c r="AF95" s="14">
        <v>0</v>
      </c>
      <c r="AG95" s="5">
        <v>0</v>
      </c>
      <c r="AH95" s="5">
        <v>0</v>
      </c>
      <c r="AI95" s="5">
        <v>0</v>
      </c>
      <c r="AJ95" s="5">
        <v>1106.45</v>
      </c>
      <c r="AK95" s="5">
        <v>0</v>
      </c>
      <c r="AL95" s="5">
        <v>1106.45</v>
      </c>
      <c r="AM95" s="8"/>
      <c r="AN95" s="8"/>
    </row>
    <row r="96" spans="1:40" ht="16" thickBot="1">
      <c r="A96" s="3">
        <v>95</v>
      </c>
      <c r="B96" s="19">
        <v>45935</v>
      </c>
      <c r="C96" s="5" t="s">
        <v>40</v>
      </c>
      <c r="D96" s="5" t="s">
        <v>41</v>
      </c>
      <c r="E96" s="6" t="s">
        <v>42</v>
      </c>
      <c r="F96" s="7" t="s">
        <v>55</v>
      </c>
      <c r="G96" s="5" t="s">
        <v>44</v>
      </c>
      <c r="H96" s="5" t="s">
        <v>45</v>
      </c>
      <c r="I96" s="5">
        <v>4</v>
      </c>
      <c r="J96" s="5">
        <v>8</v>
      </c>
      <c r="K96" s="5">
        <v>25000</v>
      </c>
      <c r="L96" s="5">
        <v>1000</v>
      </c>
      <c r="M96" s="5">
        <v>55</v>
      </c>
      <c r="N96" s="5">
        <v>31</v>
      </c>
      <c r="O96" s="6" t="s">
        <v>56</v>
      </c>
      <c r="P96" s="8"/>
      <c r="Q96" s="16">
        <v>4.9305555555555554E-2</v>
      </c>
      <c r="R96" s="16">
        <v>0.17795138888888887</v>
      </c>
      <c r="S96" s="6">
        <v>145125</v>
      </c>
      <c r="T96" s="16">
        <v>0.30277777777777776</v>
      </c>
      <c r="U96" s="16">
        <v>0.3028703703703704</v>
      </c>
      <c r="V96" s="6">
        <v>145142</v>
      </c>
      <c r="W96" s="6">
        <v>31</v>
      </c>
      <c r="X96" s="6">
        <v>31</v>
      </c>
      <c r="Y96" s="12">
        <v>0</v>
      </c>
      <c r="Z96" s="12">
        <v>17</v>
      </c>
      <c r="AA96" s="12">
        <v>17</v>
      </c>
      <c r="AB96" s="12">
        <v>0</v>
      </c>
      <c r="AC96" s="12">
        <v>0</v>
      </c>
      <c r="AD96" s="13">
        <v>0</v>
      </c>
      <c r="AE96" s="12">
        <v>0</v>
      </c>
      <c r="AF96" s="14">
        <v>0</v>
      </c>
      <c r="AG96" s="5">
        <v>0</v>
      </c>
      <c r="AH96" s="5">
        <v>0</v>
      </c>
      <c r="AI96" s="5">
        <v>0</v>
      </c>
      <c r="AJ96" s="5">
        <v>806.45</v>
      </c>
      <c r="AK96" s="5">
        <v>0</v>
      </c>
      <c r="AL96" s="5">
        <v>806.45</v>
      </c>
      <c r="AM96" s="8"/>
      <c r="AN96" s="8"/>
    </row>
    <row r="97" spans="1:40" ht="16" thickBot="1">
      <c r="A97" s="3">
        <v>96</v>
      </c>
      <c r="B97" s="19">
        <v>45935</v>
      </c>
      <c r="C97" s="5" t="s">
        <v>40</v>
      </c>
      <c r="D97" s="5" t="s">
        <v>41</v>
      </c>
      <c r="E97" s="6" t="s">
        <v>42</v>
      </c>
      <c r="F97" s="7" t="s">
        <v>57</v>
      </c>
      <c r="G97" s="5" t="s">
        <v>44</v>
      </c>
      <c r="H97" s="5" t="s">
        <v>45</v>
      </c>
      <c r="I97" s="5">
        <v>4</v>
      </c>
      <c r="J97" s="5">
        <v>8</v>
      </c>
      <c r="K97" s="5">
        <v>25000</v>
      </c>
      <c r="L97" s="5">
        <v>1000</v>
      </c>
      <c r="M97" s="5">
        <v>55</v>
      </c>
      <c r="N97" s="5">
        <v>31</v>
      </c>
      <c r="O97" s="6" t="s">
        <v>58</v>
      </c>
      <c r="P97" s="8"/>
      <c r="Q97" s="16">
        <v>6.3888888888888884E-2</v>
      </c>
      <c r="R97" s="16">
        <v>0.17777777777777778</v>
      </c>
      <c r="S97" s="6">
        <v>142003</v>
      </c>
      <c r="T97" s="16">
        <v>0.31916666666666665</v>
      </c>
      <c r="U97" s="16">
        <v>0.31924768518518515</v>
      </c>
      <c r="V97" s="6">
        <v>142026</v>
      </c>
      <c r="W97" s="6">
        <v>38</v>
      </c>
      <c r="X97" s="6">
        <v>38</v>
      </c>
      <c r="Y97" s="12">
        <v>0</v>
      </c>
      <c r="Z97" s="12">
        <v>23</v>
      </c>
      <c r="AA97" s="12">
        <v>23</v>
      </c>
      <c r="AB97" s="12">
        <v>0</v>
      </c>
      <c r="AC97" s="12">
        <v>0</v>
      </c>
      <c r="AD97" s="13">
        <v>0</v>
      </c>
      <c r="AE97" s="12">
        <v>0</v>
      </c>
      <c r="AF97" s="14">
        <v>0</v>
      </c>
      <c r="AG97" s="5">
        <v>0</v>
      </c>
      <c r="AH97" s="5">
        <v>0</v>
      </c>
      <c r="AI97" s="5">
        <v>0</v>
      </c>
      <c r="AJ97" s="5">
        <v>806.45</v>
      </c>
      <c r="AK97" s="5">
        <v>0</v>
      </c>
      <c r="AL97" s="5">
        <v>806.45</v>
      </c>
      <c r="AM97" s="8"/>
      <c r="AN97" s="8"/>
    </row>
    <row r="98" spans="1:40" ht="16" thickBot="1">
      <c r="A98" s="3">
        <v>97</v>
      </c>
      <c r="B98" s="19">
        <v>45935</v>
      </c>
      <c r="C98" s="5" t="s">
        <v>40</v>
      </c>
      <c r="D98" s="5" t="s">
        <v>41</v>
      </c>
      <c r="E98" s="6" t="s">
        <v>42</v>
      </c>
      <c r="F98" s="7" t="s">
        <v>59</v>
      </c>
      <c r="G98" s="5" t="s">
        <v>44</v>
      </c>
      <c r="H98" s="5" t="s">
        <v>45</v>
      </c>
      <c r="I98" s="5">
        <v>4</v>
      </c>
      <c r="J98" s="5">
        <v>8</v>
      </c>
      <c r="K98" s="5">
        <v>25000</v>
      </c>
      <c r="L98" s="5">
        <v>1000</v>
      </c>
      <c r="M98" s="5">
        <v>55</v>
      </c>
      <c r="N98" s="5">
        <v>31</v>
      </c>
      <c r="O98" s="6" t="s">
        <v>129</v>
      </c>
      <c r="P98" s="8"/>
      <c r="Q98" s="16">
        <v>0.12083333333333333</v>
      </c>
      <c r="R98" s="16">
        <v>0.17762731481481484</v>
      </c>
      <c r="S98" s="6">
        <v>158342</v>
      </c>
      <c r="T98" s="16">
        <v>0.29641203703703706</v>
      </c>
      <c r="U98" s="16">
        <v>0.29736111111111113</v>
      </c>
      <c r="V98" s="6">
        <v>158365</v>
      </c>
      <c r="W98" s="6">
        <v>26</v>
      </c>
      <c r="X98" s="6">
        <v>26</v>
      </c>
      <c r="Y98" s="12">
        <v>0</v>
      </c>
      <c r="Z98" s="12">
        <v>23</v>
      </c>
      <c r="AA98" s="12">
        <v>23</v>
      </c>
      <c r="AB98" s="12">
        <v>0</v>
      </c>
      <c r="AC98" s="12">
        <v>0</v>
      </c>
      <c r="AD98" s="13">
        <v>0</v>
      </c>
      <c r="AE98" s="12">
        <v>0</v>
      </c>
      <c r="AF98" s="14">
        <v>0</v>
      </c>
      <c r="AG98" s="5">
        <v>0</v>
      </c>
      <c r="AH98" s="5">
        <v>0</v>
      </c>
      <c r="AI98" s="5">
        <v>0</v>
      </c>
      <c r="AJ98" s="5">
        <v>806.45</v>
      </c>
      <c r="AK98" s="5">
        <v>0</v>
      </c>
      <c r="AL98" s="5">
        <v>806.45</v>
      </c>
      <c r="AM98" s="8"/>
      <c r="AN98" s="8"/>
    </row>
    <row r="99" spans="1:40" ht="16" thickBot="1">
      <c r="A99" s="3">
        <v>98</v>
      </c>
      <c r="B99" s="19">
        <v>45935</v>
      </c>
      <c r="C99" s="5" t="s">
        <v>40</v>
      </c>
      <c r="D99" s="5" t="s">
        <v>41</v>
      </c>
      <c r="E99" s="6" t="s">
        <v>42</v>
      </c>
      <c r="F99" s="7" t="s">
        <v>60</v>
      </c>
      <c r="G99" s="5" t="s">
        <v>44</v>
      </c>
      <c r="H99" s="5" t="s">
        <v>45</v>
      </c>
      <c r="I99" s="5">
        <v>4</v>
      </c>
      <c r="J99" s="5">
        <v>8</v>
      </c>
      <c r="K99" s="5">
        <v>25000</v>
      </c>
      <c r="L99" s="5">
        <v>1000</v>
      </c>
      <c r="M99" s="5">
        <v>55</v>
      </c>
      <c r="N99" s="5">
        <v>31</v>
      </c>
      <c r="O99" s="6" t="s">
        <v>96</v>
      </c>
      <c r="P99" s="8"/>
      <c r="Q99" s="16">
        <v>5.486111111111111E-2</v>
      </c>
      <c r="R99" s="16">
        <v>0.18206018518518519</v>
      </c>
      <c r="S99" s="6">
        <v>112365</v>
      </c>
      <c r="T99" s="16">
        <v>0.31063657407407408</v>
      </c>
      <c r="U99" s="16">
        <v>0.3107638888888889</v>
      </c>
      <c r="V99" s="6">
        <v>112377</v>
      </c>
      <c r="W99" s="6">
        <v>30</v>
      </c>
      <c r="X99" s="6">
        <v>55</v>
      </c>
      <c r="Y99" s="12">
        <v>-25</v>
      </c>
      <c r="Z99" s="12">
        <v>12</v>
      </c>
      <c r="AA99" s="12">
        <v>12</v>
      </c>
      <c r="AB99" s="12">
        <v>0</v>
      </c>
      <c r="AC99" s="12">
        <v>0</v>
      </c>
      <c r="AD99" s="13">
        <v>0</v>
      </c>
      <c r="AE99" s="12">
        <v>0</v>
      </c>
      <c r="AF99" s="14">
        <v>0</v>
      </c>
      <c r="AG99" s="5">
        <v>0</v>
      </c>
      <c r="AH99" s="5">
        <v>0</v>
      </c>
      <c r="AI99" s="5">
        <v>0</v>
      </c>
      <c r="AJ99" s="5">
        <v>806.45</v>
      </c>
      <c r="AK99" s="5">
        <v>0</v>
      </c>
      <c r="AL99" s="5">
        <v>806.45</v>
      </c>
      <c r="AM99" s="8"/>
      <c r="AN99" s="8"/>
    </row>
    <row r="100" spans="1:40" ht="16" thickBot="1">
      <c r="A100" s="3">
        <v>99</v>
      </c>
      <c r="B100" s="19">
        <v>45935</v>
      </c>
      <c r="C100" s="5" t="s">
        <v>40</v>
      </c>
      <c r="D100" s="5" t="s">
        <v>41</v>
      </c>
      <c r="E100" s="6" t="s">
        <v>42</v>
      </c>
      <c r="F100" s="7" t="s">
        <v>97</v>
      </c>
      <c r="G100" s="5" t="s">
        <v>44</v>
      </c>
      <c r="H100" s="5" t="s">
        <v>45</v>
      </c>
      <c r="I100" s="5">
        <v>4</v>
      </c>
      <c r="J100" s="5">
        <v>8</v>
      </c>
      <c r="K100" s="5">
        <v>25000</v>
      </c>
      <c r="L100" s="5">
        <v>1000</v>
      </c>
      <c r="M100" s="5">
        <v>55</v>
      </c>
      <c r="N100" s="5">
        <v>31</v>
      </c>
      <c r="O100" s="6" t="s">
        <v>115</v>
      </c>
      <c r="P100" s="8"/>
      <c r="Q100" s="16">
        <v>0.11805555555555557</v>
      </c>
      <c r="R100" s="16">
        <v>0.17878472222222222</v>
      </c>
      <c r="S100" s="6">
        <v>76986</v>
      </c>
      <c r="T100" s="16">
        <v>0.3333564814814815</v>
      </c>
      <c r="U100" s="16">
        <v>0.33371527777777782</v>
      </c>
      <c r="V100" s="6">
        <v>77004</v>
      </c>
      <c r="W100" s="6">
        <v>23</v>
      </c>
      <c r="X100" s="6">
        <v>23</v>
      </c>
      <c r="Y100" s="12">
        <v>0</v>
      </c>
      <c r="Z100" s="12">
        <v>18</v>
      </c>
      <c r="AA100" s="12">
        <v>18</v>
      </c>
      <c r="AB100" s="12">
        <v>0</v>
      </c>
      <c r="AC100" s="12">
        <v>0</v>
      </c>
      <c r="AD100" s="13">
        <v>0</v>
      </c>
      <c r="AE100" s="12">
        <v>0</v>
      </c>
      <c r="AF100" s="14">
        <v>0</v>
      </c>
      <c r="AG100" s="5">
        <v>0</v>
      </c>
      <c r="AH100" s="5">
        <v>0</v>
      </c>
      <c r="AI100" s="5">
        <v>0</v>
      </c>
      <c r="AJ100" s="5">
        <v>806.45</v>
      </c>
      <c r="AK100" s="5">
        <v>0</v>
      </c>
      <c r="AL100" s="5">
        <v>806.45</v>
      </c>
      <c r="AM100" s="8"/>
      <c r="AN100" s="8"/>
    </row>
    <row r="101" spans="1:40" ht="16" thickBot="1">
      <c r="A101" s="3">
        <v>100</v>
      </c>
      <c r="B101" s="19">
        <v>45935</v>
      </c>
      <c r="C101" s="5" t="s">
        <v>40</v>
      </c>
      <c r="D101" s="5" t="s">
        <v>41</v>
      </c>
      <c r="E101" s="6" t="s">
        <v>42</v>
      </c>
      <c r="F101" s="7" t="s">
        <v>62</v>
      </c>
      <c r="G101" s="5" t="s">
        <v>44</v>
      </c>
      <c r="H101" s="5" t="s">
        <v>45</v>
      </c>
      <c r="I101" s="5">
        <v>6</v>
      </c>
      <c r="J101" s="5">
        <v>8</v>
      </c>
      <c r="K101" s="5">
        <v>33000</v>
      </c>
      <c r="L101" s="5">
        <v>2000</v>
      </c>
      <c r="M101" s="5">
        <v>55</v>
      </c>
      <c r="N101" s="5">
        <v>31</v>
      </c>
      <c r="O101" s="6" t="s">
        <v>106</v>
      </c>
      <c r="P101" s="8"/>
      <c r="Q101" s="16">
        <v>0.12152777777777778</v>
      </c>
      <c r="R101" s="16">
        <v>0.18349537037037036</v>
      </c>
      <c r="S101" s="6">
        <v>47178</v>
      </c>
      <c r="T101" s="16">
        <v>0.29912037037037037</v>
      </c>
      <c r="U101" s="16">
        <v>0.29922453703703705</v>
      </c>
      <c r="V101" s="6">
        <v>47196</v>
      </c>
      <c r="W101" s="6">
        <v>43</v>
      </c>
      <c r="X101" s="6">
        <v>43</v>
      </c>
      <c r="Y101" s="12">
        <v>0</v>
      </c>
      <c r="Z101" s="12">
        <v>18</v>
      </c>
      <c r="AA101" s="12">
        <v>18</v>
      </c>
      <c r="AB101" s="12">
        <v>0</v>
      </c>
      <c r="AC101" s="12">
        <v>0</v>
      </c>
      <c r="AD101" s="13">
        <v>0</v>
      </c>
      <c r="AE101" s="12">
        <v>0</v>
      </c>
      <c r="AF101" s="14">
        <v>0</v>
      </c>
      <c r="AG101" s="5">
        <v>0</v>
      </c>
      <c r="AH101" s="5">
        <v>0</v>
      </c>
      <c r="AI101" s="5">
        <v>0</v>
      </c>
      <c r="AJ101" s="5">
        <v>1064.52</v>
      </c>
      <c r="AK101" s="5">
        <v>0</v>
      </c>
      <c r="AL101" s="5">
        <v>1064.52</v>
      </c>
      <c r="AM101" s="8"/>
      <c r="AN101" s="8"/>
    </row>
    <row r="102" spans="1:40" ht="16" thickBot="1">
      <c r="A102" s="3">
        <v>101</v>
      </c>
      <c r="B102" s="19">
        <v>45935</v>
      </c>
      <c r="C102" s="5" t="s">
        <v>40</v>
      </c>
      <c r="D102" s="5" t="s">
        <v>41</v>
      </c>
      <c r="E102" s="6" t="s">
        <v>42</v>
      </c>
      <c r="F102" s="7" t="s">
        <v>101</v>
      </c>
      <c r="G102" s="5" t="s">
        <v>44</v>
      </c>
      <c r="H102" s="5" t="s">
        <v>45</v>
      </c>
      <c r="I102" s="5">
        <v>4</v>
      </c>
      <c r="J102" s="5">
        <v>8</v>
      </c>
      <c r="K102" s="5">
        <v>25000</v>
      </c>
      <c r="L102" s="5">
        <v>1000</v>
      </c>
      <c r="M102" s="5">
        <v>55</v>
      </c>
      <c r="N102" s="5">
        <v>31</v>
      </c>
      <c r="O102" s="6" t="s">
        <v>69</v>
      </c>
      <c r="P102" s="8"/>
      <c r="Q102" s="16">
        <v>0.14166666666666666</v>
      </c>
      <c r="R102" s="16">
        <v>0.1887615740740741</v>
      </c>
      <c r="S102" s="6">
        <v>117390</v>
      </c>
      <c r="T102" s="16">
        <v>0.33208333333333334</v>
      </c>
      <c r="U102" s="16">
        <v>0.33273148148148146</v>
      </c>
      <c r="V102" s="6">
        <v>117398</v>
      </c>
      <c r="W102" s="6">
        <v>0</v>
      </c>
      <c r="X102" s="6">
        <v>0</v>
      </c>
      <c r="Y102" s="12">
        <v>0</v>
      </c>
      <c r="Z102" s="12">
        <v>8</v>
      </c>
      <c r="AA102" s="12">
        <v>8</v>
      </c>
      <c r="AB102" s="12">
        <v>0</v>
      </c>
      <c r="AC102" s="12">
        <v>0</v>
      </c>
      <c r="AD102" s="13">
        <v>0</v>
      </c>
      <c r="AE102" s="12">
        <v>0</v>
      </c>
      <c r="AF102" s="14">
        <v>0</v>
      </c>
      <c r="AG102" s="5">
        <v>0</v>
      </c>
      <c r="AH102" s="5">
        <v>0</v>
      </c>
      <c r="AI102" s="5">
        <v>0</v>
      </c>
      <c r="AJ102" s="5">
        <v>806.45</v>
      </c>
      <c r="AK102" s="5">
        <v>0</v>
      </c>
      <c r="AL102" s="5">
        <v>806.45</v>
      </c>
      <c r="AM102" s="8"/>
      <c r="AN102" s="8"/>
    </row>
    <row r="103" spans="1:40" ht="16" thickBot="1">
      <c r="A103" s="3">
        <v>102</v>
      </c>
      <c r="B103" s="19">
        <v>45935</v>
      </c>
      <c r="C103" s="5" t="s">
        <v>40</v>
      </c>
      <c r="D103" s="5" t="s">
        <v>41</v>
      </c>
      <c r="E103" s="6" t="s">
        <v>42</v>
      </c>
      <c r="F103" s="7" t="s">
        <v>64</v>
      </c>
      <c r="G103" s="5" t="s">
        <v>44</v>
      </c>
      <c r="H103" s="5" t="s">
        <v>45</v>
      </c>
      <c r="I103" s="5">
        <v>4</v>
      </c>
      <c r="J103" s="5">
        <v>8</v>
      </c>
      <c r="K103" s="5">
        <v>25000</v>
      </c>
      <c r="L103" s="5">
        <v>1000</v>
      </c>
      <c r="M103" s="5">
        <v>55</v>
      </c>
      <c r="N103" s="5">
        <v>31</v>
      </c>
      <c r="O103" s="6" t="s">
        <v>130</v>
      </c>
      <c r="P103" s="8"/>
      <c r="Q103" s="16">
        <v>5.2777777777777778E-2</v>
      </c>
      <c r="R103" s="16">
        <v>0.17916666666666667</v>
      </c>
      <c r="S103" s="6">
        <v>74079</v>
      </c>
      <c r="T103" s="16">
        <v>0.32594907407407409</v>
      </c>
      <c r="U103" s="16">
        <v>0.32613425925925926</v>
      </c>
      <c r="V103" s="6">
        <v>74124</v>
      </c>
      <c r="W103" s="6">
        <v>28</v>
      </c>
      <c r="X103" s="6">
        <v>28</v>
      </c>
      <c r="Y103" s="12">
        <v>0</v>
      </c>
      <c r="Z103" s="12">
        <v>45</v>
      </c>
      <c r="AA103" s="12">
        <v>45</v>
      </c>
      <c r="AB103" s="12">
        <v>0</v>
      </c>
      <c r="AC103" s="12">
        <v>0</v>
      </c>
      <c r="AD103" s="13">
        <v>0</v>
      </c>
      <c r="AE103" s="12">
        <v>0</v>
      </c>
      <c r="AF103" s="14">
        <v>0</v>
      </c>
      <c r="AG103" s="5">
        <v>0</v>
      </c>
      <c r="AH103" s="5">
        <v>0</v>
      </c>
      <c r="AI103" s="5">
        <v>0</v>
      </c>
      <c r="AJ103" s="5">
        <v>806.45</v>
      </c>
      <c r="AK103" s="5">
        <v>0</v>
      </c>
      <c r="AL103" s="5">
        <v>806.45</v>
      </c>
      <c r="AM103" s="8"/>
      <c r="AN103" s="8"/>
    </row>
    <row r="104" spans="1:40" ht="16" thickBot="1">
      <c r="A104" s="3">
        <v>103</v>
      </c>
      <c r="B104" s="19">
        <v>45935</v>
      </c>
      <c r="C104" s="5" t="s">
        <v>40</v>
      </c>
      <c r="D104" s="5" t="s">
        <v>41</v>
      </c>
      <c r="E104" s="6" t="s">
        <v>42</v>
      </c>
      <c r="F104" s="7" t="s">
        <v>68</v>
      </c>
      <c r="G104" s="5" t="s">
        <v>44</v>
      </c>
      <c r="H104" s="5" t="s">
        <v>45</v>
      </c>
      <c r="I104" s="5">
        <v>4</v>
      </c>
      <c r="J104" s="5">
        <v>8</v>
      </c>
      <c r="K104" s="5">
        <v>25000</v>
      </c>
      <c r="L104" s="5">
        <v>1000</v>
      </c>
      <c r="M104" s="5">
        <v>55</v>
      </c>
      <c r="N104" s="5">
        <v>31</v>
      </c>
      <c r="O104" s="6" t="s">
        <v>61</v>
      </c>
      <c r="P104" s="8"/>
      <c r="Q104" s="16">
        <v>5.4166666666666669E-2</v>
      </c>
      <c r="R104" s="16">
        <v>0.18068287037037037</v>
      </c>
      <c r="S104" s="6">
        <v>82771</v>
      </c>
      <c r="T104" s="16">
        <v>0.31114583333333334</v>
      </c>
      <c r="U104" s="16">
        <v>0.31122685185185184</v>
      </c>
      <c r="V104" s="6">
        <v>82786</v>
      </c>
      <c r="W104" s="6">
        <v>39</v>
      </c>
      <c r="X104" s="6">
        <v>39</v>
      </c>
      <c r="Y104" s="12">
        <v>0</v>
      </c>
      <c r="Z104" s="12">
        <v>15</v>
      </c>
      <c r="AA104" s="12">
        <v>15</v>
      </c>
      <c r="AB104" s="12">
        <v>0</v>
      </c>
      <c r="AC104" s="12">
        <v>0</v>
      </c>
      <c r="AD104" s="13">
        <v>0</v>
      </c>
      <c r="AE104" s="12">
        <v>0</v>
      </c>
      <c r="AF104" s="14">
        <v>0</v>
      </c>
      <c r="AG104" s="5">
        <v>0</v>
      </c>
      <c r="AH104" s="5">
        <v>0</v>
      </c>
      <c r="AI104" s="5">
        <v>0</v>
      </c>
      <c r="AJ104" s="5">
        <v>806.45</v>
      </c>
      <c r="AK104" s="5">
        <v>0</v>
      </c>
      <c r="AL104" s="5">
        <v>806.45</v>
      </c>
      <c r="AM104" s="8"/>
      <c r="AN104" s="8"/>
    </row>
    <row r="105" spans="1:40" ht="16" thickBot="1">
      <c r="A105" s="3">
        <v>104</v>
      </c>
      <c r="B105" s="19">
        <v>45935</v>
      </c>
      <c r="C105" s="5" t="s">
        <v>40</v>
      </c>
      <c r="D105" s="5" t="s">
        <v>41</v>
      </c>
      <c r="E105" s="6" t="s">
        <v>42</v>
      </c>
      <c r="F105" s="7" t="s">
        <v>70</v>
      </c>
      <c r="G105" s="5" t="s">
        <v>44</v>
      </c>
      <c r="H105" s="5" t="s">
        <v>45</v>
      </c>
      <c r="I105" s="5">
        <v>4</v>
      </c>
      <c r="J105" s="5">
        <v>8</v>
      </c>
      <c r="K105" s="5">
        <v>25000</v>
      </c>
      <c r="L105" s="5">
        <v>1000</v>
      </c>
      <c r="M105" s="5">
        <v>55</v>
      </c>
      <c r="N105" s="5">
        <v>31</v>
      </c>
      <c r="O105" s="6" t="s">
        <v>118</v>
      </c>
      <c r="P105" s="8"/>
      <c r="Q105" s="16">
        <v>9.1666666666666674E-2</v>
      </c>
      <c r="R105" s="16">
        <v>0.18578703703703703</v>
      </c>
      <c r="S105" s="6">
        <v>36131</v>
      </c>
      <c r="T105" s="16">
        <v>0.29571759259259262</v>
      </c>
      <c r="U105" s="16">
        <v>0.29593750000000002</v>
      </c>
      <c r="V105" s="6">
        <v>36161</v>
      </c>
      <c r="W105" s="6">
        <v>46</v>
      </c>
      <c r="X105" s="6">
        <v>46</v>
      </c>
      <c r="Y105" s="12">
        <v>0</v>
      </c>
      <c r="Z105" s="12">
        <v>30</v>
      </c>
      <c r="AA105" s="12">
        <v>30</v>
      </c>
      <c r="AB105" s="12">
        <v>0</v>
      </c>
      <c r="AC105" s="12">
        <v>0</v>
      </c>
      <c r="AD105" s="13">
        <v>0</v>
      </c>
      <c r="AE105" s="12">
        <v>0</v>
      </c>
      <c r="AF105" s="14">
        <v>0</v>
      </c>
      <c r="AG105" s="5">
        <v>0</v>
      </c>
      <c r="AH105" s="5">
        <v>0</v>
      </c>
      <c r="AI105" s="5">
        <v>0</v>
      </c>
      <c r="AJ105" s="5">
        <v>806.45</v>
      </c>
      <c r="AK105" s="5">
        <v>0</v>
      </c>
      <c r="AL105" s="5">
        <v>806.45</v>
      </c>
      <c r="AM105" s="8"/>
      <c r="AN105" s="8"/>
    </row>
    <row r="106" spans="1:40" ht="16" thickBot="1">
      <c r="A106" s="3">
        <v>105</v>
      </c>
      <c r="B106" s="19">
        <v>45935</v>
      </c>
      <c r="C106" s="5" t="s">
        <v>40</v>
      </c>
      <c r="D106" s="5" t="s">
        <v>41</v>
      </c>
      <c r="E106" s="6" t="s">
        <v>42</v>
      </c>
      <c r="F106" s="7" t="s">
        <v>72</v>
      </c>
      <c r="G106" s="5" t="s">
        <v>44</v>
      </c>
      <c r="H106" s="5" t="s">
        <v>45</v>
      </c>
      <c r="I106" s="5">
        <v>6</v>
      </c>
      <c r="J106" s="5">
        <v>8</v>
      </c>
      <c r="K106" s="5">
        <v>33000</v>
      </c>
      <c r="L106" s="5">
        <v>2000</v>
      </c>
      <c r="M106" s="5">
        <v>55</v>
      </c>
      <c r="N106" s="5">
        <v>31</v>
      </c>
      <c r="O106" s="6" t="s">
        <v>73</v>
      </c>
      <c r="P106" s="8"/>
      <c r="Q106" s="16">
        <v>4.8611111111111112E-2</v>
      </c>
      <c r="R106" s="16">
        <v>0.17878472222222222</v>
      </c>
      <c r="S106" s="6">
        <v>32032</v>
      </c>
      <c r="T106" s="16">
        <v>0.30711805555555555</v>
      </c>
      <c r="U106" s="16">
        <v>0.3119675925925926</v>
      </c>
      <c r="V106" s="6">
        <v>32098</v>
      </c>
      <c r="W106" s="6">
        <v>27</v>
      </c>
      <c r="X106" s="6">
        <v>28</v>
      </c>
      <c r="Y106" s="12">
        <v>-1</v>
      </c>
      <c r="Z106" s="12">
        <v>66</v>
      </c>
      <c r="AA106" s="12">
        <v>66</v>
      </c>
      <c r="AB106" s="12">
        <v>0</v>
      </c>
      <c r="AC106" s="12">
        <v>0</v>
      </c>
      <c r="AD106" s="13">
        <v>0</v>
      </c>
      <c r="AE106" s="12">
        <v>0</v>
      </c>
      <c r="AF106" s="14">
        <v>0</v>
      </c>
      <c r="AG106" s="5">
        <v>0</v>
      </c>
      <c r="AH106" s="5">
        <v>0</v>
      </c>
      <c r="AI106" s="5">
        <v>0</v>
      </c>
      <c r="AJ106" s="5">
        <v>1064.52</v>
      </c>
      <c r="AK106" s="5">
        <v>0</v>
      </c>
      <c r="AL106" s="5">
        <v>1064.52</v>
      </c>
      <c r="AM106" s="8"/>
      <c r="AN106" s="8"/>
    </row>
    <row r="107" spans="1:40" ht="16" thickBot="1">
      <c r="A107" s="3">
        <v>106</v>
      </c>
      <c r="B107" s="19">
        <v>45935</v>
      </c>
      <c r="C107" s="5" t="s">
        <v>40</v>
      </c>
      <c r="D107" s="5" t="s">
        <v>41</v>
      </c>
      <c r="E107" s="6" t="s">
        <v>42</v>
      </c>
      <c r="F107" s="7" t="s">
        <v>74</v>
      </c>
      <c r="G107" s="5" t="s">
        <v>44</v>
      </c>
      <c r="H107" s="5" t="s">
        <v>45</v>
      </c>
      <c r="I107" s="5">
        <v>4</v>
      </c>
      <c r="J107" s="5">
        <v>8</v>
      </c>
      <c r="K107" s="5">
        <v>25000</v>
      </c>
      <c r="L107" s="5">
        <v>1000</v>
      </c>
      <c r="M107" s="5">
        <v>55</v>
      </c>
      <c r="N107" s="5">
        <v>31</v>
      </c>
      <c r="O107" s="6" t="s">
        <v>69</v>
      </c>
      <c r="P107" s="8"/>
      <c r="Q107" s="16">
        <v>5.347222222222222E-2</v>
      </c>
      <c r="R107" s="16">
        <v>0.18129629629629629</v>
      </c>
      <c r="S107" s="6">
        <v>37414</v>
      </c>
      <c r="T107" s="16">
        <v>0.30614583333333334</v>
      </c>
      <c r="U107" s="16">
        <v>0.30627314814814816</v>
      </c>
      <c r="V107" s="6">
        <v>37432</v>
      </c>
      <c r="W107" s="6">
        <v>71</v>
      </c>
      <c r="X107" s="6">
        <v>61</v>
      </c>
      <c r="Y107" s="12">
        <v>10</v>
      </c>
      <c r="Z107" s="12">
        <v>18</v>
      </c>
      <c r="AA107" s="12">
        <v>18</v>
      </c>
      <c r="AB107" s="12">
        <v>0</v>
      </c>
      <c r="AC107" s="12">
        <v>0</v>
      </c>
      <c r="AD107" s="13">
        <v>0</v>
      </c>
      <c r="AE107" s="12">
        <v>0</v>
      </c>
      <c r="AF107" s="14">
        <v>0</v>
      </c>
      <c r="AG107" s="5">
        <v>0</v>
      </c>
      <c r="AH107" s="5">
        <v>0</v>
      </c>
      <c r="AI107" s="5">
        <v>0</v>
      </c>
      <c r="AJ107" s="5">
        <v>806.45</v>
      </c>
      <c r="AK107" s="5">
        <v>0</v>
      </c>
      <c r="AL107" s="5">
        <v>806.45</v>
      </c>
      <c r="AM107" s="8"/>
      <c r="AN107" s="8"/>
    </row>
    <row r="108" spans="1:40" ht="16" thickBot="1">
      <c r="A108" s="3">
        <v>107</v>
      </c>
      <c r="B108" s="19">
        <v>45935</v>
      </c>
      <c r="C108" s="5" t="s">
        <v>40</v>
      </c>
      <c r="D108" s="5" t="s">
        <v>41</v>
      </c>
      <c r="E108" s="6" t="s">
        <v>42</v>
      </c>
      <c r="F108" s="7" t="s">
        <v>78</v>
      </c>
      <c r="G108" s="5" t="s">
        <v>44</v>
      </c>
      <c r="H108" s="5" t="s">
        <v>45</v>
      </c>
      <c r="I108" s="5">
        <v>4</v>
      </c>
      <c r="J108" s="5">
        <v>8</v>
      </c>
      <c r="K108" s="5">
        <v>25000</v>
      </c>
      <c r="L108" s="5">
        <v>1000</v>
      </c>
      <c r="M108" s="5">
        <v>55</v>
      </c>
      <c r="N108" s="5">
        <v>31</v>
      </c>
      <c r="O108" s="6" t="s">
        <v>79</v>
      </c>
      <c r="P108" s="8"/>
      <c r="Q108" s="16">
        <v>7.0833333333333331E-2</v>
      </c>
      <c r="R108" s="16">
        <v>0.18001157407407409</v>
      </c>
      <c r="S108" s="6">
        <v>6584</v>
      </c>
      <c r="T108" s="16">
        <v>0.31093750000000003</v>
      </c>
      <c r="U108" s="16">
        <v>0.31101851851851853</v>
      </c>
      <c r="V108" s="6">
        <v>6610</v>
      </c>
      <c r="W108" s="6">
        <v>36</v>
      </c>
      <c r="X108" s="6">
        <v>36</v>
      </c>
      <c r="Y108" s="12">
        <v>0</v>
      </c>
      <c r="Z108" s="12">
        <v>26</v>
      </c>
      <c r="AA108" s="12">
        <v>26</v>
      </c>
      <c r="AB108" s="12">
        <v>0</v>
      </c>
      <c r="AC108" s="12">
        <v>0</v>
      </c>
      <c r="AD108" s="13">
        <v>0</v>
      </c>
      <c r="AE108" s="12">
        <v>0</v>
      </c>
      <c r="AF108" s="14">
        <v>0</v>
      </c>
      <c r="AG108" s="5">
        <v>0</v>
      </c>
      <c r="AH108" s="5">
        <v>0</v>
      </c>
      <c r="AI108" s="5">
        <v>0</v>
      </c>
      <c r="AJ108" s="5">
        <v>806.45</v>
      </c>
      <c r="AK108" s="5">
        <v>0</v>
      </c>
      <c r="AL108" s="5">
        <v>806.45</v>
      </c>
      <c r="AM108" s="8"/>
      <c r="AN108" s="8"/>
    </row>
    <row r="109" spans="1:40" ht="16" thickBot="1">
      <c r="A109" s="3">
        <v>108</v>
      </c>
      <c r="B109" s="19">
        <v>45935</v>
      </c>
      <c r="C109" s="5" t="s">
        <v>40</v>
      </c>
      <c r="D109" s="5" t="s">
        <v>41</v>
      </c>
      <c r="E109" s="6" t="s">
        <v>42</v>
      </c>
      <c r="F109" s="7" t="s">
        <v>80</v>
      </c>
      <c r="G109" s="5" t="s">
        <v>44</v>
      </c>
      <c r="H109" s="5" t="s">
        <v>45</v>
      </c>
      <c r="I109" s="5">
        <v>4</v>
      </c>
      <c r="J109" s="5">
        <v>8</v>
      </c>
      <c r="K109" s="5">
        <v>25000</v>
      </c>
      <c r="L109" s="5">
        <v>1000</v>
      </c>
      <c r="M109" s="5">
        <v>55</v>
      </c>
      <c r="N109" s="5">
        <v>31</v>
      </c>
      <c r="O109" s="6" t="s">
        <v>54</v>
      </c>
      <c r="P109" s="8"/>
      <c r="Q109" s="16">
        <v>5.4166666666666669E-2</v>
      </c>
      <c r="R109" s="16">
        <v>0.18224537037037036</v>
      </c>
      <c r="S109" s="6">
        <v>3665</v>
      </c>
      <c r="T109" s="16">
        <v>0.30646990740740737</v>
      </c>
      <c r="U109" s="16">
        <v>0.31185185185185188</v>
      </c>
      <c r="V109" s="6">
        <v>3688</v>
      </c>
      <c r="W109" s="6">
        <v>37</v>
      </c>
      <c r="X109" s="6">
        <v>32</v>
      </c>
      <c r="Y109" s="12">
        <v>5</v>
      </c>
      <c r="Z109" s="12">
        <v>23</v>
      </c>
      <c r="AA109" s="12">
        <v>23</v>
      </c>
      <c r="AB109" s="12">
        <v>0</v>
      </c>
      <c r="AC109" s="12">
        <v>0</v>
      </c>
      <c r="AD109" s="13">
        <v>0</v>
      </c>
      <c r="AE109" s="12">
        <v>0</v>
      </c>
      <c r="AF109" s="14">
        <v>0</v>
      </c>
      <c r="AG109" s="5">
        <v>0</v>
      </c>
      <c r="AH109" s="5">
        <v>0</v>
      </c>
      <c r="AI109" s="5">
        <v>0</v>
      </c>
      <c r="AJ109" s="5">
        <v>806.45</v>
      </c>
      <c r="AK109" s="5">
        <v>0</v>
      </c>
      <c r="AL109" s="5">
        <v>806.45</v>
      </c>
      <c r="AM109" s="8"/>
      <c r="AN109" s="8"/>
    </row>
    <row r="110" spans="1:40" ht="16" thickBot="1">
      <c r="A110" s="3">
        <v>109</v>
      </c>
      <c r="B110" s="19">
        <v>45935</v>
      </c>
      <c r="C110" s="5" t="s">
        <v>40</v>
      </c>
      <c r="D110" s="5" t="s">
        <v>41</v>
      </c>
      <c r="E110" s="6" t="s">
        <v>42</v>
      </c>
      <c r="F110" s="7" t="s">
        <v>85</v>
      </c>
      <c r="G110" s="10" t="s">
        <v>83</v>
      </c>
      <c r="H110" s="5" t="s">
        <v>84</v>
      </c>
      <c r="I110" s="5">
        <v>4</v>
      </c>
      <c r="J110" s="5">
        <v>10</v>
      </c>
      <c r="K110" s="6">
        <v>29000</v>
      </c>
      <c r="L110" s="5">
        <v>1000</v>
      </c>
      <c r="M110" s="5">
        <v>55</v>
      </c>
      <c r="N110" s="5">
        <v>31</v>
      </c>
      <c r="O110" s="6" t="s">
        <v>107</v>
      </c>
      <c r="P110" s="8"/>
      <c r="Q110" s="16">
        <v>6.5277777777777782E-2</v>
      </c>
      <c r="R110" s="16">
        <v>0.18005787037037035</v>
      </c>
      <c r="S110" s="6">
        <v>37948</v>
      </c>
      <c r="T110" s="16">
        <v>0.30334490740740744</v>
      </c>
      <c r="U110" s="16">
        <v>0.30344907407407407</v>
      </c>
      <c r="V110" s="6">
        <v>37967</v>
      </c>
      <c r="W110" s="6">
        <v>50</v>
      </c>
      <c r="X110" s="6">
        <v>50</v>
      </c>
      <c r="Y110" s="12">
        <v>0</v>
      </c>
      <c r="Z110" s="12">
        <v>19</v>
      </c>
      <c r="AA110" s="12">
        <v>19</v>
      </c>
      <c r="AB110" s="12">
        <v>0</v>
      </c>
      <c r="AC110" s="12">
        <v>0</v>
      </c>
      <c r="AD110" s="13">
        <v>0</v>
      </c>
      <c r="AE110" s="12">
        <v>0</v>
      </c>
      <c r="AF110" s="14">
        <v>0</v>
      </c>
      <c r="AG110" s="5">
        <v>0</v>
      </c>
      <c r="AH110" s="5">
        <v>0</v>
      </c>
      <c r="AI110" s="5">
        <v>0</v>
      </c>
      <c r="AJ110" s="5">
        <v>935.48</v>
      </c>
      <c r="AK110" s="5">
        <v>0</v>
      </c>
      <c r="AL110" s="5">
        <v>935.48</v>
      </c>
      <c r="AM110" s="8"/>
      <c r="AN110" s="8"/>
    </row>
    <row r="111" spans="1:40" ht="16" thickBot="1">
      <c r="A111" s="3">
        <v>110</v>
      </c>
      <c r="B111" s="19">
        <v>45935</v>
      </c>
      <c r="C111" s="5" t="s">
        <v>40</v>
      </c>
      <c r="D111" s="5" t="s">
        <v>41</v>
      </c>
      <c r="E111" s="6" t="s">
        <v>42</v>
      </c>
      <c r="F111" s="7" t="s">
        <v>87</v>
      </c>
      <c r="G111" s="10" t="s">
        <v>83</v>
      </c>
      <c r="H111" s="5" t="s">
        <v>84</v>
      </c>
      <c r="I111" s="5">
        <v>4</v>
      </c>
      <c r="J111" s="5">
        <v>10</v>
      </c>
      <c r="K111" s="6">
        <v>29000</v>
      </c>
      <c r="L111" s="5">
        <v>1000</v>
      </c>
      <c r="M111" s="5">
        <v>55</v>
      </c>
      <c r="N111" s="5">
        <v>31</v>
      </c>
      <c r="O111" s="6" t="s">
        <v>131</v>
      </c>
      <c r="P111" s="8"/>
      <c r="Q111" s="16">
        <v>0.11944444444444445</v>
      </c>
      <c r="R111" s="16">
        <v>0.17936342592592591</v>
      </c>
      <c r="S111" s="6">
        <v>2690</v>
      </c>
      <c r="T111" s="16">
        <v>0.31004629629629626</v>
      </c>
      <c r="U111" s="16">
        <v>0.31033564814814812</v>
      </c>
      <c r="V111" s="6">
        <v>2708</v>
      </c>
      <c r="W111" s="6">
        <v>68</v>
      </c>
      <c r="X111" s="6">
        <v>68</v>
      </c>
      <c r="Y111" s="12">
        <v>0</v>
      </c>
      <c r="Z111" s="12">
        <v>18</v>
      </c>
      <c r="AA111" s="12">
        <v>18</v>
      </c>
      <c r="AB111" s="12">
        <v>0</v>
      </c>
      <c r="AC111" s="12">
        <v>0</v>
      </c>
      <c r="AD111" s="13">
        <v>0</v>
      </c>
      <c r="AE111" s="12">
        <v>0</v>
      </c>
      <c r="AF111" s="14">
        <v>0</v>
      </c>
      <c r="AG111" s="5">
        <v>0</v>
      </c>
      <c r="AH111" s="5">
        <v>0</v>
      </c>
      <c r="AI111" s="5">
        <v>0</v>
      </c>
      <c r="AJ111" s="5">
        <v>935.48</v>
      </c>
      <c r="AK111" s="5">
        <v>0</v>
      </c>
      <c r="AL111" s="5">
        <v>935.48</v>
      </c>
      <c r="AM111" s="8"/>
      <c r="AN111" s="8"/>
    </row>
    <row r="112" spans="1:40" ht="16" thickBot="1">
      <c r="A112" s="3">
        <v>111</v>
      </c>
      <c r="B112" s="19">
        <v>45936</v>
      </c>
      <c r="C112" s="5" t="s">
        <v>40</v>
      </c>
      <c r="D112" s="5" t="s">
        <v>41</v>
      </c>
      <c r="E112" s="6" t="s">
        <v>42</v>
      </c>
      <c r="F112" s="7" t="s">
        <v>43</v>
      </c>
      <c r="G112" s="5" t="s">
        <v>44</v>
      </c>
      <c r="H112" s="5" t="s">
        <v>45</v>
      </c>
      <c r="I112" s="5">
        <v>4</v>
      </c>
      <c r="J112" s="5">
        <v>8</v>
      </c>
      <c r="K112" s="5">
        <v>25000</v>
      </c>
      <c r="L112" s="5">
        <v>1000</v>
      </c>
      <c r="M112" s="5">
        <v>55</v>
      </c>
      <c r="N112" s="5">
        <v>31</v>
      </c>
      <c r="O112" s="17" t="s">
        <v>46</v>
      </c>
      <c r="P112" s="8"/>
      <c r="Q112" s="18">
        <v>4.9305555555555554E-2</v>
      </c>
      <c r="R112" s="18">
        <v>0.17385416666666667</v>
      </c>
      <c r="S112" s="17">
        <v>55678</v>
      </c>
      <c r="T112" s="18">
        <v>0.33988425925925925</v>
      </c>
      <c r="U112" s="18">
        <v>0.33997685185185184</v>
      </c>
      <c r="V112" s="17">
        <v>55678</v>
      </c>
      <c r="W112" s="17">
        <v>0</v>
      </c>
      <c r="X112" s="17">
        <v>49</v>
      </c>
      <c r="Y112" s="12">
        <v>-49</v>
      </c>
      <c r="Z112" s="12">
        <v>0</v>
      </c>
      <c r="AA112" s="12">
        <v>0</v>
      </c>
      <c r="AB112" s="12">
        <v>0</v>
      </c>
      <c r="AC112" s="12">
        <v>0</v>
      </c>
      <c r="AD112" s="13">
        <v>1</v>
      </c>
      <c r="AE112" s="12">
        <v>150</v>
      </c>
      <c r="AF112" s="14">
        <v>0</v>
      </c>
      <c r="AG112" s="5">
        <v>0</v>
      </c>
      <c r="AH112" s="5">
        <v>0</v>
      </c>
      <c r="AI112" s="5">
        <v>0</v>
      </c>
      <c r="AJ112" s="5">
        <v>956.45</v>
      </c>
      <c r="AK112" s="5">
        <v>0</v>
      </c>
      <c r="AL112" s="5">
        <v>956.45</v>
      </c>
      <c r="AM112" s="8"/>
      <c r="AN112" s="8"/>
    </row>
    <row r="113" spans="1:40" ht="16" thickBot="1">
      <c r="A113" s="3">
        <v>112</v>
      </c>
      <c r="B113" s="19">
        <v>45936</v>
      </c>
      <c r="C113" s="5" t="s">
        <v>40</v>
      </c>
      <c r="D113" s="5" t="s">
        <v>41</v>
      </c>
      <c r="E113" s="6" t="s">
        <v>42</v>
      </c>
      <c r="F113" s="7" t="s">
        <v>132</v>
      </c>
      <c r="G113" s="5" t="s">
        <v>44</v>
      </c>
      <c r="H113" s="5" t="s">
        <v>45</v>
      </c>
      <c r="I113" s="5">
        <v>4</v>
      </c>
      <c r="J113" s="5">
        <v>8</v>
      </c>
      <c r="K113" s="5">
        <v>25000</v>
      </c>
      <c r="L113" s="5">
        <v>1000</v>
      </c>
      <c r="M113" s="5">
        <v>55</v>
      </c>
      <c r="N113" s="5">
        <v>31</v>
      </c>
      <c r="O113" s="17" t="s">
        <v>133</v>
      </c>
      <c r="P113" s="8"/>
      <c r="Q113" s="18">
        <v>0.10486111111111111</v>
      </c>
      <c r="R113" s="18">
        <v>0.17984953703703702</v>
      </c>
      <c r="S113" s="17">
        <v>109651</v>
      </c>
      <c r="T113" s="18">
        <v>0.29733796296296294</v>
      </c>
      <c r="U113" s="18">
        <v>0.29744212962962963</v>
      </c>
      <c r="V113" s="17">
        <v>109662</v>
      </c>
      <c r="W113" s="17">
        <v>33</v>
      </c>
      <c r="X113" s="17">
        <v>33</v>
      </c>
      <c r="Y113" s="12">
        <v>0</v>
      </c>
      <c r="Z113" s="12">
        <v>11</v>
      </c>
      <c r="AA113" s="12">
        <v>11</v>
      </c>
      <c r="AB113" s="12">
        <v>0</v>
      </c>
      <c r="AC113" s="12">
        <v>0</v>
      </c>
      <c r="AD113" s="13">
        <v>0</v>
      </c>
      <c r="AE113" s="12">
        <v>0</v>
      </c>
      <c r="AF113" s="14">
        <v>0</v>
      </c>
      <c r="AG113" s="5">
        <v>0</v>
      </c>
      <c r="AH113" s="5">
        <v>0</v>
      </c>
      <c r="AI113" s="5">
        <v>0</v>
      </c>
      <c r="AJ113" s="5">
        <v>806.45</v>
      </c>
      <c r="AK113" s="5">
        <v>0</v>
      </c>
      <c r="AL113" s="5">
        <v>806.45</v>
      </c>
      <c r="AM113" s="8"/>
      <c r="AN113" s="8"/>
    </row>
    <row r="114" spans="1:40" ht="16" thickBot="1">
      <c r="A114" s="3">
        <v>113</v>
      </c>
      <c r="B114" s="19">
        <v>45936</v>
      </c>
      <c r="C114" s="5" t="s">
        <v>40</v>
      </c>
      <c r="D114" s="5" t="s">
        <v>41</v>
      </c>
      <c r="E114" s="6" t="s">
        <v>42</v>
      </c>
      <c r="F114" s="7" t="s">
        <v>49</v>
      </c>
      <c r="G114" s="5" t="s">
        <v>44</v>
      </c>
      <c r="H114" s="5" t="s">
        <v>45</v>
      </c>
      <c r="I114" s="5">
        <v>6</v>
      </c>
      <c r="J114" s="5">
        <v>8</v>
      </c>
      <c r="K114" s="5">
        <v>33000</v>
      </c>
      <c r="L114" s="5">
        <v>2000</v>
      </c>
      <c r="M114" s="5">
        <v>55</v>
      </c>
      <c r="N114" s="5">
        <v>31</v>
      </c>
      <c r="O114" s="17" t="s">
        <v>91</v>
      </c>
      <c r="P114" s="8"/>
      <c r="Q114" s="18">
        <v>4.5833333333333337E-2</v>
      </c>
      <c r="R114" s="18">
        <v>0.18649305555555554</v>
      </c>
      <c r="S114" s="17">
        <v>98857</v>
      </c>
      <c r="T114" s="18">
        <v>0.35248842592592594</v>
      </c>
      <c r="U114" s="18">
        <v>0.3528587962962963</v>
      </c>
      <c r="V114" s="17">
        <v>98911</v>
      </c>
      <c r="W114" s="17">
        <v>61</v>
      </c>
      <c r="X114" s="17">
        <v>61</v>
      </c>
      <c r="Y114" s="12">
        <v>0</v>
      </c>
      <c r="Z114" s="12">
        <v>54</v>
      </c>
      <c r="AA114" s="12">
        <v>54</v>
      </c>
      <c r="AB114" s="12">
        <v>0</v>
      </c>
      <c r="AC114" s="12">
        <v>0</v>
      </c>
      <c r="AD114" s="13">
        <v>0</v>
      </c>
      <c r="AE114" s="12">
        <v>0</v>
      </c>
      <c r="AF114" s="14">
        <v>0</v>
      </c>
      <c r="AG114" s="5">
        <v>0</v>
      </c>
      <c r="AH114" s="5">
        <v>0</v>
      </c>
      <c r="AI114" s="5">
        <v>0</v>
      </c>
      <c r="AJ114" s="5">
        <v>1064.52</v>
      </c>
      <c r="AK114" s="5">
        <v>0</v>
      </c>
      <c r="AL114" s="5">
        <v>1064.52</v>
      </c>
      <c r="AM114" s="8"/>
      <c r="AN114" s="8"/>
    </row>
    <row r="115" spans="1:40" ht="16" thickBot="1">
      <c r="A115" s="3">
        <v>114</v>
      </c>
      <c r="B115" s="19">
        <v>45936</v>
      </c>
      <c r="C115" s="5" t="s">
        <v>40</v>
      </c>
      <c r="D115" s="5" t="s">
        <v>41</v>
      </c>
      <c r="E115" s="6" t="s">
        <v>42</v>
      </c>
      <c r="F115" s="7" t="s">
        <v>120</v>
      </c>
      <c r="G115" s="5" t="s">
        <v>44</v>
      </c>
      <c r="H115" s="5" t="s">
        <v>45</v>
      </c>
      <c r="I115" s="5">
        <v>4</v>
      </c>
      <c r="J115" s="5">
        <v>8</v>
      </c>
      <c r="K115" s="5">
        <v>25000</v>
      </c>
      <c r="L115" s="5">
        <v>1000</v>
      </c>
      <c r="M115" s="5">
        <v>55</v>
      </c>
      <c r="N115" s="5">
        <v>31</v>
      </c>
      <c r="O115" s="17" t="s">
        <v>134</v>
      </c>
      <c r="P115" s="8"/>
      <c r="Q115" s="18">
        <v>5.2083333333333336E-2</v>
      </c>
      <c r="R115" s="18">
        <v>0.16609953703703703</v>
      </c>
      <c r="S115" s="17">
        <v>14057</v>
      </c>
      <c r="T115" s="18">
        <v>0.3303240740740741</v>
      </c>
      <c r="U115" s="18">
        <v>0.3303935185185185</v>
      </c>
      <c r="V115" s="17">
        <v>14097</v>
      </c>
      <c r="W115" s="17">
        <v>29</v>
      </c>
      <c r="X115" s="17">
        <v>29</v>
      </c>
      <c r="Y115" s="12">
        <v>0</v>
      </c>
      <c r="Z115" s="12">
        <v>40</v>
      </c>
      <c r="AA115" s="12">
        <v>40</v>
      </c>
      <c r="AB115" s="12">
        <v>0</v>
      </c>
      <c r="AC115" s="12">
        <v>0</v>
      </c>
      <c r="AD115" s="13">
        <v>0</v>
      </c>
      <c r="AE115" s="12">
        <v>0</v>
      </c>
      <c r="AF115" s="14">
        <v>0</v>
      </c>
      <c r="AG115" s="5">
        <v>0</v>
      </c>
      <c r="AH115" s="5">
        <v>0</v>
      </c>
      <c r="AI115" s="5">
        <v>0</v>
      </c>
      <c r="AJ115" s="5">
        <v>806.45</v>
      </c>
      <c r="AK115" s="5">
        <v>0</v>
      </c>
      <c r="AL115" s="5">
        <v>806.45</v>
      </c>
      <c r="AM115" s="8"/>
      <c r="AN115" s="8"/>
    </row>
    <row r="116" spans="1:40" ht="16" thickBot="1">
      <c r="A116" s="3">
        <v>115</v>
      </c>
      <c r="B116" s="19">
        <v>45936</v>
      </c>
      <c r="C116" s="5" t="s">
        <v>40</v>
      </c>
      <c r="D116" s="5" t="s">
        <v>41</v>
      </c>
      <c r="E116" s="6" t="s">
        <v>42</v>
      </c>
      <c r="F116" s="7" t="s">
        <v>55</v>
      </c>
      <c r="G116" s="5" t="s">
        <v>44</v>
      </c>
      <c r="H116" s="5" t="s">
        <v>45</v>
      </c>
      <c r="I116" s="5">
        <v>4</v>
      </c>
      <c r="J116" s="5">
        <v>8</v>
      </c>
      <c r="K116" s="5">
        <v>25000</v>
      </c>
      <c r="L116" s="5">
        <v>1000</v>
      </c>
      <c r="M116" s="5">
        <v>55</v>
      </c>
      <c r="N116" s="5">
        <v>31</v>
      </c>
      <c r="O116" s="17" t="s">
        <v>56</v>
      </c>
      <c r="P116" s="8"/>
      <c r="Q116" s="18">
        <v>0.10347222222222223</v>
      </c>
      <c r="R116" s="18">
        <v>0.1849652777777778</v>
      </c>
      <c r="S116" s="17">
        <v>145147</v>
      </c>
      <c r="T116" s="18">
        <v>0.31670138888888888</v>
      </c>
      <c r="U116" s="18">
        <v>0.3168287037037037</v>
      </c>
      <c r="V116" s="17">
        <v>145164</v>
      </c>
      <c r="W116" s="17">
        <v>33</v>
      </c>
      <c r="X116" s="17">
        <v>33</v>
      </c>
      <c r="Y116" s="12">
        <v>0</v>
      </c>
      <c r="Z116" s="12">
        <v>17</v>
      </c>
      <c r="AA116" s="12">
        <v>17</v>
      </c>
      <c r="AB116" s="12">
        <v>0</v>
      </c>
      <c r="AC116" s="12">
        <v>0</v>
      </c>
      <c r="AD116" s="13">
        <v>0</v>
      </c>
      <c r="AE116" s="12">
        <v>0</v>
      </c>
      <c r="AF116" s="14">
        <v>0</v>
      </c>
      <c r="AG116" s="5">
        <v>0</v>
      </c>
      <c r="AH116" s="5">
        <v>0</v>
      </c>
      <c r="AI116" s="5">
        <v>0</v>
      </c>
      <c r="AJ116" s="5">
        <v>806.45</v>
      </c>
      <c r="AK116" s="5">
        <v>0</v>
      </c>
      <c r="AL116" s="5">
        <v>806.45</v>
      </c>
      <c r="AM116" s="8"/>
      <c r="AN116" s="8"/>
    </row>
    <row r="117" spans="1:40" ht="16" thickBot="1">
      <c r="A117" s="3">
        <v>116</v>
      </c>
      <c r="B117" s="19">
        <v>45936</v>
      </c>
      <c r="C117" s="5" t="s">
        <v>40</v>
      </c>
      <c r="D117" s="5" t="s">
        <v>41</v>
      </c>
      <c r="E117" s="6" t="s">
        <v>42</v>
      </c>
      <c r="F117" s="7" t="s">
        <v>57</v>
      </c>
      <c r="G117" s="5" t="s">
        <v>44</v>
      </c>
      <c r="H117" s="5" t="s">
        <v>45</v>
      </c>
      <c r="I117" s="5">
        <v>4</v>
      </c>
      <c r="J117" s="5">
        <v>8</v>
      </c>
      <c r="K117" s="5">
        <v>25000</v>
      </c>
      <c r="L117" s="5">
        <v>1000</v>
      </c>
      <c r="M117" s="5">
        <v>55</v>
      </c>
      <c r="N117" s="5">
        <v>31</v>
      </c>
      <c r="O117" s="17" t="s">
        <v>58</v>
      </c>
      <c r="P117" s="8"/>
      <c r="Q117" s="18">
        <v>4.6527777777777779E-2</v>
      </c>
      <c r="R117" s="18">
        <v>0.18177083333333333</v>
      </c>
      <c r="S117" s="17">
        <v>142125</v>
      </c>
      <c r="T117" s="18">
        <v>0.33805555555555555</v>
      </c>
      <c r="U117" s="18">
        <v>0.33813657407407405</v>
      </c>
      <c r="V117" s="17">
        <v>142166</v>
      </c>
      <c r="W117" s="17">
        <v>48</v>
      </c>
      <c r="X117" s="17">
        <v>48</v>
      </c>
      <c r="Y117" s="12">
        <v>0</v>
      </c>
      <c r="Z117" s="12">
        <v>41</v>
      </c>
      <c r="AA117" s="12">
        <v>41</v>
      </c>
      <c r="AB117" s="12">
        <v>0</v>
      </c>
      <c r="AC117" s="12">
        <v>0</v>
      </c>
      <c r="AD117" s="13">
        <v>1</v>
      </c>
      <c r="AE117" s="12">
        <v>150</v>
      </c>
      <c r="AF117" s="14">
        <v>0</v>
      </c>
      <c r="AG117" s="5">
        <v>0</v>
      </c>
      <c r="AH117" s="5">
        <v>0</v>
      </c>
      <c r="AI117" s="5">
        <v>0</v>
      </c>
      <c r="AJ117" s="5">
        <v>956.45</v>
      </c>
      <c r="AK117" s="5">
        <v>0</v>
      </c>
      <c r="AL117" s="5">
        <v>956.45</v>
      </c>
      <c r="AM117" s="8"/>
      <c r="AN117" s="8"/>
    </row>
    <row r="118" spans="1:40" ht="16" thickBot="1">
      <c r="A118" s="3">
        <v>117</v>
      </c>
      <c r="B118" s="19">
        <v>45936</v>
      </c>
      <c r="C118" s="5" t="s">
        <v>40</v>
      </c>
      <c r="D118" s="5" t="s">
        <v>41</v>
      </c>
      <c r="E118" s="6" t="s">
        <v>42</v>
      </c>
      <c r="F118" s="7" t="s">
        <v>59</v>
      </c>
      <c r="G118" s="5" t="s">
        <v>44</v>
      </c>
      <c r="H118" s="5" t="s">
        <v>45</v>
      </c>
      <c r="I118" s="5">
        <v>4</v>
      </c>
      <c r="J118" s="5">
        <v>8</v>
      </c>
      <c r="K118" s="5">
        <v>25000</v>
      </c>
      <c r="L118" s="5">
        <v>1000</v>
      </c>
      <c r="M118" s="5">
        <v>55</v>
      </c>
      <c r="N118" s="5">
        <v>31</v>
      </c>
      <c r="O118" s="17" t="s">
        <v>135</v>
      </c>
      <c r="P118" s="8"/>
      <c r="Q118" s="18">
        <v>0.12638888888888888</v>
      </c>
      <c r="R118" s="18">
        <v>0.19190972222222222</v>
      </c>
      <c r="S118" s="17">
        <v>158399</v>
      </c>
      <c r="T118" s="18">
        <v>0.32590277777777776</v>
      </c>
      <c r="U118" s="18">
        <v>0.32621527777777776</v>
      </c>
      <c r="V118" s="17">
        <v>158421</v>
      </c>
      <c r="W118" s="17">
        <v>0</v>
      </c>
      <c r="X118" s="17">
        <v>0</v>
      </c>
      <c r="Y118" s="12">
        <v>0</v>
      </c>
      <c r="Z118" s="12">
        <v>22</v>
      </c>
      <c r="AA118" s="12">
        <v>22</v>
      </c>
      <c r="AB118" s="12">
        <v>0</v>
      </c>
      <c r="AC118" s="12">
        <v>0</v>
      </c>
      <c r="AD118" s="13">
        <v>0</v>
      </c>
      <c r="AE118" s="12">
        <v>0</v>
      </c>
      <c r="AF118" s="14">
        <v>0</v>
      </c>
      <c r="AG118" s="5">
        <v>0</v>
      </c>
      <c r="AH118" s="5">
        <v>0</v>
      </c>
      <c r="AI118" s="5">
        <v>0</v>
      </c>
      <c r="AJ118" s="5">
        <v>806.45</v>
      </c>
      <c r="AK118" s="5">
        <v>0</v>
      </c>
      <c r="AL118" s="5">
        <v>806.45</v>
      </c>
      <c r="AM118" s="8"/>
      <c r="AN118" s="8"/>
    </row>
    <row r="119" spans="1:40" ht="16" thickBot="1">
      <c r="A119" s="3">
        <v>118</v>
      </c>
      <c r="B119" s="19">
        <v>45936</v>
      </c>
      <c r="C119" s="5" t="s">
        <v>40</v>
      </c>
      <c r="D119" s="5" t="s">
        <v>41</v>
      </c>
      <c r="E119" s="6" t="s">
        <v>42</v>
      </c>
      <c r="F119" s="7" t="s">
        <v>60</v>
      </c>
      <c r="G119" s="5" t="s">
        <v>44</v>
      </c>
      <c r="H119" s="5" t="s">
        <v>45</v>
      </c>
      <c r="I119" s="5">
        <v>4</v>
      </c>
      <c r="J119" s="5">
        <v>8</v>
      </c>
      <c r="K119" s="5">
        <v>25000</v>
      </c>
      <c r="L119" s="5">
        <v>1000</v>
      </c>
      <c r="M119" s="5">
        <v>55</v>
      </c>
      <c r="N119" s="5">
        <v>31</v>
      </c>
      <c r="O119" s="17" t="s">
        <v>136</v>
      </c>
      <c r="P119" s="8"/>
      <c r="Q119" s="18">
        <v>4.9999999999999996E-2</v>
      </c>
      <c r="R119" s="18">
        <v>0.16537037037037036</v>
      </c>
      <c r="S119" s="17">
        <v>112450</v>
      </c>
      <c r="T119" s="18">
        <v>0.33966435185185184</v>
      </c>
      <c r="U119" s="18">
        <v>0.34012731481481479</v>
      </c>
      <c r="V119" s="17">
        <v>112467</v>
      </c>
      <c r="W119" s="17">
        <v>48</v>
      </c>
      <c r="X119" s="17">
        <v>48</v>
      </c>
      <c r="Y119" s="12">
        <v>0</v>
      </c>
      <c r="Z119" s="12">
        <v>17</v>
      </c>
      <c r="AA119" s="12">
        <v>17</v>
      </c>
      <c r="AB119" s="12">
        <v>0</v>
      </c>
      <c r="AC119" s="12">
        <v>0</v>
      </c>
      <c r="AD119" s="13">
        <v>1</v>
      </c>
      <c r="AE119" s="12">
        <v>150</v>
      </c>
      <c r="AF119" s="14">
        <v>0</v>
      </c>
      <c r="AG119" s="5">
        <v>0</v>
      </c>
      <c r="AH119" s="5">
        <v>0</v>
      </c>
      <c r="AI119" s="5">
        <v>0</v>
      </c>
      <c r="AJ119" s="5">
        <v>956.45</v>
      </c>
      <c r="AK119" s="5">
        <v>0</v>
      </c>
      <c r="AL119" s="5">
        <v>956.45</v>
      </c>
      <c r="AM119" s="8"/>
      <c r="AN119" s="8"/>
    </row>
    <row r="120" spans="1:40" ht="16" thickBot="1">
      <c r="A120" s="3">
        <v>119</v>
      </c>
      <c r="B120" s="19">
        <v>45936</v>
      </c>
      <c r="C120" s="5" t="s">
        <v>40</v>
      </c>
      <c r="D120" s="5" t="s">
        <v>41</v>
      </c>
      <c r="E120" s="6" t="s">
        <v>42</v>
      </c>
      <c r="F120" s="7" t="s">
        <v>97</v>
      </c>
      <c r="G120" s="5" t="s">
        <v>44</v>
      </c>
      <c r="H120" s="5" t="s">
        <v>45</v>
      </c>
      <c r="I120" s="5">
        <v>4</v>
      </c>
      <c r="J120" s="5">
        <v>8</v>
      </c>
      <c r="K120" s="5">
        <v>25000</v>
      </c>
      <c r="L120" s="5">
        <v>1000</v>
      </c>
      <c r="M120" s="5">
        <v>55</v>
      </c>
      <c r="N120" s="5">
        <v>31</v>
      </c>
      <c r="O120" s="17" t="s">
        <v>137</v>
      </c>
      <c r="P120" s="8"/>
      <c r="Q120" s="18">
        <v>0.15972222222222224</v>
      </c>
      <c r="R120" s="18">
        <v>0.19268518518518518</v>
      </c>
      <c r="S120" s="17">
        <v>77142</v>
      </c>
      <c r="T120" s="18">
        <v>0.35096064814814815</v>
      </c>
      <c r="U120" s="18">
        <v>0.35114583333333332</v>
      </c>
      <c r="V120" s="17">
        <v>77169</v>
      </c>
      <c r="W120" s="17">
        <v>0</v>
      </c>
      <c r="X120" s="17">
        <v>0</v>
      </c>
      <c r="Y120" s="12">
        <v>0</v>
      </c>
      <c r="Z120" s="12">
        <v>27</v>
      </c>
      <c r="AA120" s="12">
        <v>27</v>
      </c>
      <c r="AB120" s="12">
        <v>0</v>
      </c>
      <c r="AC120" s="12">
        <v>0</v>
      </c>
      <c r="AD120" s="13">
        <v>1</v>
      </c>
      <c r="AE120" s="12">
        <v>150</v>
      </c>
      <c r="AF120" s="14">
        <v>0</v>
      </c>
      <c r="AG120" s="5">
        <v>0</v>
      </c>
      <c r="AH120" s="5">
        <v>0</v>
      </c>
      <c r="AI120" s="5">
        <v>0</v>
      </c>
      <c r="AJ120" s="5">
        <v>956.45</v>
      </c>
      <c r="AK120" s="5">
        <v>0</v>
      </c>
      <c r="AL120" s="5">
        <v>956.45</v>
      </c>
      <c r="AM120" s="8"/>
      <c r="AN120" s="8"/>
    </row>
    <row r="121" spans="1:40" ht="16" thickBot="1">
      <c r="A121" s="3">
        <v>120</v>
      </c>
      <c r="B121" s="19">
        <v>45936</v>
      </c>
      <c r="C121" s="5" t="s">
        <v>40</v>
      </c>
      <c r="D121" s="5" t="s">
        <v>41</v>
      </c>
      <c r="E121" s="6" t="s">
        <v>42</v>
      </c>
      <c r="F121" s="7" t="s">
        <v>62</v>
      </c>
      <c r="G121" s="5" t="s">
        <v>44</v>
      </c>
      <c r="H121" s="5" t="s">
        <v>45</v>
      </c>
      <c r="I121" s="5">
        <v>6</v>
      </c>
      <c r="J121" s="5">
        <v>8</v>
      </c>
      <c r="K121" s="5">
        <v>33000</v>
      </c>
      <c r="L121" s="5">
        <v>2000</v>
      </c>
      <c r="M121" s="5">
        <v>55</v>
      </c>
      <c r="N121" s="5">
        <v>31</v>
      </c>
      <c r="O121" s="17" t="s">
        <v>63</v>
      </c>
      <c r="P121" s="8"/>
      <c r="Q121" s="18">
        <v>9.4444444444444442E-2</v>
      </c>
      <c r="R121" s="18">
        <v>0.18627314814814813</v>
      </c>
      <c r="S121" s="17">
        <v>47242</v>
      </c>
      <c r="T121" s="18">
        <v>0.34043981481481483</v>
      </c>
      <c r="U121" s="18">
        <v>0.34054398148148146</v>
      </c>
      <c r="V121" s="17">
        <v>47336</v>
      </c>
      <c r="W121" s="17">
        <v>21</v>
      </c>
      <c r="X121" s="17">
        <v>21</v>
      </c>
      <c r="Y121" s="12">
        <v>0</v>
      </c>
      <c r="Z121" s="12">
        <v>94</v>
      </c>
      <c r="AA121" s="12">
        <v>94</v>
      </c>
      <c r="AB121" s="12">
        <v>0</v>
      </c>
      <c r="AC121" s="12">
        <v>0</v>
      </c>
      <c r="AD121" s="13">
        <v>0</v>
      </c>
      <c r="AE121" s="12">
        <v>0</v>
      </c>
      <c r="AF121" s="14">
        <v>0</v>
      </c>
      <c r="AG121" s="5">
        <v>0</v>
      </c>
      <c r="AH121" s="5">
        <v>0</v>
      </c>
      <c r="AI121" s="5">
        <v>0</v>
      </c>
      <c r="AJ121" s="5">
        <v>1064.52</v>
      </c>
      <c r="AK121" s="5">
        <v>0</v>
      </c>
      <c r="AL121" s="5">
        <v>1064.52</v>
      </c>
      <c r="AM121" s="8"/>
      <c r="AN121" s="8"/>
    </row>
    <row r="122" spans="1:40" ht="16" thickBot="1">
      <c r="A122" s="3">
        <v>121</v>
      </c>
      <c r="B122" s="19">
        <v>45936</v>
      </c>
      <c r="C122" s="5" t="s">
        <v>40</v>
      </c>
      <c r="D122" s="5" t="s">
        <v>41</v>
      </c>
      <c r="E122" s="6" t="s">
        <v>42</v>
      </c>
      <c r="F122" s="7" t="s">
        <v>99</v>
      </c>
      <c r="G122" s="5" t="s">
        <v>44</v>
      </c>
      <c r="H122" s="5" t="s">
        <v>45</v>
      </c>
      <c r="I122" s="5">
        <v>4</v>
      </c>
      <c r="J122" s="5">
        <v>8</v>
      </c>
      <c r="K122" s="5">
        <v>25000</v>
      </c>
      <c r="L122" s="5">
        <v>1000</v>
      </c>
      <c r="M122" s="5">
        <v>55</v>
      </c>
      <c r="N122" s="5">
        <v>31</v>
      </c>
      <c r="O122" s="17" t="s">
        <v>138</v>
      </c>
      <c r="P122" s="8"/>
      <c r="Q122" s="18">
        <v>5.2083333333333336E-2</v>
      </c>
      <c r="R122" s="18">
        <v>0.18554398148148146</v>
      </c>
      <c r="S122" s="17">
        <v>86571</v>
      </c>
      <c r="T122" s="18">
        <v>0.33731481481481485</v>
      </c>
      <c r="U122" s="18">
        <v>0.33748842592592593</v>
      </c>
      <c r="V122" s="17">
        <v>86598</v>
      </c>
      <c r="W122" s="17">
        <v>35</v>
      </c>
      <c r="X122" s="17">
        <v>35</v>
      </c>
      <c r="Y122" s="12">
        <v>0</v>
      </c>
      <c r="Z122" s="12">
        <v>27</v>
      </c>
      <c r="AA122" s="12">
        <v>27</v>
      </c>
      <c r="AB122" s="12">
        <v>0</v>
      </c>
      <c r="AC122" s="12">
        <v>0</v>
      </c>
      <c r="AD122" s="13">
        <v>1</v>
      </c>
      <c r="AE122" s="12">
        <v>150</v>
      </c>
      <c r="AF122" s="14">
        <v>0</v>
      </c>
      <c r="AG122" s="5">
        <v>0</v>
      </c>
      <c r="AH122" s="5">
        <v>0</v>
      </c>
      <c r="AI122" s="5">
        <v>0</v>
      </c>
      <c r="AJ122" s="5">
        <v>956.45</v>
      </c>
      <c r="AK122" s="5">
        <v>0</v>
      </c>
      <c r="AL122" s="5">
        <v>956.45</v>
      </c>
      <c r="AM122" s="8"/>
      <c r="AN122" s="8"/>
    </row>
    <row r="123" spans="1:40" ht="16" thickBot="1">
      <c r="A123" s="3">
        <v>122</v>
      </c>
      <c r="B123" s="19">
        <v>45936</v>
      </c>
      <c r="C123" s="5" t="s">
        <v>40</v>
      </c>
      <c r="D123" s="5" t="s">
        <v>41</v>
      </c>
      <c r="E123" s="6" t="s">
        <v>42</v>
      </c>
      <c r="F123" s="7" t="s">
        <v>64</v>
      </c>
      <c r="G123" s="5" t="s">
        <v>44</v>
      </c>
      <c r="H123" s="5" t="s">
        <v>45</v>
      </c>
      <c r="I123" s="5">
        <v>4</v>
      </c>
      <c r="J123" s="5">
        <v>8</v>
      </c>
      <c r="K123" s="5">
        <v>25000</v>
      </c>
      <c r="L123" s="5">
        <v>1000</v>
      </c>
      <c r="M123" s="5">
        <v>55</v>
      </c>
      <c r="N123" s="5">
        <v>31</v>
      </c>
      <c r="O123" s="17" t="s">
        <v>130</v>
      </c>
      <c r="P123" s="8"/>
      <c r="Q123" s="18">
        <v>0.11041666666666666</v>
      </c>
      <c r="R123" s="18">
        <v>0.19078703703703703</v>
      </c>
      <c r="S123" s="17">
        <v>74157</v>
      </c>
      <c r="T123" s="18">
        <v>0.35398148148148145</v>
      </c>
      <c r="U123" s="18">
        <v>0.3540625</v>
      </c>
      <c r="V123" s="17">
        <v>74203</v>
      </c>
      <c r="W123" s="17">
        <v>24</v>
      </c>
      <c r="X123" s="17">
        <v>24</v>
      </c>
      <c r="Y123" s="12">
        <v>0</v>
      </c>
      <c r="Z123" s="12">
        <v>46</v>
      </c>
      <c r="AA123" s="12">
        <v>46</v>
      </c>
      <c r="AB123" s="12">
        <v>0</v>
      </c>
      <c r="AC123" s="12">
        <v>0</v>
      </c>
      <c r="AD123" s="13">
        <v>1</v>
      </c>
      <c r="AE123" s="12">
        <v>150</v>
      </c>
      <c r="AF123" s="14">
        <v>0</v>
      </c>
      <c r="AG123" s="5">
        <v>0</v>
      </c>
      <c r="AH123" s="5">
        <v>0</v>
      </c>
      <c r="AI123" s="5">
        <v>0</v>
      </c>
      <c r="AJ123" s="5">
        <v>956.45</v>
      </c>
      <c r="AK123" s="5">
        <v>0</v>
      </c>
      <c r="AL123" s="5">
        <v>956.45</v>
      </c>
      <c r="AM123" s="8"/>
      <c r="AN123" s="8"/>
    </row>
    <row r="124" spans="1:40" ht="16" thickBot="1">
      <c r="A124" s="3">
        <v>123</v>
      </c>
      <c r="B124" s="19">
        <v>45936</v>
      </c>
      <c r="C124" s="5" t="s">
        <v>40</v>
      </c>
      <c r="D124" s="5" t="s">
        <v>41</v>
      </c>
      <c r="E124" s="6" t="s">
        <v>42</v>
      </c>
      <c r="F124" s="7" t="s">
        <v>68</v>
      </c>
      <c r="G124" s="5" t="s">
        <v>44</v>
      </c>
      <c r="H124" s="5" t="s">
        <v>45</v>
      </c>
      <c r="I124" s="5">
        <v>4</v>
      </c>
      <c r="J124" s="5">
        <v>8</v>
      </c>
      <c r="K124" s="5">
        <v>25000</v>
      </c>
      <c r="L124" s="5">
        <v>1000</v>
      </c>
      <c r="M124" s="5">
        <v>55</v>
      </c>
      <c r="N124" s="5">
        <v>31</v>
      </c>
      <c r="O124" s="17" t="s">
        <v>96</v>
      </c>
      <c r="P124" s="8"/>
      <c r="Q124" s="18">
        <v>4.9999999999999996E-2</v>
      </c>
      <c r="R124" s="18">
        <v>0.16512731481481482</v>
      </c>
      <c r="S124" s="17">
        <v>82865</v>
      </c>
      <c r="T124" s="18">
        <v>0.31203703703703706</v>
      </c>
      <c r="U124" s="18">
        <v>0.31212962962962965</v>
      </c>
      <c r="V124" s="17">
        <v>82880</v>
      </c>
      <c r="W124" s="17">
        <v>54</v>
      </c>
      <c r="X124" s="17">
        <v>44</v>
      </c>
      <c r="Y124" s="12">
        <v>10</v>
      </c>
      <c r="Z124" s="12">
        <v>15</v>
      </c>
      <c r="AA124" s="12">
        <v>15</v>
      </c>
      <c r="AB124" s="12">
        <v>0</v>
      </c>
      <c r="AC124" s="12">
        <v>0</v>
      </c>
      <c r="AD124" s="13">
        <v>0</v>
      </c>
      <c r="AE124" s="12">
        <v>0</v>
      </c>
      <c r="AF124" s="14">
        <v>0</v>
      </c>
      <c r="AG124" s="5">
        <v>0</v>
      </c>
      <c r="AH124" s="5">
        <v>0</v>
      </c>
      <c r="AI124" s="5">
        <v>0</v>
      </c>
      <c r="AJ124" s="5">
        <v>806.45</v>
      </c>
      <c r="AK124" s="5">
        <v>0</v>
      </c>
      <c r="AL124" s="5">
        <v>806.45</v>
      </c>
      <c r="AM124" s="8"/>
      <c r="AN124" s="8"/>
    </row>
    <row r="125" spans="1:40" ht="16" thickBot="1">
      <c r="A125" s="3">
        <v>124</v>
      </c>
      <c r="B125" s="19">
        <v>45936</v>
      </c>
      <c r="C125" s="5" t="s">
        <v>40</v>
      </c>
      <c r="D125" s="5" t="s">
        <v>41</v>
      </c>
      <c r="E125" s="6" t="s">
        <v>42</v>
      </c>
      <c r="F125" s="7" t="s">
        <v>72</v>
      </c>
      <c r="G125" s="5" t="s">
        <v>44</v>
      </c>
      <c r="H125" s="5" t="s">
        <v>45</v>
      </c>
      <c r="I125" s="5">
        <v>6</v>
      </c>
      <c r="J125" s="5">
        <v>8</v>
      </c>
      <c r="K125" s="5">
        <v>33000</v>
      </c>
      <c r="L125" s="5">
        <v>2000</v>
      </c>
      <c r="M125" s="5">
        <v>55</v>
      </c>
      <c r="N125" s="5">
        <v>31</v>
      </c>
      <c r="O125" s="17" t="s">
        <v>73</v>
      </c>
      <c r="P125" s="8"/>
      <c r="Q125" s="18">
        <v>5.1388888888888894E-2</v>
      </c>
      <c r="R125" s="18">
        <v>0.18666666666666668</v>
      </c>
      <c r="S125" s="17">
        <v>32148</v>
      </c>
      <c r="T125" s="18">
        <v>0.33901620370370367</v>
      </c>
      <c r="U125" s="18">
        <v>0.34136574074074072</v>
      </c>
      <c r="V125" s="17">
        <v>32218</v>
      </c>
      <c r="W125" s="17">
        <v>33</v>
      </c>
      <c r="X125" s="17">
        <v>33</v>
      </c>
      <c r="Y125" s="12">
        <v>0</v>
      </c>
      <c r="Z125" s="12">
        <v>70</v>
      </c>
      <c r="AA125" s="12">
        <v>70</v>
      </c>
      <c r="AB125" s="12">
        <v>0</v>
      </c>
      <c r="AC125" s="12">
        <v>0</v>
      </c>
      <c r="AD125" s="13">
        <v>0</v>
      </c>
      <c r="AE125" s="12">
        <v>0</v>
      </c>
      <c r="AF125" s="14">
        <v>0</v>
      </c>
      <c r="AG125" s="5">
        <v>0</v>
      </c>
      <c r="AH125" s="5">
        <v>0</v>
      </c>
      <c r="AI125" s="5">
        <v>0</v>
      </c>
      <c r="AJ125" s="5">
        <v>1064.52</v>
      </c>
      <c r="AK125" s="5">
        <v>0</v>
      </c>
      <c r="AL125" s="5">
        <v>1064.52</v>
      </c>
      <c r="AM125" s="8"/>
      <c r="AN125" s="8"/>
    </row>
    <row r="126" spans="1:40" ht="16" thickBot="1">
      <c r="A126" s="3">
        <v>125</v>
      </c>
      <c r="B126" s="19">
        <v>45936</v>
      </c>
      <c r="C126" s="5" t="s">
        <v>40</v>
      </c>
      <c r="D126" s="5" t="s">
        <v>41</v>
      </c>
      <c r="E126" s="6" t="s">
        <v>42</v>
      </c>
      <c r="F126" s="7" t="s">
        <v>74</v>
      </c>
      <c r="G126" s="5" t="s">
        <v>44</v>
      </c>
      <c r="H126" s="5" t="s">
        <v>45</v>
      </c>
      <c r="I126" s="5">
        <v>4</v>
      </c>
      <c r="J126" s="5">
        <v>8</v>
      </c>
      <c r="K126" s="5">
        <v>25000</v>
      </c>
      <c r="L126" s="5">
        <v>1000</v>
      </c>
      <c r="M126" s="5">
        <v>55</v>
      </c>
      <c r="N126" s="5">
        <v>31</v>
      </c>
      <c r="O126" s="17" t="s">
        <v>75</v>
      </c>
      <c r="P126" s="8"/>
      <c r="Q126" s="18">
        <v>5.0694444444444452E-2</v>
      </c>
      <c r="R126" s="18">
        <v>0.16556712962962963</v>
      </c>
      <c r="S126" s="17">
        <v>37464</v>
      </c>
      <c r="T126" s="18">
        <v>0.31430555555555556</v>
      </c>
      <c r="U126" s="18">
        <v>0.31440972222222224</v>
      </c>
      <c r="V126" s="17">
        <v>37481</v>
      </c>
      <c r="W126" s="17">
        <v>72</v>
      </c>
      <c r="X126" s="17">
        <v>72</v>
      </c>
      <c r="Y126" s="12">
        <v>0</v>
      </c>
      <c r="Z126" s="12">
        <v>17</v>
      </c>
      <c r="AA126" s="12">
        <v>17</v>
      </c>
      <c r="AB126" s="12">
        <v>0</v>
      </c>
      <c r="AC126" s="12">
        <v>0</v>
      </c>
      <c r="AD126" s="13">
        <v>0</v>
      </c>
      <c r="AE126" s="12">
        <v>0</v>
      </c>
      <c r="AF126" s="14">
        <v>0</v>
      </c>
      <c r="AG126" s="5">
        <v>0</v>
      </c>
      <c r="AH126" s="5">
        <v>0</v>
      </c>
      <c r="AI126" s="5">
        <v>0</v>
      </c>
      <c r="AJ126" s="5">
        <v>806.45</v>
      </c>
      <c r="AK126" s="5">
        <v>0</v>
      </c>
      <c r="AL126" s="5">
        <v>806.45</v>
      </c>
      <c r="AM126" s="8"/>
      <c r="AN126" s="8"/>
    </row>
    <row r="127" spans="1:40" ht="16" thickBot="1">
      <c r="A127" s="3">
        <v>126</v>
      </c>
      <c r="B127" s="19">
        <v>45936</v>
      </c>
      <c r="C127" s="5" t="s">
        <v>40</v>
      </c>
      <c r="D127" s="5" t="s">
        <v>41</v>
      </c>
      <c r="E127" s="6" t="s">
        <v>42</v>
      </c>
      <c r="F127" s="7" t="s">
        <v>78</v>
      </c>
      <c r="G127" s="5" t="s">
        <v>44</v>
      </c>
      <c r="H127" s="5" t="s">
        <v>45</v>
      </c>
      <c r="I127" s="5">
        <v>4</v>
      </c>
      <c r="J127" s="5">
        <v>8</v>
      </c>
      <c r="K127" s="5">
        <v>25000</v>
      </c>
      <c r="L127" s="5">
        <v>1000</v>
      </c>
      <c r="M127" s="5">
        <v>55</v>
      </c>
      <c r="N127" s="5">
        <v>31</v>
      </c>
      <c r="O127" s="17" t="s">
        <v>79</v>
      </c>
      <c r="P127" s="8"/>
      <c r="Q127" s="18">
        <v>6.805555555555555E-2</v>
      </c>
      <c r="R127" s="18">
        <v>0.16453703703703704</v>
      </c>
      <c r="S127" s="17">
        <v>6663</v>
      </c>
      <c r="T127" s="18">
        <v>0.35451388888888885</v>
      </c>
      <c r="U127" s="18">
        <v>0.35457175925925927</v>
      </c>
      <c r="V127" s="17">
        <v>6688</v>
      </c>
      <c r="W127" s="17">
        <v>40</v>
      </c>
      <c r="X127" s="17">
        <v>40</v>
      </c>
      <c r="Y127" s="12">
        <v>0</v>
      </c>
      <c r="Z127" s="12">
        <v>25</v>
      </c>
      <c r="AA127" s="12">
        <v>25</v>
      </c>
      <c r="AB127" s="12">
        <v>0</v>
      </c>
      <c r="AC127" s="12">
        <v>0</v>
      </c>
      <c r="AD127" s="13">
        <v>1</v>
      </c>
      <c r="AE127" s="12">
        <v>150</v>
      </c>
      <c r="AF127" s="14">
        <v>0</v>
      </c>
      <c r="AG127" s="5">
        <v>0</v>
      </c>
      <c r="AH127" s="5">
        <v>0</v>
      </c>
      <c r="AI127" s="5">
        <v>0</v>
      </c>
      <c r="AJ127" s="5">
        <v>956.45</v>
      </c>
      <c r="AK127" s="5">
        <v>0</v>
      </c>
      <c r="AL127" s="5">
        <v>956.45</v>
      </c>
      <c r="AM127" s="8"/>
      <c r="AN127" s="8"/>
    </row>
    <row r="128" spans="1:40" ht="16" thickBot="1">
      <c r="A128" s="3">
        <v>127</v>
      </c>
      <c r="B128" s="19">
        <v>45936</v>
      </c>
      <c r="C128" s="5" t="s">
        <v>40</v>
      </c>
      <c r="D128" s="5" t="s">
        <v>41</v>
      </c>
      <c r="E128" s="6" t="s">
        <v>42</v>
      </c>
      <c r="F128" s="7" t="s">
        <v>80</v>
      </c>
      <c r="G128" s="5" t="s">
        <v>44</v>
      </c>
      <c r="H128" s="5" t="s">
        <v>45</v>
      </c>
      <c r="I128" s="5">
        <v>4</v>
      </c>
      <c r="J128" s="5">
        <v>8</v>
      </c>
      <c r="K128" s="5">
        <v>25000</v>
      </c>
      <c r="L128" s="5">
        <v>1000</v>
      </c>
      <c r="M128" s="5">
        <v>55</v>
      </c>
      <c r="N128" s="5">
        <v>31</v>
      </c>
      <c r="O128" s="17" t="s">
        <v>46</v>
      </c>
      <c r="P128" s="8"/>
      <c r="Q128" s="18">
        <v>7.2222222222222229E-2</v>
      </c>
      <c r="R128" s="18">
        <v>0.30297453703703703</v>
      </c>
      <c r="S128" s="17">
        <v>3705</v>
      </c>
      <c r="T128" s="18">
        <v>0.30312500000000003</v>
      </c>
      <c r="U128" s="18">
        <v>0.30319444444444443</v>
      </c>
      <c r="V128" s="17">
        <v>3705</v>
      </c>
      <c r="W128" s="17">
        <v>0</v>
      </c>
      <c r="X128" s="17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3">
        <v>0</v>
      </c>
      <c r="AE128" s="12">
        <v>0</v>
      </c>
      <c r="AF128" s="14">
        <v>0</v>
      </c>
      <c r="AG128" s="5">
        <v>0</v>
      </c>
      <c r="AH128" s="5">
        <v>0</v>
      </c>
      <c r="AI128" s="5">
        <v>0</v>
      </c>
      <c r="AJ128" s="5">
        <v>806.45</v>
      </c>
      <c r="AK128" s="5">
        <v>0</v>
      </c>
      <c r="AL128" s="5">
        <v>806.45</v>
      </c>
      <c r="AM128" s="8"/>
      <c r="AN128" s="8"/>
    </row>
    <row r="129" spans="1:40" ht="16" thickBot="1">
      <c r="A129" s="3">
        <v>128</v>
      </c>
      <c r="B129" s="19">
        <v>45936</v>
      </c>
      <c r="C129" s="5" t="s">
        <v>40</v>
      </c>
      <c r="D129" s="5" t="s">
        <v>41</v>
      </c>
      <c r="E129" s="6" t="s">
        <v>42</v>
      </c>
      <c r="F129" s="7" t="s">
        <v>105</v>
      </c>
      <c r="G129" s="5" t="s">
        <v>44</v>
      </c>
      <c r="H129" s="5" t="s">
        <v>45</v>
      </c>
      <c r="I129" s="5">
        <v>4</v>
      </c>
      <c r="J129" s="5">
        <v>8</v>
      </c>
      <c r="K129" s="5">
        <v>25000</v>
      </c>
      <c r="L129" s="5">
        <v>1000</v>
      </c>
      <c r="M129" s="5">
        <v>55</v>
      </c>
      <c r="N129" s="5">
        <v>31</v>
      </c>
      <c r="O129" s="17" t="s">
        <v>139</v>
      </c>
      <c r="P129" s="8"/>
      <c r="Q129" s="18">
        <v>7.5694444444444439E-2</v>
      </c>
      <c r="R129" s="18">
        <v>0.17796296296296296</v>
      </c>
      <c r="S129" s="17">
        <v>40846</v>
      </c>
      <c r="T129" s="18">
        <v>0.31017361111111114</v>
      </c>
      <c r="U129" s="18">
        <v>0.31027777777777776</v>
      </c>
      <c r="V129" s="17">
        <v>40876</v>
      </c>
      <c r="W129" s="17">
        <v>57</v>
      </c>
      <c r="X129" s="17">
        <v>57</v>
      </c>
      <c r="Y129" s="12">
        <v>0</v>
      </c>
      <c r="Z129" s="12">
        <v>30</v>
      </c>
      <c r="AA129" s="12">
        <v>30</v>
      </c>
      <c r="AB129" s="12">
        <v>0</v>
      </c>
      <c r="AC129" s="12">
        <v>0</v>
      </c>
      <c r="AD129" s="13">
        <v>0</v>
      </c>
      <c r="AE129" s="12">
        <v>0</v>
      </c>
      <c r="AF129" s="14">
        <v>0</v>
      </c>
      <c r="AG129" s="5">
        <v>0</v>
      </c>
      <c r="AH129" s="5">
        <v>0</v>
      </c>
      <c r="AI129" s="5">
        <v>0</v>
      </c>
      <c r="AJ129" s="5">
        <v>806.45</v>
      </c>
      <c r="AK129" s="5">
        <v>0</v>
      </c>
      <c r="AL129" s="5">
        <v>806.45</v>
      </c>
      <c r="AM129" s="8"/>
      <c r="AN129" s="8"/>
    </row>
    <row r="130" spans="1:40" ht="16" thickBot="1">
      <c r="A130" s="3">
        <v>129</v>
      </c>
      <c r="B130" s="19">
        <v>45936</v>
      </c>
      <c r="C130" s="5" t="s">
        <v>40</v>
      </c>
      <c r="D130" s="5" t="s">
        <v>41</v>
      </c>
      <c r="E130" s="6" t="s">
        <v>42</v>
      </c>
      <c r="F130" s="7" t="s">
        <v>85</v>
      </c>
      <c r="G130" s="10" t="s">
        <v>83</v>
      </c>
      <c r="H130" s="5" t="s">
        <v>84</v>
      </c>
      <c r="I130" s="5">
        <v>4</v>
      </c>
      <c r="J130" s="5">
        <v>10</v>
      </c>
      <c r="K130" s="6">
        <v>29000</v>
      </c>
      <c r="L130" s="5">
        <v>1000</v>
      </c>
      <c r="M130" s="5">
        <v>55</v>
      </c>
      <c r="N130" s="5">
        <v>31</v>
      </c>
      <c r="O130" s="17" t="s">
        <v>81</v>
      </c>
      <c r="P130" s="8"/>
      <c r="Q130" s="18">
        <v>5.1388888888888894E-2</v>
      </c>
      <c r="R130" s="18">
        <v>0.16953703703703704</v>
      </c>
      <c r="S130" s="17">
        <v>38053</v>
      </c>
      <c r="T130" s="18">
        <v>0.30136574074074074</v>
      </c>
      <c r="U130" s="18">
        <v>0.30144675925925929</v>
      </c>
      <c r="V130" s="17">
        <v>38073</v>
      </c>
      <c r="W130" s="17">
        <v>68</v>
      </c>
      <c r="X130" s="17">
        <v>68</v>
      </c>
      <c r="Y130" s="12">
        <v>0</v>
      </c>
      <c r="Z130" s="12">
        <v>20</v>
      </c>
      <c r="AA130" s="12">
        <v>20</v>
      </c>
      <c r="AB130" s="12">
        <v>0</v>
      </c>
      <c r="AC130" s="12">
        <v>0</v>
      </c>
      <c r="AD130" s="13">
        <v>0</v>
      </c>
      <c r="AE130" s="12">
        <v>0</v>
      </c>
      <c r="AF130" s="14">
        <v>0</v>
      </c>
      <c r="AG130" s="5">
        <v>0</v>
      </c>
      <c r="AH130" s="5">
        <v>0</v>
      </c>
      <c r="AI130" s="5">
        <v>0</v>
      </c>
      <c r="AJ130" s="5">
        <v>935.48</v>
      </c>
      <c r="AK130" s="5">
        <v>0</v>
      </c>
      <c r="AL130" s="5">
        <v>935.48</v>
      </c>
      <c r="AM130" s="8"/>
      <c r="AN130" s="8"/>
    </row>
    <row r="131" spans="1:40" ht="16" thickBot="1">
      <c r="A131" s="3">
        <v>130</v>
      </c>
      <c r="B131" s="19">
        <v>45936</v>
      </c>
      <c r="C131" s="5" t="s">
        <v>40</v>
      </c>
      <c r="D131" s="5" t="s">
        <v>41</v>
      </c>
      <c r="E131" s="6" t="s">
        <v>42</v>
      </c>
      <c r="F131" s="7" t="s">
        <v>87</v>
      </c>
      <c r="G131" s="10" t="s">
        <v>83</v>
      </c>
      <c r="H131" s="5" t="s">
        <v>84</v>
      </c>
      <c r="I131" s="5">
        <v>4</v>
      </c>
      <c r="J131" s="5">
        <v>10</v>
      </c>
      <c r="K131" s="6">
        <v>29000</v>
      </c>
      <c r="L131" s="5">
        <v>1000</v>
      </c>
      <c r="M131" s="5">
        <v>55</v>
      </c>
      <c r="N131" s="5">
        <v>31</v>
      </c>
      <c r="O131" s="17" t="s">
        <v>140</v>
      </c>
      <c r="P131" s="8"/>
      <c r="Q131" s="18">
        <v>0.1111111111111111</v>
      </c>
      <c r="R131" s="18">
        <v>0.18013888888888888</v>
      </c>
      <c r="S131" s="17">
        <v>2729</v>
      </c>
      <c r="T131" s="18">
        <v>0.30010416666666667</v>
      </c>
      <c r="U131" s="18">
        <v>0.30019675925925926</v>
      </c>
      <c r="V131" s="17">
        <v>2752</v>
      </c>
      <c r="W131" s="17">
        <v>81</v>
      </c>
      <c r="X131" s="17">
        <v>81</v>
      </c>
      <c r="Y131" s="12">
        <v>0</v>
      </c>
      <c r="Z131" s="12">
        <v>23</v>
      </c>
      <c r="AA131" s="12">
        <v>23</v>
      </c>
      <c r="AB131" s="12">
        <v>0</v>
      </c>
      <c r="AC131" s="12">
        <v>0</v>
      </c>
      <c r="AD131" s="13">
        <v>0</v>
      </c>
      <c r="AE131" s="12">
        <v>0</v>
      </c>
      <c r="AF131" s="14">
        <v>0</v>
      </c>
      <c r="AG131" s="5">
        <v>0</v>
      </c>
      <c r="AH131" s="5">
        <v>0</v>
      </c>
      <c r="AI131" s="5">
        <v>0</v>
      </c>
      <c r="AJ131" s="5">
        <v>935.48</v>
      </c>
      <c r="AK131" s="5">
        <v>0</v>
      </c>
      <c r="AL131" s="5">
        <v>935.48</v>
      </c>
      <c r="AM131" s="8"/>
      <c r="AN131" s="8"/>
    </row>
    <row r="132" spans="1:40" ht="16" thickBot="1">
      <c r="A132" s="3">
        <v>131</v>
      </c>
      <c r="B132" s="19">
        <v>45936</v>
      </c>
      <c r="C132" s="5" t="s">
        <v>40</v>
      </c>
      <c r="D132" s="5" t="s">
        <v>41</v>
      </c>
      <c r="E132" s="6" t="s">
        <v>42</v>
      </c>
      <c r="F132" s="7" t="s">
        <v>89</v>
      </c>
      <c r="G132" s="10" t="s">
        <v>83</v>
      </c>
      <c r="H132" s="5" t="s">
        <v>84</v>
      </c>
      <c r="I132" s="5">
        <v>4</v>
      </c>
      <c r="J132" s="5">
        <v>10</v>
      </c>
      <c r="K132" s="6">
        <v>29000</v>
      </c>
      <c r="L132" s="5">
        <v>1000</v>
      </c>
      <c r="M132" s="5">
        <v>55</v>
      </c>
      <c r="N132" s="5">
        <v>31</v>
      </c>
      <c r="O132" s="17" t="s">
        <v>141</v>
      </c>
      <c r="P132" s="8"/>
      <c r="Q132" s="18">
        <v>4.6527777777777779E-2</v>
      </c>
      <c r="R132" s="18">
        <v>0.17640046296296297</v>
      </c>
      <c r="S132" s="17">
        <v>138753</v>
      </c>
      <c r="T132" s="18">
        <v>0.30564814814814817</v>
      </c>
      <c r="U132" s="18">
        <v>0.30578703703703702</v>
      </c>
      <c r="V132" s="17">
        <v>138765</v>
      </c>
      <c r="W132" s="17">
        <v>62</v>
      </c>
      <c r="X132" s="17">
        <v>62</v>
      </c>
      <c r="Y132" s="12">
        <v>0</v>
      </c>
      <c r="Z132" s="12">
        <v>12</v>
      </c>
      <c r="AA132" s="12">
        <v>12</v>
      </c>
      <c r="AB132" s="12">
        <v>0</v>
      </c>
      <c r="AC132" s="12">
        <v>0</v>
      </c>
      <c r="AD132" s="13">
        <v>0</v>
      </c>
      <c r="AE132" s="12">
        <v>0</v>
      </c>
      <c r="AF132" s="14">
        <v>0</v>
      </c>
      <c r="AG132" s="5">
        <v>0</v>
      </c>
      <c r="AH132" s="5">
        <v>0</v>
      </c>
      <c r="AI132" s="5">
        <v>0</v>
      </c>
      <c r="AJ132" s="5">
        <v>935.48</v>
      </c>
      <c r="AK132" s="5">
        <v>0</v>
      </c>
      <c r="AL132" s="5">
        <v>935.48</v>
      </c>
      <c r="AM132" s="8"/>
      <c r="AN132" s="8"/>
    </row>
    <row r="133" spans="1:40" ht="16" thickBot="1">
      <c r="A133" s="3">
        <v>132</v>
      </c>
      <c r="B133" s="19">
        <v>45937</v>
      </c>
      <c r="C133" s="5" t="s">
        <v>40</v>
      </c>
      <c r="D133" s="5" t="s">
        <v>41</v>
      </c>
      <c r="E133" s="6" t="s">
        <v>42</v>
      </c>
      <c r="F133" s="7" t="s">
        <v>43</v>
      </c>
      <c r="G133" s="5" t="s">
        <v>44</v>
      </c>
      <c r="H133" s="5" t="s">
        <v>45</v>
      </c>
      <c r="I133" s="5">
        <v>4</v>
      </c>
      <c r="J133" s="5">
        <v>8</v>
      </c>
      <c r="K133" s="5">
        <v>25000</v>
      </c>
      <c r="L133" s="5">
        <v>1000</v>
      </c>
      <c r="M133" s="5">
        <v>55</v>
      </c>
      <c r="N133" s="5">
        <v>31</v>
      </c>
      <c r="O133" s="6" t="s">
        <v>46</v>
      </c>
      <c r="P133" s="8"/>
      <c r="Q133" s="16">
        <v>3.5416666666666666E-2</v>
      </c>
      <c r="R133" s="16">
        <v>0.18186342592592594</v>
      </c>
      <c r="S133" s="6">
        <v>55734</v>
      </c>
      <c r="T133" s="16">
        <v>0.31807870370370367</v>
      </c>
      <c r="U133" s="16">
        <v>0.31825231481481481</v>
      </c>
      <c r="V133" s="6">
        <v>55741</v>
      </c>
      <c r="W133" s="6">
        <v>48</v>
      </c>
      <c r="X133" s="6">
        <v>48</v>
      </c>
      <c r="Y133" s="12">
        <v>0</v>
      </c>
      <c r="Z133" s="12">
        <v>7</v>
      </c>
      <c r="AA133" s="12">
        <v>7</v>
      </c>
      <c r="AB133" s="12">
        <v>0</v>
      </c>
      <c r="AC133" s="12">
        <v>0</v>
      </c>
      <c r="AD133" s="13">
        <v>0</v>
      </c>
      <c r="AE133" s="12">
        <v>0</v>
      </c>
      <c r="AF133" s="14">
        <v>0</v>
      </c>
      <c r="AG133" s="5">
        <v>0</v>
      </c>
      <c r="AH133" s="5">
        <v>0</v>
      </c>
      <c r="AI133" s="5">
        <v>0</v>
      </c>
      <c r="AJ133" s="5">
        <v>806.45</v>
      </c>
      <c r="AK133" s="5">
        <v>0</v>
      </c>
      <c r="AL133" s="5">
        <v>806.45</v>
      </c>
      <c r="AM133" s="8"/>
      <c r="AN133" s="8"/>
    </row>
    <row r="134" spans="1:40" ht="16" thickBot="1">
      <c r="A134" s="3">
        <v>133</v>
      </c>
      <c r="B134" s="19">
        <v>45937</v>
      </c>
      <c r="C134" s="5" t="s">
        <v>40</v>
      </c>
      <c r="D134" s="5" t="s">
        <v>41</v>
      </c>
      <c r="E134" s="6" t="s">
        <v>42</v>
      </c>
      <c r="F134" s="7" t="s">
        <v>47</v>
      </c>
      <c r="G134" s="5" t="s">
        <v>44</v>
      </c>
      <c r="H134" s="5" t="s">
        <v>45</v>
      </c>
      <c r="I134" s="5">
        <v>4</v>
      </c>
      <c r="J134" s="5">
        <v>8</v>
      </c>
      <c r="K134" s="5">
        <v>25000</v>
      </c>
      <c r="L134" s="5">
        <v>1000</v>
      </c>
      <c r="M134" s="5">
        <v>55</v>
      </c>
      <c r="N134" s="5">
        <v>31</v>
      </c>
      <c r="O134" s="6" t="s">
        <v>142</v>
      </c>
      <c r="P134" s="8"/>
      <c r="Q134" s="16">
        <v>0.14097222222222222</v>
      </c>
      <c r="R134" s="16">
        <v>0.15996527777777778</v>
      </c>
      <c r="S134" s="6">
        <v>191071</v>
      </c>
      <c r="T134" s="16">
        <v>0.30851851851851853</v>
      </c>
      <c r="U134" s="16">
        <v>0.30861111111111111</v>
      </c>
      <c r="V134" s="6">
        <v>191092</v>
      </c>
      <c r="W134" s="6">
        <v>24</v>
      </c>
      <c r="X134" s="6">
        <v>24</v>
      </c>
      <c r="Y134" s="12">
        <v>0</v>
      </c>
      <c r="Z134" s="12">
        <v>21</v>
      </c>
      <c r="AA134" s="12">
        <v>21</v>
      </c>
      <c r="AB134" s="12">
        <v>0</v>
      </c>
      <c r="AC134" s="12">
        <v>0</v>
      </c>
      <c r="AD134" s="13">
        <v>0</v>
      </c>
      <c r="AE134" s="12">
        <v>0</v>
      </c>
      <c r="AF134" s="14">
        <v>0</v>
      </c>
      <c r="AG134" s="5">
        <v>0</v>
      </c>
      <c r="AH134" s="5">
        <v>0</v>
      </c>
      <c r="AI134" s="5">
        <v>0</v>
      </c>
      <c r="AJ134" s="5">
        <v>806.45</v>
      </c>
      <c r="AK134" s="5">
        <v>0</v>
      </c>
      <c r="AL134" s="5">
        <v>806.45</v>
      </c>
      <c r="AM134" s="8"/>
      <c r="AN134" s="8"/>
    </row>
    <row r="135" spans="1:40" ht="16" thickBot="1">
      <c r="A135" s="3">
        <v>134</v>
      </c>
      <c r="B135" s="19">
        <v>45937</v>
      </c>
      <c r="C135" s="5" t="s">
        <v>40</v>
      </c>
      <c r="D135" s="5" t="s">
        <v>41</v>
      </c>
      <c r="E135" s="6" t="s">
        <v>42</v>
      </c>
      <c r="F135" s="7" t="s">
        <v>132</v>
      </c>
      <c r="G135" s="5" t="s">
        <v>44</v>
      </c>
      <c r="H135" s="5" t="s">
        <v>45</v>
      </c>
      <c r="I135" s="5">
        <v>4</v>
      </c>
      <c r="J135" s="5">
        <v>8</v>
      </c>
      <c r="K135" s="5">
        <v>25000</v>
      </c>
      <c r="L135" s="5">
        <v>1000</v>
      </c>
      <c r="M135" s="5">
        <v>55</v>
      </c>
      <c r="N135" s="5">
        <v>31</v>
      </c>
      <c r="O135" s="6" t="s">
        <v>98</v>
      </c>
      <c r="P135" s="8"/>
      <c r="Q135" s="16">
        <v>4.9305555555555554E-2</v>
      </c>
      <c r="R135" s="16">
        <v>0.17402777777777778</v>
      </c>
      <c r="S135" s="6">
        <v>109732</v>
      </c>
      <c r="T135" s="16">
        <v>0.31696759259259261</v>
      </c>
      <c r="U135" s="16">
        <v>0.31703703703703706</v>
      </c>
      <c r="V135" s="6">
        <v>109763</v>
      </c>
      <c r="W135" s="6">
        <v>22</v>
      </c>
      <c r="X135" s="6">
        <v>22</v>
      </c>
      <c r="Y135" s="12">
        <v>0</v>
      </c>
      <c r="Z135" s="12">
        <v>31</v>
      </c>
      <c r="AA135" s="12">
        <v>31</v>
      </c>
      <c r="AB135" s="12">
        <v>0</v>
      </c>
      <c r="AC135" s="12">
        <v>0</v>
      </c>
      <c r="AD135" s="13">
        <v>0</v>
      </c>
      <c r="AE135" s="12">
        <v>0</v>
      </c>
      <c r="AF135" s="14">
        <v>0</v>
      </c>
      <c r="AG135" s="5">
        <v>0</v>
      </c>
      <c r="AH135" s="5">
        <v>0</v>
      </c>
      <c r="AI135" s="5">
        <v>0</v>
      </c>
      <c r="AJ135" s="5">
        <v>806.45</v>
      </c>
      <c r="AK135" s="5">
        <v>0</v>
      </c>
      <c r="AL135" s="5">
        <v>806.45</v>
      </c>
      <c r="AM135" s="8"/>
      <c r="AN135" s="8"/>
    </row>
    <row r="136" spans="1:40" ht="16" thickBot="1">
      <c r="A136" s="3">
        <v>135</v>
      </c>
      <c r="B136" s="19">
        <v>45937</v>
      </c>
      <c r="C136" s="5" t="s">
        <v>40</v>
      </c>
      <c r="D136" s="5" t="s">
        <v>41</v>
      </c>
      <c r="E136" s="6" t="s">
        <v>42</v>
      </c>
      <c r="F136" s="7" t="s">
        <v>49</v>
      </c>
      <c r="G136" s="5" t="s">
        <v>44</v>
      </c>
      <c r="H136" s="5" t="s">
        <v>45</v>
      </c>
      <c r="I136" s="5">
        <v>6</v>
      </c>
      <c r="J136" s="5">
        <v>8</v>
      </c>
      <c r="K136" s="5">
        <v>33000</v>
      </c>
      <c r="L136" s="5">
        <v>2000</v>
      </c>
      <c r="M136" s="5">
        <v>55</v>
      </c>
      <c r="N136" s="5">
        <v>31</v>
      </c>
      <c r="O136" s="6" t="s">
        <v>113</v>
      </c>
      <c r="P136" s="8"/>
      <c r="Q136" s="16">
        <v>4.5833333333333337E-2</v>
      </c>
      <c r="R136" s="16">
        <v>0.29656250000000001</v>
      </c>
      <c r="S136" s="6">
        <v>98992</v>
      </c>
      <c r="T136" s="16">
        <v>0.29853009259259261</v>
      </c>
      <c r="U136" s="16">
        <v>0.29859953703703707</v>
      </c>
      <c r="V136" s="6">
        <v>98992</v>
      </c>
      <c r="W136" s="6">
        <v>0</v>
      </c>
      <c r="X136" s="6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3">
        <v>0</v>
      </c>
      <c r="AE136" s="12">
        <v>0</v>
      </c>
      <c r="AF136" s="14">
        <v>0</v>
      </c>
      <c r="AG136" s="5">
        <v>0</v>
      </c>
      <c r="AH136" s="5">
        <v>0</v>
      </c>
      <c r="AI136" s="5">
        <v>0</v>
      </c>
      <c r="AJ136" s="5">
        <v>1064.52</v>
      </c>
      <c r="AK136" s="5">
        <v>0</v>
      </c>
      <c r="AL136" s="5">
        <v>1064.52</v>
      </c>
      <c r="AM136" s="8"/>
      <c r="AN136" s="8"/>
    </row>
    <row r="137" spans="1:40" ht="16" thickBot="1">
      <c r="A137" s="3">
        <v>136</v>
      </c>
      <c r="B137" s="19">
        <v>45937</v>
      </c>
      <c r="C137" s="5" t="s">
        <v>40</v>
      </c>
      <c r="D137" s="5" t="s">
        <v>41</v>
      </c>
      <c r="E137" s="6" t="s">
        <v>42</v>
      </c>
      <c r="F137" s="7" t="s">
        <v>51</v>
      </c>
      <c r="G137" s="5" t="s">
        <v>44</v>
      </c>
      <c r="H137" s="5" t="s">
        <v>45</v>
      </c>
      <c r="I137" s="5">
        <v>4</v>
      </c>
      <c r="J137" s="5">
        <v>8</v>
      </c>
      <c r="K137" s="5">
        <v>25000</v>
      </c>
      <c r="L137" s="5">
        <v>1000</v>
      </c>
      <c r="M137" s="5">
        <v>55</v>
      </c>
      <c r="N137" s="5">
        <v>31</v>
      </c>
      <c r="O137" s="6" t="s">
        <v>106</v>
      </c>
      <c r="P137" s="8"/>
      <c r="Q137" s="16">
        <v>0.11597222222222221</v>
      </c>
      <c r="R137" s="16">
        <v>0.18122685185185183</v>
      </c>
      <c r="S137" s="6">
        <v>83459</v>
      </c>
      <c r="T137" s="16">
        <v>0.29759259259259258</v>
      </c>
      <c r="U137" s="16">
        <v>0.29769675925925926</v>
      </c>
      <c r="V137" s="6">
        <v>83486</v>
      </c>
      <c r="W137" s="6">
        <v>38</v>
      </c>
      <c r="X137" s="6">
        <v>38</v>
      </c>
      <c r="Y137" s="12">
        <v>0</v>
      </c>
      <c r="Z137" s="12">
        <v>27</v>
      </c>
      <c r="AA137" s="12">
        <v>27</v>
      </c>
      <c r="AB137" s="12">
        <v>0</v>
      </c>
      <c r="AC137" s="12">
        <v>0</v>
      </c>
      <c r="AD137" s="13">
        <v>0</v>
      </c>
      <c r="AE137" s="12">
        <v>0</v>
      </c>
      <c r="AF137" s="14">
        <v>0</v>
      </c>
      <c r="AG137" s="5">
        <v>0</v>
      </c>
      <c r="AH137" s="5">
        <v>0</v>
      </c>
      <c r="AI137" s="5">
        <v>0</v>
      </c>
      <c r="AJ137" s="5">
        <v>806.45</v>
      </c>
      <c r="AK137" s="5">
        <v>0</v>
      </c>
      <c r="AL137" s="5">
        <v>806.45</v>
      </c>
      <c r="AM137" s="8"/>
      <c r="AN137" s="8"/>
    </row>
    <row r="138" spans="1:40" ht="16" thickBot="1">
      <c r="A138" s="3">
        <v>137</v>
      </c>
      <c r="B138" s="19">
        <v>45937</v>
      </c>
      <c r="C138" s="5" t="s">
        <v>40</v>
      </c>
      <c r="D138" s="5" t="s">
        <v>41</v>
      </c>
      <c r="E138" s="6" t="s">
        <v>42</v>
      </c>
      <c r="F138" s="7" t="s">
        <v>53</v>
      </c>
      <c r="G138" s="5" t="s">
        <v>44</v>
      </c>
      <c r="H138" s="5" t="s">
        <v>45</v>
      </c>
      <c r="I138" s="5">
        <v>4</v>
      </c>
      <c r="J138" s="5">
        <v>8</v>
      </c>
      <c r="K138" s="5">
        <v>25000</v>
      </c>
      <c r="L138" s="5">
        <v>1000</v>
      </c>
      <c r="M138" s="5">
        <v>55</v>
      </c>
      <c r="N138" s="5">
        <v>31</v>
      </c>
      <c r="O138" s="6" t="s">
        <v>138</v>
      </c>
      <c r="P138" s="8"/>
      <c r="Q138" s="16">
        <v>3.4027777777777775E-2</v>
      </c>
      <c r="R138" s="16">
        <v>0.16376157407407407</v>
      </c>
      <c r="S138" s="6">
        <v>11332</v>
      </c>
      <c r="T138" s="16">
        <v>0.35767361111111112</v>
      </c>
      <c r="U138" s="16">
        <v>0.3578587962962963</v>
      </c>
      <c r="V138" s="6">
        <v>11343</v>
      </c>
      <c r="W138" s="6">
        <v>10</v>
      </c>
      <c r="X138" s="6">
        <v>10</v>
      </c>
      <c r="Y138" s="12">
        <v>0</v>
      </c>
      <c r="Z138" s="12">
        <v>11</v>
      </c>
      <c r="AA138" s="12">
        <v>11</v>
      </c>
      <c r="AB138" s="12">
        <v>0</v>
      </c>
      <c r="AC138" s="12">
        <v>0</v>
      </c>
      <c r="AD138" s="13">
        <v>1</v>
      </c>
      <c r="AE138" s="12">
        <v>150</v>
      </c>
      <c r="AF138" s="14">
        <v>0</v>
      </c>
      <c r="AG138" s="5">
        <v>0</v>
      </c>
      <c r="AH138" s="5">
        <v>0</v>
      </c>
      <c r="AI138" s="5">
        <v>0</v>
      </c>
      <c r="AJ138" s="5">
        <v>956.45</v>
      </c>
      <c r="AK138" s="5">
        <v>0</v>
      </c>
      <c r="AL138" s="5">
        <v>956.45</v>
      </c>
      <c r="AM138" s="8"/>
      <c r="AN138" s="8"/>
    </row>
    <row r="139" spans="1:40" ht="16" thickBot="1">
      <c r="A139" s="3">
        <v>138</v>
      </c>
      <c r="B139" s="19">
        <v>45937</v>
      </c>
      <c r="C139" s="5" t="s">
        <v>40</v>
      </c>
      <c r="D139" s="5" t="s">
        <v>41</v>
      </c>
      <c r="E139" s="6" t="s">
        <v>42</v>
      </c>
      <c r="F139" s="7" t="s">
        <v>55</v>
      </c>
      <c r="G139" s="5" t="s">
        <v>44</v>
      </c>
      <c r="H139" s="5" t="s">
        <v>45</v>
      </c>
      <c r="I139" s="5">
        <v>4</v>
      </c>
      <c r="J139" s="5">
        <v>8</v>
      </c>
      <c r="K139" s="5">
        <v>25000</v>
      </c>
      <c r="L139" s="5">
        <v>1000</v>
      </c>
      <c r="M139" s="5">
        <v>55</v>
      </c>
      <c r="N139" s="5">
        <v>31</v>
      </c>
      <c r="O139" s="6" t="s">
        <v>56</v>
      </c>
      <c r="P139" s="8"/>
      <c r="Q139" s="16">
        <v>3.4722222222222224E-2</v>
      </c>
      <c r="R139" s="16">
        <v>0.17832175925925928</v>
      </c>
      <c r="S139" s="6">
        <v>145169</v>
      </c>
      <c r="T139" s="16">
        <v>0.29473379629629631</v>
      </c>
      <c r="U139" s="16">
        <v>0.29484953703703703</v>
      </c>
      <c r="V139" s="6">
        <v>145186</v>
      </c>
      <c r="W139" s="6">
        <v>34</v>
      </c>
      <c r="X139" s="6">
        <v>34</v>
      </c>
      <c r="Y139" s="12">
        <v>0</v>
      </c>
      <c r="Z139" s="12">
        <v>17</v>
      </c>
      <c r="AA139" s="12">
        <v>17</v>
      </c>
      <c r="AB139" s="12">
        <v>0</v>
      </c>
      <c r="AC139" s="12">
        <v>0</v>
      </c>
      <c r="AD139" s="13">
        <v>0</v>
      </c>
      <c r="AE139" s="12">
        <v>0</v>
      </c>
      <c r="AF139" s="14">
        <v>0</v>
      </c>
      <c r="AG139" s="5">
        <v>0</v>
      </c>
      <c r="AH139" s="5">
        <v>0</v>
      </c>
      <c r="AI139" s="5">
        <v>0</v>
      </c>
      <c r="AJ139" s="5">
        <v>806.45</v>
      </c>
      <c r="AK139" s="5">
        <v>0</v>
      </c>
      <c r="AL139" s="5">
        <v>806.45</v>
      </c>
      <c r="AM139" s="8"/>
      <c r="AN139" s="8"/>
    </row>
    <row r="140" spans="1:40" ht="16" thickBot="1">
      <c r="A140" s="3">
        <v>139</v>
      </c>
      <c r="B140" s="19">
        <v>45937</v>
      </c>
      <c r="C140" s="5" t="s">
        <v>40</v>
      </c>
      <c r="D140" s="5" t="s">
        <v>41</v>
      </c>
      <c r="E140" s="6" t="s">
        <v>42</v>
      </c>
      <c r="F140" s="7" t="s">
        <v>57</v>
      </c>
      <c r="G140" s="5" t="s">
        <v>44</v>
      </c>
      <c r="H140" s="5" t="s">
        <v>45</v>
      </c>
      <c r="I140" s="5">
        <v>4</v>
      </c>
      <c r="J140" s="5">
        <v>8</v>
      </c>
      <c r="K140" s="5">
        <v>25000</v>
      </c>
      <c r="L140" s="5">
        <v>1000</v>
      </c>
      <c r="M140" s="5">
        <v>55</v>
      </c>
      <c r="N140" s="5">
        <v>31</v>
      </c>
      <c r="O140" s="6" t="s">
        <v>143</v>
      </c>
      <c r="P140" s="8"/>
      <c r="Q140" s="16">
        <v>4.5833333333333337E-2</v>
      </c>
      <c r="R140" s="16">
        <v>0.1753935185185185</v>
      </c>
      <c r="S140" s="6">
        <v>142343</v>
      </c>
      <c r="T140" s="16">
        <v>0.34597222222222218</v>
      </c>
      <c r="U140" s="16">
        <v>0.34605324074074079</v>
      </c>
      <c r="V140" s="6">
        <v>142369</v>
      </c>
      <c r="W140" s="6">
        <v>48</v>
      </c>
      <c r="X140" s="6">
        <v>48</v>
      </c>
      <c r="Y140" s="12">
        <v>0</v>
      </c>
      <c r="Z140" s="12">
        <v>26</v>
      </c>
      <c r="AA140" s="12">
        <v>26</v>
      </c>
      <c r="AB140" s="12">
        <v>0</v>
      </c>
      <c r="AC140" s="12">
        <v>0</v>
      </c>
      <c r="AD140" s="13">
        <v>1</v>
      </c>
      <c r="AE140" s="12">
        <v>150</v>
      </c>
      <c r="AF140" s="14">
        <v>0</v>
      </c>
      <c r="AG140" s="5">
        <v>0</v>
      </c>
      <c r="AH140" s="5">
        <v>0</v>
      </c>
      <c r="AI140" s="5">
        <v>0</v>
      </c>
      <c r="AJ140" s="5">
        <v>956.45</v>
      </c>
      <c r="AK140" s="5">
        <v>0</v>
      </c>
      <c r="AL140" s="5">
        <v>956.45</v>
      </c>
      <c r="AM140" s="8"/>
      <c r="AN140" s="8"/>
    </row>
    <row r="141" spans="1:40" ht="16" thickBot="1">
      <c r="A141" s="3">
        <v>140</v>
      </c>
      <c r="B141" s="19">
        <v>45937</v>
      </c>
      <c r="C141" s="5" t="s">
        <v>40</v>
      </c>
      <c r="D141" s="5" t="s">
        <v>41</v>
      </c>
      <c r="E141" s="6" t="s">
        <v>42</v>
      </c>
      <c r="F141" s="7" t="s">
        <v>59</v>
      </c>
      <c r="G141" s="5" t="s">
        <v>44</v>
      </c>
      <c r="H141" s="5" t="s">
        <v>45</v>
      </c>
      <c r="I141" s="5">
        <v>4</v>
      </c>
      <c r="J141" s="5">
        <v>8</v>
      </c>
      <c r="K141" s="5">
        <v>25000</v>
      </c>
      <c r="L141" s="5">
        <v>1000</v>
      </c>
      <c r="M141" s="5">
        <v>55</v>
      </c>
      <c r="N141" s="5">
        <v>31</v>
      </c>
      <c r="O141" s="6" t="s">
        <v>112</v>
      </c>
      <c r="P141" s="8"/>
      <c r="Q141" s="16">
        <v>0.12847222222222224</v>
      </c>
      <c r="R141" s="16">
        <v>0.16611111111111113</v>
      </c>
      <c r="S141" s="6">
        <v>158462</v>
      </c>
      <c r="T141" s="16">
        <v>0.29627314814814815</v>
      </c>
      <c r="U141" s="16">
        <v>0.29636574074074074</v>
      </c>
      <c r="V141" s="6">
        <v>158491</v>
      </c>
      <c r="W141" s="6">
        <v>47</v>
      </c>
      <c r="X141" s="6">
        <v>47</v>
      </c>
      <c r="Y141" s="12">
        <v>0</v>
      </c>
      <c r="Z141" s="12">
        <v>29</v>
      </c>
      <c r="AA141" s="12">
        <v>29</v>
      </c>
      <c r="AB141" s="12">
        <v>0</v>
      </c>
      <c r="AC141" s="12">
        <v>0</v>
      </c>
      <c r="AD141" s="13">
        <v>0</v>
      </c>
      <c r="AE141" s="12">
        <v>0</v>
      </c>
      <c r="AF141" s="14">
        <v>0</v>
      </c>
      <c r="AG141" s="5">
        <v>0</v>
      </c>
      <c r="AH141" s="5">
        <v>0</v>
      </c>
      <c r="AI141" s="5">
        <v>0</v>
      </c>
      <c r="AJ141" s="5">
        <v>806.45</v>
      </c>
      <c r="AK141" s="5">
        <v>0</v>
      </c>
      <c r="AL141" s="5">
        <v>806.45</v>
      </c>
      <c r="AM141" s="8"/>
      <c r="AN141" s="8"/>
    </row>
    <row r="142" spans="1:40" ht="16" thickBot="1">
      <c r="A142" s="3">
        <v>141</v>
      </c>
      <c r="B142" s="19">
        <v>45937</v>
      </c>
      <c r="C142" s="5" t="s">
        <v>40</v>
      </c>
      <c r="D142" s="5" t="s">
        <v>41</v>
      </c>
      <c r="E142" s="6" t="s">
        <v>42</v>
      </c>
      <c r="F142" s="7" t="s">
        <v>60</v>
      </c>
      <c r="G142" s="5" t="s">
        <v>44</v>
      </c>
      <c r="H142" s="5" t="s">
        <v>45</v>
      </c>
      <c r="I142" s="5">
        <v>4</v>
      </c>
      <c r="J142" s="5">
        <v>8</v>
      </c>
      <c r="K142" s="5">
        <v>25000</v>
      </c>
      <c r="L142" s="5">
        <v>1000</v>
      </c>
      <c r="M142" s="5">
        <v>55</v>
      </c>
      <c r="N142" s="5">
        <v>31</v>
      </c>
      <c r="O142" s="6" t="s">
        <v>61</v>
      </c>
      <c r="P142" s="8"/>
      <c r="Q142" s="16">
        <v>9.375E-2</v>
      </c>
      <c r="R142" s="16">
        <v>0.16321759259259258</v>
      </c>
      <c r="S142" s="6">
        <v>112525</v>
      </c>
      <c r="T142" s="16">
        <v>0.31193287037037037</v>
      </c>
      <c r="U142" s="16">
        <v>0.31208333333333332</v>
      </c>
      <c r="V142" s="6">
        <v>112546</v>
      </c>
      <c r="W142" s="6">
        <v>58</v>
      </c>
      <c r="X142" s="6">
        <v>58</v>
      </c>
      <c r="Y142" s="12">
        <v>0</v>
      </c>
      <c r="Z142" s="12">
        <v>21</v>
      </c>
      <c r="AA142" s="12">
        <v>21</v>
      </c>
      <c r="AB142" s="12">
        <v>0</v>
      </c>
      <c r="AC142" s="12">
        <v>0</v>
      </c>
      <c r="AD142" s="13">
        <v>0</v>
      </c>
      <c r="AE142" s="12">
        <v>0</v>
      </c>
      <c r="AF142" s="14">
        <v>0</v>
      </c>
      <c r="AG142" s="5">
        <v>0</v>
      </c>
      <c r="AH142" s="5">
        <v>0</v>
      </c>
      <c r="AI142" s="5">
        <v>0</v>
      </c>
      <c r="AJ142" s="5">
        <v>806.45</v>
      </c>
      <c r="AK142" s="5">
        <v>0</v>
      </c>
      <c r="AL142" s="5">
        <v>806.45</v>
      </c>
      <c r="AM142" s="8"/>
      <c r="AN142" s="8"/>
    </row>
    <row r="143" spans="1:40" ht="16" thickBot="1">
      <c r="A143" s="3">
        <v>142</v>
      </c>
      <c r="B143" s="19">
        <v>45937</v>
      </c>
      <c r="C143" s="5" t="s">
        <v>40</v>
      </c>
      <c r="D143" s="5" t="s">
        <v>41</v>
      </c>
      <c r="E143" s="6" t="s">
        <v>42</v>
      </c>
      <c r="F143" s="7" t="s">
        <v>97</v>
      </c>
      <c r="G143" s="5" t="s">
        <v>44</v>
      </c>
      <c r="H143" s="5" t="s">
        <v>45</v>
      </c>
      <c r="I143" s="5">
        <v>4</v>
      </c>
      <c r="J143" s="5">
        <v>8</v>
      </c>
      <c r="K143" s="5">
        <v>25000</v>
      </c>
      <c r="L143" s="5">
        <v>1000</v>
      </c>
      <c r="M143" s="5">
        <v>55</v>
      </c>
      <c r="N143" s="5">
        <v>31</v>
      </c>
      <c r="O143" s="6" t="s">
        <v>111</v>
      </c>
      <c r="P143" s="8"/>
      <c r="Q143" s="16">
        <v>0.1423611111111111</v>
      </c>
      <c r="R143" s="16">
        <v>0.16806712962962964</v>
      </c>
      <c r="S143" s="6">
        <v>77268</v>
      </c>
      <c r="T143" s="16">
        <v>0.33439814814814817</v>
      </c>
      <c r="U143" s="16">
        <v>0.33446759259259262</v>
      </c>
      <c r="V143" s="6">
        <v>77286</v>
      </c>
      <c r="W143" s="6">
        <v>56</v>
      </c>
      <c r="X143" s="6">
        <v>56</v>
      </c>
      <c r="Y143" s="12">
        <v>0</v>
      </c>
      <c r="Z143" s="12">
        <v>18</v>
      </c>
      <c r="AA143" s="12">
        <v>18</v>
      </c>
      <c r="AB143" s="12">
        <v>0</v>
      </c>
      <c r="AC143" s="12">
        <v>0</v>
      </c>
      <c r="AD143" s="13">
        <v>1</v>
      </c>
      <c r="AE143" s="12">
        <v>150</v>
      </c>
      <c r="AF143" s="14">
        <v>0</v>
      </c>
      <c r="AG143" s="5">
        <v>0</v>
      </c>
      <c r="AH143" s="5">
        <v>0</v>
      </c>
      <c r="AI143" s="5">
        <v>0</v>
      </c>
      <c r="AJ143" s="5">
        <v>956.45</v>
      </c>
      <c r="AK143" s="5">
        <v>0</v>
      </c>
      <c r="AL143" s="5">
        <v>956.45</v>
      </c>
      <c r="AM143" s="8"/>
      <c r="AN143" s="8"/>
    </row>
    <row r="144" spans="1:40" ht="16" thickBot="1">
      <c r="A144" s="3">
        <v>143</v>
      </c>
      <c r="B144" s="19">
        <v>45937</v>
      </c>
      <c r="C144" s="5" t="s">
        <v>40</v>
      </c>
      <c r="D144" s="5" t="s">
        <v>41</v>
      </c>
      <c r="E144" s="6" t="s">
        <v>42</v>
      </c>
      <c r="F144" s="7" t="s">
        <v>99</v>
      </c>
      <c r="G144" s="5" t="s">
        <v>44</v>
      </c>
      <c r="H144" s="5" t="s">
        <v>45</v>
      </c>
      <c r="I144" s="5">
        <v>4</v>
      </c>
      <c r="J144" s="5">
        <v>8</v>
      </c>
      <c r="K144" s="5">
        <v>25000</v>
      </c>
      <c r="L144" s="5">
        <v>1000</v>
      </c>
      <c r="M144" s="5">
        <v>55</v>
      </c>
      <c r="N144" s="5">
        <v>31</v>
      </c>
      <c r="O144" s="6" t="s">
        <v>67</v>
      </c>
      <c r="P144" s="8"/>
      <c r="Q144" s="16">
        <v>4.9999999999999996E-2</v>
      </c>
      <c r="R144" s="16">
        <v>0.16175925925925924</v>
      </c>
      <c r="S144" s="6">
        <v>86666</v>
      </c>
      <c r="T144" s="16">
        <v>0.34513888888888888</v>
      </c>
      <c r="U144" s="16">
        <v>0.3452662037037037</v>
      </c>
      <c r="V144" s="6">
        <v>86696</v>
      </c>
      <c r="W144" s="6">
        <v>17</v>
      </c>
      <c r="X144" s="6">
        <v>17</v>
      </c>
      <c r="Y144" s="12">
        <v>0</v>
      </c>
      <c r="Z144" s="12">
        <v>30</v>
      </c>
      <c r="AA144" s="12">
        <v>30</v>
      </c>
      <c r="AB144" s="12">
        <v>0</v>
      </c>
      <c r="AC144" s="12">
        <v>0</v>
      </c>
      <c r="AD144" s="13">
        <v>1</v>
      </c>
      <c r="AE144" s="12">
        <v>150</v>
      </c>
      <c r="AF144" s="14">
        <v>0</v>
      </c>
      <c r="AG144" s="5">
        <v>0</v>
      </c>
      <c r="AH144" s="5">
        <v>0</v>
      </c>
      <c r="AI144" s="5">
        <v>0</v>
      </c>
      <c r="AJ144" s="5">
        <v>956.45</v>
      </c>
      <c r="AK144" s="5">
        <v>0</v>
      </c>
      <c r="AL144" s="5">
        <v>956.45</v>
      </c>
      <c r="AM144" s="8"/>
      <c r="AN144" s="8"/>
    </row>
    <row r="145" spans="1:40" ht="16" thickBot="1">
      <c r="A145" s="3">
        <v>144</v>
      </c>
      <c r="B145" s="19">
        <v>45937</v>
      </c>
      <c r="C145" s="5" t="s">
        <v>40</v>
      </c>
      <c r="D145" s="5" t="s">
        <v>41</v>
      </c>
      <c r="E145" s="6" t="s">
        <v>42</v>
      </c>
      <c r="F145" s="7" t="s">
        <v>101</v>
      </c>
      <c r="G145" s="5" t="s">
        <v>44</v>
      </c>
      <c r="H145" s="5" t="s">
        <v>45</v>
      </c>
      <c r="I145" s="5">
        <v>4</v>
      </c>
      <c r="J145" s="5">
        <v>8</v>
      </c>
      <c r="K145" s="5">
        <v>25000</v>
      </c>
      <c r="L145" s="5">
        <v>1000</v>
      </c>
      <c r="M145" s="5">
        <v>55</v>
      </c>
      <c r="N145" s="5">
        <v>31</v>
      </c>
      <c r="O145" s="6" t="s">
        <v>92</v>
      </c>
      <c r="P145" s="8"/>
      <c r="Q145" s="16">
        <v>0.14166666666666666</v>
      </c>
      <c r="R145" s="16">
        <v>0.17578703703703702</v>
      </c>
      <c r="S145" s="6">
        <v>117476</v>
      </c>
      <c r="T145" s="16">
        <v>0.46880787037037036</v>
      </c>
      <c r="U145" s="16">
        <v>0.46891203703703704</v>
      </c>
      <c r="V145" s="6">
        <v>117524</v>
      </c>
      <c r="W145" s="6">
        <v>30</v>
      </c>
      <c r="X145" s="6">
        <v>0</v>
      </c>
      <c r="Y145" s="12">
        <v>30</v>
      </c>
      <c r="Z145" s="12">
        <v>48</v>
      </c>
      <c r="AA145" s="12">
        <v>48</v>
      </c>
      <c r="AB145" s="12">
        <v>0</v>
      </c>
      <c r="AC145" s="12">
        <v>0</v>
      </c>
      <c r="AD145" s="13">
        <v>4</v>
      </c>
      <c r="AE145" s="12">
        <v>600</v>
      </c>
      <c r="AF145" s="14">
        <v>0</v>
      </c>
      <c r="AG145" s="5">
        <v>0</v>
      </c>
      <c r="AH145" s="5">
        <v>0</v>
      </c>
      <c r="AI145" s="5">
        <v>0</v>
      </c>
      <c r="AJ145" s="5">
        <v>1406.45</v>
      </c>
      <c r="AK145" s="5">
        <v>0</v>
      </c>
      <c r="AL145" s="5">
        <v>1406.45</v>
      </c>
      <c r="AM145" s="8"/>
      <c r="AN145" s="8"/>
    </row>
    <row r="146" spans="1:40" ht="16" thickBot="1">
      <c r="A146" s="3">
        <v>145</v>
      </c>
      <c r="B146" s="19">
        <v>45937</v>
      </c>
      <c r="C146" s="5" t="s">
        <v>40</v>
      </c>
      <c r="D146" s="5" t="s">
        <v>41</v>
      </c>
      <c r="E146" s="6" t="s">
        <v>42</v>
      </c>
      <c r="F146" s="7" t="s">
        <v>68</v>
      </c>
      <c r="G146" s="5" t="s">
        <v>44</v>
      </c>
      <c r="H146" s="5" t="s">
        <v>45</v>
      </c>
      <c r="I146" s="5">
        <v>4</v>
      </c>
      <c r="J146" s="5">
        <v>8</v>
      </c>
      <c r="K146" s="5">
        <v>25000</v>
      </c>
      <c r="L146" s="5">
        <v>1000</v>
      </c>
      <c r="M146" s="5">
        <v>55</v>
      </c>
      <c r="N146" s="5">
        <v>31</v>
      </c>
      <c r="O146" s="6" t="s">
        <v>136</v>
      </c>
      <c r="P146" s="8"/>
      <c r="Q146" s="16">
        <v>5.0694444444444452E-2</v>
      </c>
      <c r="R146" s="16">
        <v>0.16236111111111109</v>
      </c>
      <c r="S146" s="6">
        <v>82972</v>
      </c>
      <c r="T146" s="16">
        <v>0.38806712962962964</v>
      </c>
      <c r="U146" s="16">
        <v>0.38817129629629626</v>
      </c>
      <c r="V146" s="6">
        <v>82991</v>
      </c>
      <c r="W146" s="6">
        <v>34</v>
      </c>
      <c r="X146" s="6">
        <v>47</v>
      </c>
      <c r="Y146" s="12">
        <v>-13</v>
      </c>
      <c r="Z146" s="12">
        <v>19</v>
      </c>
      <c r="AA146" s="12">
        <v>19</v>
      </c>
      <c r="AB146" s="12">
        <v>0</v>
      </c>
      <c r="AC146" s="12">
        <v>0</v>
      </c>
      <c r="AD146" s="13">
        <v>2</v>
      </c>
      <c r="AE146" s="12">
        <v>300</v>
      </c>
      <c r="AF146" s="14">
        <v>0</v>
      </c>
      <c r="AG146" s="5">
        <v>0</v>
      </c>
      <c r="AH146" s="5">
        <v>0</v>
      </c>
      <c r="AI146" s="5">
        <v>0</v>
      </c>
      <c r="AJ146" s="5">
        <v>1106.45</v>
      </c>
      <c r="AK146" s="5">
        <v>0</v>
      </c>
      <c r="AL146" s="5">
        <v>1106.45</v>
      </c>
      <c r="AM146" s="8"/>
      <c r="AN146" s="8"/>
    </row>
    <row r="147" spans="1:40" ht="16" thickBot="1">
      <c r="A147" s="3">
        <v>146</v>
      </c>
      <c r="B147" s="19">
        <v>45937</v>
      </c>
      <c r="C147" s="5" t="s">
        <v>40</v>
      </c>
      <c r="D147" s="5" t="s">
        <v>41</v>
      </c>
      <c r="E147" s="6" t="s">
        <v>42</v>
      </c>
      <c r="F147" s="7" t="s">
        <v>70</v>
      </c>
      <c r="G147" s="5" t="s">
        <v>44</v>
      </c>
      <c r="H147" s="5" t="s">
        <v>45</v>
      </c>
      <c r="I147" s="5">
        <v>4</v>
      </c>
      <c r="J147" s="5">
        <v>8</v>
      </c>
      <c r="K147" s="5">
        <v>25000</v>
      </c>
      <c r="L147" s="5">
        <v>1000</v>
      </c>
      <c r="M147" s="5">
        <v>55</v>
      </c>
      <c r="N147" s="5">
        <v>31</v>
      </c>
      <c r="O147" s="6" t="s">
        <v>141</v>
      </c>
      <c r="P147" s="8"/>
      <c r="Q147" s="16">
        <v>9.1666666666666674E-2</v>
      </c>
      <c r="R147" s="16">
        <v>0.17494212962962963</v>
      </c>
      <c r="S147" s="6">
        <v>36267</v>
      </c>
      <c r="T147" s="16">
        <v>0.28891203703703705</v>
      </c>
      <c r="U147" s="16">
        <v>0.28899305555555554</v>
      </c>
      <c r="V147" s="6">
        <v>36279</v>
      </c>
      <c r="W147" s="6">
        <v>70</v>
      </c>
      <c r="X147" s="6">
        <v>70</v>
      </c>
      <c r="Y147" s="12">
        <v>0</v>
      </c>
      <c r="Z147" s="12">
        <v>12</v>
      </c>
      <c r="AA147" s="12">
        <v>12</v>
      </c>
      <c r="AB147" s="12">
        <v>0</v>
      </c>
      <c r="AC147" s="12">
        <v>0</v>
      </c>
      <c r="AD147" s="13">
        <v>0</v>
      </c>
      <c r="AE147" s="12">
        <v>0</v>
      </c>
      <c r="AF147" s="14">
        <v>0</v>
      </c>
      <c r="AG147" s="5">
        <v>0</v>
      </c>
      <c r="AH147" s="5">
        <v>0</v>
      </c>
      <c r="AI147" s="5">
        <v>0</v>
      </c>
      <c r="AJ147" s="5">
        <v>806.45</v>
      </c>
      <c r="AK147" s="5">
        <v>0</v>
      </c>
      <c r="AL147" s="5">
        <v>806.45</v>
      </c>
      <c r="AM147" s="8"/>
      <c r="AN147" s="8"/>
    </row>
    <row r="148" spans="1:40" ht="16" thickBot="1">
      <c r="A148" s="3">
        <v>147</v>
      </c>
      <c r="B148" s="19">
        <v>45937</v>
      </c>
      <c r="C148" s="5" t="s">
        <v>40</v>
      </c>
      <c r="D148" s="5" t="s">
        <v>41</v>
      </c>
      <c r="E148" s="6" t="s">
        <v>42</v>
      </c>
      <c r="F148" s="7" t="s">
        <v>72</v>
      </c>
      <c r="G148" s="5" t="s">
        <v>44</v>
      </c>
      <c r="H148" s="5" t="s">
        <v>45</v>
      </c>
      <c r="I148" s="5">
        <v>6</v>
      </c>
      <c r="J148" s="5">
        <v>8</v>
      </c>
      <c r="K148" s="5">
        <v>33000</v>
      </c>
      <c r="L148" s="5">
        <v>2000</v>
      </c>
      <c r="M148" s="5">
        <v>55</v>
      </c>
      <c r="N148" s="5">
        <v>31</v>
      </c>
      <c r="O148" s="6" t="s">
        <v>73</v>
      </c>
      <c r="P148" s="8"/>
      <c r="Q148" s="16">
        <v>8.3333333333333329E-2</v>
      </c>
      <c r="R148" s="16">
        <v>0.18042824074074074</v>
      </c>
      <c r="S148" s="6">
        <v>32304</v>
      </c>
      <c r="T148" s="16">
        <v>0.29873842592592592</v>
      </c>
      <c r="U148" s="16">
        <v>0.29887731481481483</v>
      </c>
      <c r="V148" s="6">
        <v>32376</v>
      </c>
      <c r="W148" s="6">
        <v>35</v>
      </c>
      <c r="X148" s="6">
        <v>35</v>
      </c>
      <c r="Y148" s="12">
        <v>0</v>
      </c>
      <c r="Z148" s="12">
        <v>72</v>
      </c>
      <c r="AA148" s="12">
        <v>72</v>
      </c>
      <c r="AB148" s="12">
        <v>0</v>
      </c>
      <c r="AC148" s="12">
        <v>0</v>
      </c>
      <c r="AD148" s="13">
        <v>0</v>
      </c>
      <c r="AE148" s="12">
        <v>0</v>
      </c>
      <c r="AF148" s="14">
        <v>0</v>
      </c>
      <c r="AG148" s="5">
        <v>0</v>
      </c>
      <c r="AH148" s="5">
        <v>0</v>
      </c>
      <c r="AI148" s="5">
        <v>0</v>
      </c>
      <c r="AJ148" s="5">
        <v>1064.52</v>
      </c>
      <c r="AK148" s="5">
        <v>0</v>
      </c>
      <c r="AL148" s="5">
        <v>1064.52</v>
      </c>
      <c r="AM148" s="8"/>
      <c r="AN148" s="8"/>
    </row>
    <row r="149" spans="1:40" ht="16" thickBot="1">
      <c r="A149" s="3">
        <v>148</v>
      </c>
      <c r="B149" s="19">
        <v>45937</v>
      </c>
      <c r="C149" s="5" t="s">
        <v>40</v>
      </c>
      <c r="D149" s="5" t="s">
        <v>41</v>
      </c>
      <c r="E149" s="6" t="s">
        <v>42</v>
      </c>
      <c r="F149" s="7" t="s">
        <v>74</v>
      </c>
      <c r="G149" s="5" t="s">
        <v>44</v>
      </c>
      <c r="H149" s="5" t="s">
        <v>45</v>
      </c>
      <c r="I149" s="5">
        <v>4</v>
      </c>
      <c r="J149" s="5">
        <v>8</v>
      </c>
      <c r="K149" s="5">
        <v>25000</v>
      </c>
      <c r="L149" s="5">
        <v>1000</v>
      </c>
      <c r="M149" s="5">
        <v>55</v>
      </c>
      <c r="N149" s="5">
        <v>31</v>
      </c>
      <c r="O149" s="6" t="s">
        <v>75</v>
      </c>
      <c r="P149" s="8"/>
      <c r="Q149" s="16">
        <v>9.375E-2</v>
      </c>
      <c r="R149" s="16">
        <v>0.16199074074074074</v>
      </c>
      <c r="S149" s="6">
        <v>37553</v>
      </c>
      <c r="T149" s="16">
        <v>0.33395833333333336</v>
      </c>
      <c r="U149" s="16">
        <v>0.33405092592592589</v>
      </c>
      <c r="V149" s="6">
        <v>37567</v>
      </c>
      <c r="W149" s="6">
        <v>62</v>
      </c>
      <c r="X149" s="6">
        <v>62</v>
      </c>
      <c r="Y149" s="12">
        <v>0</v>
      </c>
      <c r="Z149" s="12">
        <v>14</v>
      </c>
      <c r="AA149" s="12">
        <v>14</v>
      </c>
      <c r="AB149" s="12">
        <v>0</v>
      </c>
      <c r="AC149" s="12">
        <v>0</v>
      </c>
      <c r="AD149" s="13">
        <v>0</v>
      </c>
      <c r="AE149" s="12">
        <v>0</v>
      </c>
      <c r="AF149" s="14">
        <v>0</v>
      </c>
      <c r="AG149" s="5">
        <v>0</v>
      </c>
      <c r="AH149" s="5">
        <v>0</v>
      </c>
      <c r="AI149" s="5">
        <v>0</v>
      </c>
      <c r="AJ149" s="5">
        <v>806.45</v>
      </c>
      <c r="AK149" s="5">
        <v>0</v>
      </c>
      <c r="AL149" s="5">
        <v>806.45</v>
      </c>
      <c r="AM149" s="8"/>
      <c r="AN149" s="8"/>
    </row>
    <row r="150" spans="1:40" ht="16" thickBot="1">
      <c r="A150" s="3">
        <v>149</v>
      </c>
      <c r="B150" s="19">
        <v>45937</v>
      </c>
      <c r="C150" s="5" t="s">
        <v>40</v>
      </c>
      <c r="D150" s="5" t="s">
        <v>41</v>
      </c>
      <c r="E150" s="6" t="s">
        <v>42</v>
      </c>
      <c r="F150" s="7" t="s">
        <v>78</v>
      </c>
      <c r="G150" s="5" t="s">
        <v>44</v>
      </c>
      <c r="H150" s="5" t="s">
        <v>45</v>
      </c>
      <c r="I150" s="5">
        <v>4</v>
      </c>
      <c r="J150" s="5">
        <v>8</v>
      </c>
      <c r="K150" s="5">
        <v>25000</v>
      </c>
      <c r="L150" s="5">
        <v>1000</v>
      </c>
      <c r="M150" s="5">
        <v>55</v>
      </c>
      <c r="N150" s="5">
        <v>31</v>
      </c>
      <c r="O150" s="6" t="s">
        <v>79</v>
      </c>
      <c r="P150" s="8"/>
      <c r="Q150" s="16">
        <v>3.3333333333333333E-2</v>
      </c>
      <c r="R150" s="16">
        <v>0.16153935185185184</v>
      </c>
      <c r="S150" s="6">
        <v>6721</v>
      </c>
      <c r="T150" s="16">
        <v>0.34447916666666667</v>
      </c>
      <c r="U150" s="16">
        <v>0.34453703703703703</v>
      </c>
      <c r="V150" s="6">
        <v>6753</v>
      </c>
      <c r="W150" s="6">
        <v>35</v>
      </c>
      <c r="X150" s="6">
        <v>35</v>
      </c>
      <c r="Y150" s="12">
        <v>0</v>
      </c>
      <c r="Z150" s="12">
        <v>32</v>
      </c>
      <c r="AA150" s="12">
        <v>32</v>
      </c>
      <c r="AB150" s="12">
        <v>0</v>
      </c>
      <c r="AC150" s="12">
        <v>0</v>
      </c>
      <c r="AD150" s="13">
        <v>1</v>
      </c>
      <c r="AE150" s="12">
        <v>150</v>
      </c>
      <c r="AF150" s="14">
        <v>0</v>
      </c>
      <c r="AG150" s="5">
        <v>0</v>
      </c>
      <c r="AH150" s="5">
        <v>0</v>
      </c>
      <c r="AI150" s="5">
        <v>0</v>
      </c>
      <c r="AJ150" s="5">
        <v>956.45</v>
      </c>
      <c r="AK150" s="5">
        <v>0</v>
      </c>
      <c r="AL150" s="5">
        <v>956.45</v>
      </c>
      <c r="AM150" s="8"/>
      <c r="AN150" s="8"/>
    </row>
    <row r="151" spans="1:40" ht="16" thickBot="1">
      <c r="A151" s="3">
        <v>150</v>
      </c>
      <c r="B151" s="19">
        <v>45937</v>
      </c>
      <c r="C151" s="5" t="s">
        <v>40</v>
      </c>
      <c r="D151" s="5" t="s">
        <v>41</v>
      </c>
      <c r="E151" s="6" t="s">
        <v>42</v>
      </c>
      <c r="F151" s="7" t="s">
        <v>80</v>
      </c>
      <c r="G151" s="5" t="s">
        <v>44</v>
      </c>
      <c r="H151" s="5" t="s">
        <v>45</v>
      </c>
      <c r="I151" s="5">
        <v>4</v>
      </c>
      <c r="J151" s="5">
        <v>8</v>
      </c>
      <c r="K151" s="5">
        <v>25000</v>
      </c>
      <c r="L151" s="5">
        <v>1000</v>
      </c>
      <c r="M151" s="5">
        <v>55</v>
      </c>
      <c r="N151" s="5">
        <v>31</v>
      </c>
      <c r="O151" s="6" t="s">
        <v>81</v>
      </c>
      <c r="P151" s="8"/>
      <c r="Q151" s="16">
        <v>3.4722222222222224E-2</v>
      </c>
      <c r="R151" s="16">
        <v>0.16299768518518518</v>
      </c>
      <c r="S151" s="6">
        <v>3906</v>
      </c>
      <c r="T151" s="16">
        <v>0.33416666666666667</v>
      </c>
      <c r="U151" s="16">
        <v>0.33424768518518522</v>
      </c>
      <c r="V151" s="6">
        <v>3923</v>
      </c>
      <c r="W151" s="6">
        <v>38</v>
      </c>
      <c r="X151" s="6">
        <v>38</v>
      </c>
      <c r="Y151" s="12">
        <v>0</v>
      </c>
      <c r="Z151" s="12">
        <v>17</v>
      </c>
      <c r="AA151" s="12">
        <v>17</v>
      </c>
      <c r="AB151" s="12">
        <v>0</v>
      </c>
      <c r="AC151" s="12">
        <v>0</v>
      </c>
      <c r="AD151" s="13">
        <v>1</v>
      </c>
      <c r="AE151" s="12">
        <v>150</v>
      </c>
      <c r="AF151" s="14">
        <v>0</v>
      </c>
      <c r="AG151" s="5">
        <v>0</v>
      </c>
      <c r="AH151" s="5">
        <v>0</v>
      </c>
      <c r="AI151" s="5">
        <v>0</v>
      </c>
      <c r="AJ151" s="5">
        <v>956.45</v>
      </c>
      <c r="AK151" s="5">
        <v>0</v>
      </c>
      <c r="AL151" s="5">
        <v>956.45</v>
      </c>
      <c r="AM151" s="8"/>
      <c r="AN151" s="8"/>
    </row>
    <row r="152" spans="1:40" ht="16" thickBot="1">
      <c r="A152" s="3">
        <v>151</v>
      </c>
      <c r="B152" s="19">
        <v>45937</v>
      </c>
      <c r="C152" s="5" t="s">
        <v>40</v>
      </c>
      <c r="D152" s="5" t="s">
        <v>41</v>
      </c>
      <c r="E152" s="6" t="s">
        <v>42</v>
      </c>
      <c r="F152" s="7" t="s">
        <v>105</v>
      </c>
      <c r="G152" s="5" t="s">
        <v>44</v>
      </c>
      <c r="H152" s="5" t="s">
        <v>45</v>
      </c>
      <c r="I152" s="5">
        <v>4</v>
      </c>
      <c r="J152" s="5">
        <v>8</v>
      </c>
      <c r="K152" s="5">
        <v>25000</v>
      </c>
      <c r="L152" s="5">
        <v>1000</v>
      </c>
      <c r="M152" s="5">
        <v>55</v>
      </c>
      <c r="N152" s="5">
        <v>31</v>
      </c>
      <c r="O152" s="6" t="s">
        <v>118</v>
      </c>
      <c r="P152" s="8"/>
      <c r="Q152" s="16">
        <v>0.12083333333333333</v>
      </c>
      <c r="R152" s="16">
        <v>0.17917824074074074</v>
      </c>
      <c r="S152" s="6">
        <v>40963</v>
      </c>
      <c r="T152" s="16">
        <v>0.29446759259259259</v>
      </c>
      <c r="U152" s="16">
        <v>0.29462962962962963</v>
      </c>
      <c r="V152" s="6">
        <v>40992</v>
      </c>
      <c r="W152" s="6">
        <v>52</v>
      </c>
      <c r="X152" s="6">
        <v>52</v>
      </c>
      <c r="Y152" s="12">
        <v>0</v>
      </c>
      <c r="Z152" s="12">
        <v>29</v>
      </c>
      <c r="AA152" s="12">
        <v>29</v>
      </c>
      <c r="AB152" s="12">
        <v>0</v>
      </c>
      <c r="AC152" s="12">
        <v>0</v>
      </c>
      <c r="AD152" s="13">
        <v>0</v>
      </c>
      <c r="AE152" s="12">
        <v>0</v>
      </c>
      <c r="AF152" s="14">
        <v>0</v>
      </c>
      <c r="AG152" s="5">
        <v>0</v>
      </c>
      <c r="AH152" s="5">
        <v>0</v>
      </c>
      <c r="AI152" s="5">
        <v>0</v>
      </c>
      <c r="AJ152" s="5">
        <v>806.45</v>
      </c>
      <c r="AK152" s="5">
        <v>0</v>
      </c>
      <c r="AL152" s="5">
        <v>806.45</v>
      </c>
      <c r="AM152" s="8"/>
      <c r="AN152" s="8"/>
    </row>
    <row r="153" spans="1:40" ht="16" thickBot="1">
      <c r="A153" s="3">
        <v>152</v>
      </c>
      <c r="B153" s="19">
        <v>45937</v>
      </c>
      <c r="C153" s="5" t="s">
        <v>40</v>
      </c>
      <c r="D153" s="5" t="s">
        <v>41</v>
      </c>
      <c r="E153" s="6" t="s">
        <v>42</v>
      </c>
      <c r="F153" s="7" t="s">
        <v>82</v>
      </c>
      <c r="G153" s="10" t="s">
        <v>83</v>
      </c>
      <c r="H153" s="5" t="s">
        <v>84</v>
      </c>
      <c r="I153" s="5">
        <v>4</v>
      </c>
      <c r="J153" s="5">
        <v>10</v>
      </c>
      <c r="K153" s="6">
        <v>29000</v>
      </c>
      <c r="L153" s="5">
        <v>1000</v>
      </c>
      <c r="M153" s="5">
        <v>55</v>
      </c>
      <c r="N153" s="5">
        <v>31</v>
      </c>
      <c r="O153" s="6" t="s">
        <v>140</v>
      </c>
      <c r="P153" s="8"/>
      <c r="Q153" s="16">
        <v>0.12986111111111112</v>
      </c>
      <c r="R153" s="16">
        <v>0.18251157407407406</v>
      </c>
      <c r="S153" s="6">
        <v>32303</v>
      </c>
      <c r="T153" s="16">
        <v>0.34831018518518514</v>
      </c>
      <c r="U153" s="16">
        <v>0.34840277777777778</v>
      </c>
      <c r="V153" s="6">
        <v>32320</v>
      </c>
      <c r="W153" s="6">
        <v>52</v>
      </c>
      <c r="X153" s="6">
        <v>52</v>
      </c>
      <c r="Y153" s="12">
        <v>0</v>
      </c>
      <c r="Z153" s="12">
        <v>17</v>
      </c>
      <c r="AA153" s="12">
        <v>17</v>
      </c>
      <c r="AB153" s="12">
        <v>0</v>
      </c>
      <c r="AC153" s="12">
        <v>0</v>
      </c>
      <c r="AD153" s="13">
        <v>1</v>
      </c>
      <c r="AE153" s="12">
        <v>150</v>
      </c>
      <c r="AF153" s="14">
        <v>0</v>
      </c>
      <c r="AG153" s="5">
        <v>0</v>
      </c>
      <c r="AH153" s="5">
        <v>0</v>
      </c>
      <c r="AI153" s="5">
        <v>0</v>
      </c>
      <c r="AJ153" s="5">
        <v>1085.48</v>
      </c>
      <c r="AK153" s="5">
        <v>0</v>
      </c>
      <c r="AL153" s="5">
        <v>1085.48</v>
      </c>
      <c r="AM153" s="8"/>
      <c r="AN153" s="8"/>
    </row>
    <row r="154" spans="1:40" ht="16" thickBot="1">
      <c r="A154" s="3">
        <v>153</v>
      </c>
      <c r="B154" s="19">
        <v>45937</v>
      </c>
      <c r="C154" s="5" t="s">
        <v>40</v>
      </c>
      <c r="D154" s="5" t="s">
        <v>41</v>
      </c>
      <c r="E154" s="6" t="s">
        <v>42</v>
      </c>
      <c r="F154" s="7" t="s">
        <v>87</v>
      </c>
      <c r="G154" s="10" t="s">
        <v>83</v>
      </c>
      <c r="H154" s="5" t="s">
        <v>84</v>
      </c>
      <c r="I154" s="5">
        <v>4</v>
      </c>
      <c r="J154" s="5">
        <v>10</v>
      </c>
      <c r="K154" s="6">
        <v>29000</v>
      </c>
      <c r="L154" s="5">
        <v>1000</v>
      </c>
      <c r="M154" s="5">
        <v>55</v>
      </c>
      <c r="N154" s="5">
        <v>31</v>
      </c>
      <c r="O154" s="6" t="s">
        <v>119</v>
      </c>
      <c r="P154" s="8"/>
      <c r="Q154" s="16">
        <v>0.10694444444444444</v>
      </c>
      <c r="R154" s="16">
        <v>0.18028935185185183</v>
      </c>
      <c r="S154" s="6">
        <v>2771</v>
      </c>
      <c r="T154" s="16">
        <v>0.34557870370370369</v>
      </c>
      <c r="U154" s="16">
        <v>0.34568287037037032</v>
      </c>
      <c r="V154" s="6">
        <v>2808</v>
      </c>
      <c r="W154" s="6">
        <v>28</v>
      </c>
      <c r="X154" s="6">
        <v>28</v>
      </c>
      <c r="Y154" s="12">
        <v>0</v>
      </c>
      <c r="Z154" s="12">
        <v>37</v>
      </c>
      <c r="AA154" s="12">
        <v>37</v>
      </c>
      <c r="AB154" s="12">
        <v>0</v>
      </c>
      <c r="AC154" s="12">
        <v>0</v>
      </c>
      <c r="AD154" s="13">
        <v>1</v>
      </c>
      <c r="AE154" s="12">
        <v>150</v>
      </c>
      <c r="AF154" s="14">
        <v>0</v>
      </c>
      <c r="AG154" s="5">
        <v>0</v>
      </c>
      <c r="AH154" s="5">
        <v>0</v>
      </c>
      <c r="AI154" s="5">
        <v>0</v>
      </c>
      <c r="AJ154" s="5">
        <v>1085.48</v>
      </c>
      <c r="AK154" s="5">
        <v>0</v>
      </c>
      <c r="AL154" s="5">
        <v>1085.48</v>
      </c>
      <c r="AM154" s="8"/>
      <c r="AN154" s="8"/>
    </row>
    <row r="155" spans="1:40" ht="16" thickBot="1">
      <c r="A155" s="3">
        <v>154</v>
      </c>
      <c r="B155" s="19">
        <v>45937</v>
      </c>
      <c r="C155" s="5" t="s">
        <v>40</v>
      </c>
      <c r="D155" s="5" t="s">
        <v>41</v>
      </c>
      <c r="E155" s="6" t="s">
        <v>42</v>
      </c>
      <c r="F155" s="7" t="s">
        <v>89</v>
      </c>
      <c r="G155" s="10" t="s">
        <v>83</v>
      </c>
      <c r="H155" s="5" t="s">
        <v>84</v>
      </c>
      <c r="I155" s="5">
        <v>4</v>
      </c>
      <c r="J155" s="5">
        <v>10</v>
      </c>
      <c r="K155" s="6">
        <v>29000</v>
      </c>
      <c r="L155" s="5">
        <v>1000</v>
      </c>
      <c r="M155" s="5">
        <v>55</v>
      </c>
      <c r="N155" s="5">
        <v>31</v>
      </c>
      <c r="O155" s="6" t="s">
        <v>95</v>
      </c>
      <c r="P155" s="8"/>
      <c r="Q155" s="16">
        <v>8.6805555555555566E-2</v>
      </c>
      <c r="R155" s="16">
        <v>0.15972222222222224</v>
      </c>
      <c r="S155" s="6">
        <v>138790</v>
      </c>
      <c r="T155" s="16">
        <v>0.33306712962962964</v>
      </c>
      <c r="U155" s="16">
        <v>0.33320601851851855</v>
      </c>
      <c r="V155" s="6">
        <v>138818</v>
      </c>
      <c r="W155" s="6">
        <v>55</v>
      </c>
      <c r="X155" s="6">
        <v>55</v>
      </c>
      <c r="Y155" s="12">
        <v>0</v>
      </c>
      <c r="Z155" s="12">
        <v>28</v>
      </c>
      <c r="AA155" s="12">
        <v>28</v>
      </c>
      <c r="AB155" s="12">
        <v>0</v>
      </c>
      <c r="AC155" s="12">
        <v>0</v>
      </c>
      <c r="AD155" s="13">
        <v>0</v>
      </c>
      <c r="AE155" s="12">
        <v>0</v>
      </c>
      <c r="AF155" s="14">
        <v>0</v>
      </c>
      <c r="AG155" s="5">
        <v>0</v>
      </c>
      <c r="AH155" s="5">
        <v>0</v>
      </c>
      <c r="AI155" s="5">
        <v>0</v>
      </c>
      <c r="AJ155" s="5">
        <v>935.48</v>
      </c>
      <c r="AK155" s="5">
        <v>0</v>
      </c>
      <c r="AL155" s="5">
        <v>935.48</v>
      </c>
      <c r="AM155" s="8"/>
      <c r="AN155" s="8"/>
    </row>
    <row r="156" spans="1:40" ht="16" thickBot="1">
      <c r="A156" s="3">
        <v>155</v>
      </c>
      <c r="B156" s="19">
        <v>45938</v>
      </c>
      <c r="C156" s="5" t="s">
        <v>40</v>
      </c>
      <c r="D156" s="5" t="s">
        <v>41</v>
      </c>
      <c r="E156" s="6" t="s">
        <v>42</v>
      </c>
      <c r="F156" s="7" t="s">
        <v>43</v>
      </c>
      <c r="G156" s="5" t="s">
        <v>44</v>
      </c>
      <c r="H156" s="5" t="s">
        <v>45</v>
      </c>
      <c r="I156" s="5">
        <v>4</v>
      </c>
      <c r="J156" s="5">
        <v>8</v>
      </c>
      <c r="K156" s="5">
        <v>25000</v>
      </c>
      <c r="L156" s="5">
        <v>1000</v>
      </c>
      <c r="M156" s="5">
        <v>55</v>
      </c>
      <c r="N156" s="5">
        <v>31</v>
      </c>
      <c r="O156" s="6" t="s">
        <v>138</v>
      </c>
      <c r="P156" s="8"/>
      <c r="Q156" s="16">
        <v>5.347222222222222E-2</v>
      </c>
      <c r="R156" s="16">
        <v>0.1922800925925926</v>
      </c>
      <c r="S156" s="6">
        <v>55845</v>
      </c>
      <c r="T156" s="16">
        <v>0.37041666666666667</v>
      </c>
      <c r="U156" s="16">
        <v>0.3706712962962963</v>
      </c>
      <c r="V156" s="6">
        <v>55875</v>
      </c>
      <c r="W156" s="6">
        <v>31</v>
      </c>
      <c r="X156" s="6">
        <v>31</v>
      </c>
      <c r="Y156" s="12">
        <v>0</v>
      </c>
      <c r="Z156" s="12">
        <v>30</v>
      </c>
      <c r="AA156" s="12">
        <v>30</v>
      </c>
      <c r="AB156" s="12">
        <v>0</v>
      </c>
      <c r="AC156" s="12">
        <v>0</v>
      </c>
      <c r="AD156" s="13">
        <v>1</v>
      </c>
      <c r="AE156" s="12">
        <v>150</v>
      </c>
      <c r="AF156" s="14">
        <v>0</v>
      </c>
      <c r="AG156" s="5">
        <v>0</v>
      </c>
      <c r="AH156" s="5">
        <v>0</v>
      </c>
      <c r="AI156" s="5">
        <v>0</v>
      </c>
      <c r="AJ156" s="5">
        <v>956.45</v>
      </c>
      <c r="AK156" s="5">
        <v>0</v>
      </c>
      <c r="AL156" s="5">
        <v>956.45</v>
      </c>
      <c r="AM156" s="8"/>
      <c r="AN156" s="8"/>
    </row>
    <row r="157" spans="1:40" ht="16" thickBot="1">
      <c r="A157" s="3">
        <v>156</v>
      </c>
      <c r="B157" s="19">
        <v>45938</v>
      </c>
      <c r="C157" s="5" t="s">
        <v>40</v>
      </c>
      <c r="D157" s="5" t="s">
        <v>41</v>
      </c>
      <c r="E157" s="6" t="s">
        <v>42</v>
      </c>
      <c r="F157" s="7" t="s">
        <v>47</v>
      </c>
      <c r="G157" s="5" t="s">
        <v>44</v>
      </c>
      <c r="H157" s="5" t="s">
        <v>45</v>
      </c>
      <c r="I157" s="5">
        <v>4</v>
      </c>
      <c r="J157" s="5">
        <v>8</v>
      </c>
      <c r="K157" s="5">
        <v>25000</v>
      </c>
      <c r="L157" s="5">
        <v>1000</v>
      </c>
      <c r="M157" s="5">
        <v>55</v>
      </c>
      <c r="N157" s="5">
        <v>31</v>
      </c>
      <c r="O157" s="6" t="s">
        <v>69</v>
      </c>
      <c r="P157" s="8"/>
      <c r="Q157" s="16">
        <v>6.3194444444444442E-2</v>
      </c>
      <c r="R157" s="16">
        <v>0.26228009259259261</v>
      </c>
      <c r="S157" s="6">
        <v>191214</v>
      </c>
      <c r="T157" s="16">
        <v>0.271400462962963</v>
      </c>
      <c r="U157" s="16">
        <v>0.27157407407407408</v>
      </c>
      <c r="V157" s="6">
        <v>191224</v>
      </c>
      <c r="W157" s="6">
        <v>0</v>
      </c>
      <c r="X157" s="6">
        <v>0</v>
      </c>
      <c r="Y157" s="12">
        <v>0</v>
      </c>
      <c r="Z157" s="12">
        <v>10</v>
      </c>
      <c r="AA157" s="12">
        <v>10</v>
      </c>
      <c r="AB157" s="12">
        <v>0</v>
      </c>
      <c r="AC157" s="12">
        <v>0</v>
      </c>
      <c r="AD157" s="13">
        <v>0</v>
      </c>
      <c r="AE157" s="12">
        <v>0</v>
      </c>
      <c r="AF157" s="14">
        <v>0</v>
      </c>
      <c r="AG157" s="5">
        <v>0</v>
      </c>
      <c r="AH157" s="5">
        <v>0</v>
      </c>
      <c r="AI157" s="5">
        <v>0</v>
      </c>
      <c r="AJ157" s="5">
        <v>806.45</v>
      </c>
      <c r="AK157" s="5">
        <v>0</v>
      </c>
      <c r="AL157" s="5">
        <v>806.45</v>
      </c>
      <c r="AM157" s="8"/>
      <c r="AN157" s="8"/>
    </row>
    <row r="158" spans="1:40" ht="16" thickBot="1">
      <c r="A158" s="3">
        <v>157</v>
      </c>
      <c r="B158" s="19">
        <v>45938</v>
      </c>
      <c r="C158" s="5" t="s">
        <v>40</v>
      </c>
      <c r="D158" s="5" t="s">
        <v>41</v>
      </c>
      <c r="E158" s="6" t="s">
        <v>42</v>
      </c>
      <c r="F158" s="7" t="s">
        <v>132</v>
      </c>
      <c r="G158" s="5" t="s">
        <v>44</v>
      </c>
      <c r="H158" s="5" t="s">
        <v>45</v>
      </c>
      <c r="I158" s="5">
        <v>4</v>
      </c>
      <c r="J158" s="5">
        <v>8</v>
      </c>
      <c r="K158" s="5">
        <v>25000</v>
      </c>
      <c r="L158" s="5">
        <v>1000</v>
      </c>
      <c r="M158" s="5">
        <v>55</v>
      </c>
      <c r="N158" s="5">
        <v>31</v>
      </c>
      <c r="O158" s="6" t="s">
        <v>144</v>
      </c>
      <c r="P158" s="8"/>
      <c r="Q158" s="16">
        <v>4.8611111111111112E-2</v>
      </c>
      <c r="R158" s="16">
        <v>0.20381944444444444</v>
      </c>
      <c r="S158" s="6">
        <v>109819</v>
      </c>
      <c r="T158" s="16">
        <v>0.29380787037037037</v>
      </c>
      <c r="U158" s="16">
        <v>0.29401620370370368</v>
      </c>
      <c r="V158" s="6">
        <v>109840</v>
      </c>
      <c r="W158" s="6">
        <v>35</v>
      </c>
      <c r="X158" s="6">
        <v>35</v>
      </c>
      <c r="Y158" s="12">
        <v>0</v>
      </c>
      <c r="Z158" s="12">
        <v>21</v>
      </c>
      <c r="AA158" s="12">
        <v>21</v>
      </c>
      <c r="AB158" s="12">
        <v>0</v>
      </c>
      <c r="AC158" s="12">
        <v>0</v>
      </c>
      <c r="AD158" s="13">
        <v>0</v>
      </c>
      <c r="AE158" s="12">
        <v>0</v>
      </c>
      <c r="AF158" s="14">
        <v>0</v>
      </c>
      <c r="AG158" s="5">
        <v>0</v>
      </c>
      <c r="AH158" s="5">
        <v>0</v>
      </c>
      <c r="AI158" s="5">
        <v>0</v>
      </c>
      <c r="AJ158" s="5">
        <v>806.45</v>
      </c>
      <c r="AK158" s="5">
        <v>0</v>
      </c>
      <c r="AL158" s="5">
        <v>806.45</v>
      </c>
      <c r="AM158" s="8"/>
      <c r="AN158" s="8"/>
    </row>
    <row r="159" spans="1:40" ht="16" thickBot="1">
      <c r="A159" s="3">
        <v>158</v>
      </c>
      <c r="B159" s="19">
        <v>45938</v>
      </c>
      <c r="C159" s="5" t="s">
        <v>40</v>
      </c>
      <c r="D159" s="5" t="s">
        <v>41</v>
      </c>
      <c r="E159" s="6" t="s">
        <v>42</v>
      </c>
      <c r="F159" s="7" t="s">
        <v>49</v>
      </c>
      <c r="G159" s="5" t="s">
        <v>44</v>
      </c>
      <c r="H159" s="5" t="s">
        <v>45</v>
      </c>
      <c r="I159" s="5">
        <v>6</v>
      </c>
      <c r="J159" s="5">
        <v>8</v>
      </c>
      <c r="K159" s="5">
        <v>33000</v>
      </c>
      <c r="L159" s="5">
        <v>2000</v>
      </c>
      <c r="M159" s="5">
        <v>55</v>
      </c>
      <c r="N159" s="5">
        <v>31</v>
      </c>
      <c r="O159" s="6" t="s">
        <v>50</v>
      </c>
      <c r="P159" s="8"/>
      <c r="Q159" s="16">
        <v>7.7777777777777779E-2</v>
      </c>
      <c r="R159" s="16">
        <v>0.19703703703703704</v>
      </c>
      <c r="S159" s="6">
        <v>99049</v>
      </c>
      <c r="T159" s="16">
        <v>0.41604166666666664</v>
      </c>
      <c r="U159" s="16">
        <v>0.41609953703703706</v>
      </c>
      <c r="V159" s="6">
        <v>99090</v>
      </c>
      <c r="W159" s="6">
        <v>24</v>
      </c>
      <c r="X159" s="6">
        <v>31</v>
      </c>
      <c r="Y159" s="12">
        <v>-7</v>
      </c>
      <c r="Z159" s="12">
        <v>41</v>
      </c>
      <c r="AA159" s="12">
        <v>41</v>
      </c>
      <c r="AB159" s="12">
        <v>0</v>
      </c>
      <c r="AC159" s="12">
        <v>0</v>
      </c>
      <c r="AD159" s="13">
        <v>1</v>
      </c>
      <c r="AE159" s="12">
        <v>150</v>
      </c>
      <c r="AF159" s="14">
        <v>0</v>
      </c>
      <c r="AG159" s="5">
        <v>0</v>
      </c>
      <c r="AH159" s="5">
        <v>0</v>
      </c>
      <c r="AI159" s="5">
        <v>0</v>
      </c>
      <c r="AJ159" s="5">
        <v>1214.52</v>
      </c>
      <c r="AK159" s="5">
        <v>0</v>
      </c>
      <c r="AL159" s="5">
        <v>1214.52</v>
      </c>
      <c r="AM159" s="8"/>
      <c r="AN159" s="8"/>
    </row>
    <row r="160" spans="1:40" ht="16" thickBot="1">
      <c r="A160" s="3">
        <v>159</v>
      </c>
      <c r="B160" s="19">
        <v>45938</v>
      </c>
      <c r="C160" s="5" t="s">
        <v>40</v>
      </c>
      <c r="D160" s="5" t="s">
        <v>41</v>
      </c>
      <c r="E160" s="6" t="s">
        <v>42</v>
      </c>
      <c r="F160" s="7" t="s">
        <v>51</v>
      </c>
      <c r="G160" s="5" t="s">
        <v>44</v>
      </c>
      <c r="H160" s="5" t="s">
        <v>45</v>
      </c>
      <c r="I160" s="5">
        <v>4</v>
      </c>
      <c r="J160" s="5">
        <v>8</v>
      </c>
      <c r="K160" s="5">
        <v>25000</v>
      </c>
      <c r="L160" s="5">
        <v>1000</v>
      </c>
      <c r="M160" s="5">
        <v>55</v>
      </c>
      <c r="N160" s="5">
        <v>31</v>
      </c>
      <c r="O160" s="6" t="s">
        <v>46</v>
      </c>
      <c r="P160" s="8"/>
      <c r="Q160" s="16">
        <v>0.12708333333333333</v>
      </c>
      <c r="R160" s="16">
        <v>0.28966435185185185</v>
      </c>
      <c r="S160" s="6">
        <v>83554</v>
      </c>
      <c r="T160" s="16">
        <v>0.28976851851851854</v>
      </c>
      <c r="U160" s="16">
        <v>0.28983796296296299</v>
      </c>
      <c r="V160" s="6">
        <v>83554</v>
      </c>
      <c r="W160" s="6">
        <v>0</v>
      </c>
      <c r="X160" s="6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3">
        <v>0</v>
      </c>
      <c r="AE160" s="12">
        <v>0</v>
      </c>
      <c r="AF160" s="14">
        <v>0</v>
      </c>
      <c r="AG160" s="5">
        <v>0</v>
      </c>
      <c r="AH160" s="5">
        <v>0</v>
      </c>
      <c r="AI160" s="5">
        <v>0</v>
      </c>
      <c r="AJ160" s="5">
        <v>806.45</v>
      </c>
      <c r="AK160" s="5">
        <v>0</v>
      </c>
      <c r="AL160" s="5">
        <v>806.45</v>
      </c>
      <c r="AM160" s="8"/>
      <c r="AN160" s="8"/>
    </row>
    <row r="161" spans="1:40" ht="16" thickBot="1">
      <c r="A161" s="3">
        <v>160</v>
      </c>
      <c r="B161" s="19">
        <v>45938</v>
      </c>
      <c r="C161" s="5" t="s">
        <v>40</v>
      </c>
      <c r="D161" s="5" t="s">
        <v>41</v>
      </c>
      <c r="E161" s="6" t="s">
        <v>42</v>
      </c>
      <c r="F161" s="7" t="s">
        <v>145</v>
      </c>
      <c r="G161" s="5" t="s">
        <v>44</v>
      </c>
      <c r="H161" s="5" t="s">
        <v>45</v>
      </c>
      <c r="I161" s="5">
        <v>4</v>
      </c>
      <c r="J161" s="5">
        <v>8</v>
      </c>
      <c r="K161" s="5">
        <v>25000</v>
      </c>
      <c r="L161" s="5">
        <v>1000</v>
      </c>
      <c r="M161" s="5">
        <v>55</v>
      </c>
      <c r="N161" s="5">
        <v>31</v>
      </c>
      <c r="O161" s="6" t="s">
        <v>146</v>
      </c>
      <c r="P161" s="8"/>
      <c r="Q161" s="16">
        <v>4.9305555555555554E-2</v>
      </c>
      <c r="R161" s="16">
        <v>0.19931712962962964</v>
      </c>
      <c r="S161" s="6">
        <v>37198</v>
      </c>
      <c r="T161" s="16">
        <v>0.36052083333333335</v>
      </c>
      <c r="U161" s="16">
        <v>0.3752314814814815</v>
      </c>
      <c r="V161" s="6">
        <v>37198</v>
      </c>
      <c r="W161" s="6">
        <v>31</v>
      </c>
      <c r="X161" s="6">
        <v>33</v>
      </c>
      <c r="Y161" s="12">
        <v>-2</v>
      </c>
      <c r="Z161" s="12">
        <v>0</v>
      </c>
      <c r="AA161" s="12">
        <v>0</v>
      </c>
      <c r="AB161" s="12">
        <v>0</v>
      </c>
      <c r="AC161" s="12">
        <v>0</v>
      </c>
      <c r="AD161" s="13">
        <v>1</v>
      </c>
      <c r="AE161" s="12">
        <v>150</v>
      </c>
      <c r="AF161" s="14">
        <v>0</v>
      </c>
      <c r="AG161" s="5">
        <v>0</v>
      </c>
      <c r="AH161" s="5">
        <v>0</v>
      </c>
      <c r="AI161" s="5">
        <v>0</v>
      </c>
      <c r="AJ161" s="5">
        <v>956.45</v>
      </c>
      <c r="AK161" s="5">
        <v>0</v>
      </c>
      <c r="AL161" s="5">
        <v>956.45</v>
      </c>
      <c r="AM161" s="8"/>
      <c r="AN161" s="8"/>
    </row>
    <row r="162" spans="1:40" ht="16" thickBot="1">
      <c r="A162" s="3">
        <v>161</v>
      </c>
      <c r="B162" s="19">
        <v>45938</v>
      </c>
      <c r="C162" s="5" t="s">
        <v>40</v>
      </c>
      <c r="D162" s="5" t="s">
        <v>41</v>
      </c>
      <c r="E162" s="6" t="s">
        <v>42</v>
      </c>
      <c r="F162" s="7" t="s">
        <v>53</v>
      </c>
      <c r="G162" s="5" t="s">
        <v>44</v>
      </c>
      <c r="H162" s="5" t="s">
        <v>45</v>
      </c>
      <c r="I162" s="5">
        <v>4</v>
      </c>
      <c r="J162" s="5">
        <v>8</v>
      </c>
      <c r="K162" s="5">
        <v>25000</v>
      </c>
      <c r="L162" s="5">
        <v>1000</v>
      </c>
      <c r="M162" s="5">
        <v>55</v>
      </c>
      <c r="N162" s="5">
        <v>31</v>
      </c>
      <c r="O162" s="6" t="s">
        <v>147</v>
      </c>
      <c r="P162" s="8"/>
      <c r="Q162" s="16">
        <v>0.11875000000000001</v>
      </c>
      <c r="R162" s="16">
        <v>0.19427083333333331</v>
      </c>
      <c r="S162" s="6">
        <v>11422</v>
      </c>
      <c r="T162" s="16">
        <v>0.37706018518518519</v>
      </c>
      <c r="U162" s="16">
        <v>0.37722222222222218</v>
      </c>
      <c r="V162" s="6">
        <v>11444</v>
      </c>
      <c r="W162" s="6">
        <v>61</v>
      </c>
      <c r="X162" s="6">
        <v>61</v>
      </c>
      <c r="Y162" s="12">
        <v>0</v>
      </c>
      <c r="Z162" s="12">
        <v>22</v>
      </c>
      <c r="AA162" s="12">
        <v>22</v>
      </c>
      <c r="AB162" s="12">
        <v>0</v>
      </c>
      <c r="AC162" s="12">
        <v>0</v>
      </c>
      <c r="AD162" s="13">
        <v>2</v>
      </c>
      <c r="AE162" s="12">
        <v>300</v>
      </c>
      <c r="AF162" s="14">
        <v>0</v>
      </c>
      <c r="AG162" s="5">
        <v>0</v>
      </c>
      <c r="AH162" s="5">
        <v>0</v>
      </c>
      <c r="AI162" s="5">
        <v>0</v>
      </c>
      <c r="AJ162" s="5">
        <v>1106.45</v>
      </c>
      <c r="AK162" s="5">
        <v>0</v>
      </c>
      <c r="AL162" s="5">
        <v>1106.45</v>
      </c>
      <c r="AM162" s="8"/>
      <c r="AN162" s="8"/>
    </row>
    <row r="163" spans="1:40" ht="16" thickBot="1">
      <c r="A163" s="3">
        <v>162</v>
      </c>
      <c r="B163" s="19">
        <v>45938</v>
      </c>
      <c r="C163" s="5" t="s">
        <v>40</v>
      </c>
      <c r="D163" s="5" t="s">
        <v>41</v>
      </c>
      <c r="E163" s="6" t="s">
        <v>42</v>
      </c>
      <c r="F163" s="7" t="s">
        <v>55</v>
      </c>
      <c r="G163" s="5" t="s">
        <v>44</v>
      </c>
      <c r="H163" s="5" t="s">
        <v>45</v>
      </c>
      <c r="I163" s="5">
        <v>4</v>
      </c>
      <c r="J163" s="5">
        <v>8</v>
      </c>
      <c r="K163" s="5">
        <v>25000</v>
      </c>
      <c r="L163" s="5">
        <v>1000</v>
      </c>
      <c r="M163" s="5">
        <v>55</v>
      </c>
      <c r="N163" s="5">
        <v>31</v>
      </c>
      <c r="O163" s="6" t="s">
        <v>56</v>
      </c>
      <c r="P163" s="8"/>
      <c r="Q163" s="16">
        <v>9.2361111111111116E-2</v>
      </c>
      <c r="R163" s="16">
        <v>0.1973263888888889</v>
      </c>
      <c r="S163" s="6">
        <v>145190</v>
      </c>
      <c r="T163" s="16">
        <v>0.3536111111111111</v>
      </c>
      <c r="U163" s="16">
        <v>0.35375000000000001</v>
      </c>
      <c r="V163" s="6">
        <v>145213</v>
      </c>
      <c r="W163" s="6">
        <v>30</v>
      </c>
      <c r="X163" s="6">
        <v>30</v>
      </c>
      <c r="Y163" s="12">
        <v>0</v>
      </c>
      <c r="Z163" s="12">
        <v>23</v>
      </c>
      <c r="AA163" s="12">
        <v>23</v>
      </c>
      <c r="AB163" s="12">
        <v>0</v>
      </c>
      <c r="AC163" s="12">
        <v>0</v>
      </c>
      <c r="AD163" s="13">
        <v>1</v>
      </c>
      <c r="AE163" s="12">
        <v>150</v>
      </c>
      <c r="AF163" s="14">
        <v>0</v>
      </c>
      <c r="AG163" s="5">
        <v>0</v>
      </c>
      <c r="AH163" s="5">
        <v>0</v>
      </c>
      <c r="AI163" s="5">
        <v>0</v>
      </c>
      <c r="AJ163" s="5">
        <v>956.45</v>
      </c>
      <c r="AK163" s="5">
        <v>0</v>
      </c>
      <c r="AL163" s="5">
        <v>956.45</v>
      </c>
      <c r="AM163" s="8"/>
      <c r="AN163" s="8"/>
    </row>
    <row r="164" spans="1:40" ht="16" thickBot="1">
      <c r="A164" s="3">
        <v>163</v>
      </c>
      <c r="B164" s="19">
        <v>45938</v>
      </c>
      <c r="C164" s="5" t="s">
        <v>40</v>
      </c>
      <c r="D164" s="5" t="s">
        <v>41</v>
      </c>
      <c r="E164" s="6" t="s">
        <v>42</v>
      </c>
      <c r="F164" s="7" t="s">
        <v>57</v>
      </c>
      <c r="G164" s="5" t="s">
        <v>44</v>
      </c>
      <c r="H164" s="5" t="s">
        <v>45</v>
      </c>
      <c r="I164" s="5">
        <v>4</v>
      </c>
      <c r="J164" s="5">
        <v>8</v>
      </c>
      <c r="K164" s="5">
        <v>25000</v>
      </c>
      <c r="L164" s="5">
        <v>1000</v>
      </c>
      <c r="M164" s="5">
        <v>55</v>
      </c>
      <c r="N164" s="5">
        <v>31</v>
      </c>
      <c r="O164" s="6" t="s">
        <v>58</v>
      </c>
      <c r="P164" s="8"/>
      <c r="Q164" s="16">
        <v>5.2777777777777778E-2</v>
      </c>
      <c r="R164" s="16">
        <v>0.19575231481481481</v>
      </c>
      <c r="S164" s="6">
        <v>142455</v>
      </c>
      <c r="T164" s="16">
        <v>0.36364583333333328</v>
      </c>
      <c r="U164" s="16">
        <v>0.36376157407407406</v>
      </c>
      <c r="V164" s="6">
        <v>142476</v>
      </c>
      <c r="W164" s="6">
        <v>54</v>
      </c>
      <c r="X164" s="6">
        <v>54</v>
      </c>
      <c r="Y164" s="12">
        <v>0</v>
      </c>
      <c r="Z164" s="12">
        <v>21</v>
      </c>
      <c r="AA164" s="12">
        <v>21</v>
      </c>
      <c r="AB164" s="12">
        <v>0</v>
      </c>
      <c r="AC164" s="12">
        <v>0</v>
      </c>
      <c r="AD164" s="13">
        <v>1</v>
      </c>
      <c r="AE164" s="12">
        <v>150</v>
      </c>
      <c r="AF164" s="14">
        <v>0</v>
      </c>
      <c r="AG164" s="5">
        <v>0</v>
      </c>
      <c r="AH164" s="5">
        <v>0</v>
      </c>
      <c r="AI164" s="5">
        <v>0</v>
      </c>
      <c r="AJ164" s="5">
        <v>956.45</v>
      </c>
      <c r="AK164" s="5">
        <v>0</v>
      </c>
      <c r="AL164" s="5">
        <v>956.45</v>
      </c>
      <c r="AM164" s="8"/>
      <c r="AN164" s="8"/>
    </row>
    <row r="165" spans="1:40" ht="16" thickBot="1">
      <c r="A165" s="3">
        <v>164</v>
      </c>
      <c r="B165" s="19">
        <v>45938</v>
      </c>
      <c r="C165" s="5" t="s">
        <v>40</v>
      </c>
      <c r="D165" s="5" t="s">
        <v>41</v>
      </c>
      <c r="E165" s="6" t="s">
        <v>42</v>
      </c>
      <c r="F165" s="7" t="s">
        <v>59</v>
      </c>
      <c r="G165" s="5" t="s">
        <v>44</v>
      </c>
      <c r="H165" s="5" t="s">
        <v>45</v>
      </c>
      <c r="I165" s="5">
        <v>4</v>
      </c>
      <c r="J165" s="5">
        <v>8</v>
      </c>
      <c r="K165" s="5">
        <v>25000</v>
      </c>
      <c r="L165" s="5">
        <v>1000</v>
      </c>
      <c r="M165" s="5">
        <v>55</v>
      </c>
      <c r="N165" s="5">
        <v>31</v>
      </c>
      <c r="O165" s="6" t="s">
        <v>79</v>
      </c>
      <c r="P165" s="8"/>
      <c r="Q165" s="16">
        <v>0.14444444444444446</v>
      </c>
      <c r="R165" s="16">
        <v>0.20680555555555555</v>
      </c>
      <c r="S165" s="6">
        <v>158523</v>
      </c>
      <c r="T165" s="16">
        <v>0.35451388888888885</v>
      </c>
      <c r="U165" s="16">
        <v>0.35474537037037041</v>
      </c>
      <c r="V165" s="6">
        <v>158546</v>
      </c>
      <c r="W165" s="6">
        <v>44</v>
      </c>
      <c r="X165" s="6">
        <v>44</v>
      </c>
      <c r="Y165" s="12">
        <v>0</v>
      </c>
      <c r="Z165" s="12">
        <v>23</v>
      </c>
      <c r="AA165" s="12">
        <v>23</v>
      </c>
      <c r="AB165" s="12">
        <v>0</v>
      </c>
      <c r="AC165" s="12">
        <v>0</v>
      </c>
      <c r="AD165" s="13">
        <v>1</v>
      </c>
      <c r="AE165" s="12">
        <v>150</v>
      </c>
      <c r="AF165" s="14">
        <v>0</v>
      </c>
      <c r="AG165" s="5">
        <v>0</v>
      </c>
      <c r="AH165" s="5">
        <v>0</v>
      </c>
      <c r="AI165" s="5">
        <v>0</v>
      </c>
      <c r="AJ165" s="5">
        <v>956.45</v>
      </c>
      <c r="AK165" s="5">
        <v>0</v>
      </c>
      <c r="AL165" s="5">
        <v>956.45</v>
      </c>
      <c r="AM165" s="8"/>
      <c r="AN165" s="8"/>
    </row>
    <row r="166" spans="1:40" ht="16" thickBot="1">
      <c r="A166" s="3">
        <v>165</v>
      </c>
      <c r="B166" s="19">
        <v>45938</v>
      </c>
      <c r="C166" s="5" t="s">
        <v>40</v>
      </c>
      <c r="D166" s="5" t="s">
        <v>41</v>
      </c>
      <c r="E166" s="6" t="s">
        <v>42</v>
      </c>
      <c r="F166" s="7" t="s">
        <v>60</v>
      </c>
      <c r="G166" s="5" t="s">
        <v>44</v>
      </c>
      <c r="H166" s="5" t="s">
        <v>45</v>
      </c>
      <c r="I166" s="5">
        <v>4</v>
      </c>
      <c r="J166" s="5">
        <v>8</v>
      </c>
      <c r="K166" s="5">
        <v>25000</v>
      </c>
      <c r="L166" s="5">
        <v>1000</v>
      </c>
      <c r="M166" s="5">
        <v>55</v>
      </c>
      <c r="N166" s="5">
        <v>31</v>
      </c>
      <c r="O166" s="6" t="s">
        <v>69</v>
      </c>
      <c r="P166" s="8"/>
      <c r="Q166" s="16">
        <v>5.6250000000000001E-2</v>
      </c>
      <c r="R166" s="16">
        <v>0.19530092592592593</v>
      </c>
      <c r="S166" s="6">
        <v>112583</v>
      </c>
      <c r="T166" s="16">
        <v>0.34392361111111108</v>
      </c>
      <c r="U166" s="16">
        <v>0.34406249999999999</v>
      </c>
      <c r="V166" s="6">
        <v>112598</v>
      </c>
      <c r="W166" s="6">
        <v>55</v>
      </c>
      <c r="X166" s="6">
        <v>55</v>
      </c>
      <c r="Y166" s="12">
        <v>0</v>
      </c>
      <c r="Z166" s="12">
        <v>15</v>
      </c>
      <c r="AA166" s="12">
        <v>15</v>
      </c>
      <c r="AB166" s="12">
        <v>0</v>
      </c>
      <c r="AC166" s="12">
        <v>0</v>
      </c>
      <c r="AD166" s="13">
        <v>1</v>
      </c>
      <c r="AE166" s="12">
        <v>150</v>
      </c>
      <c r="AF166" s="14">
        <v>0</v>
      </c>
      <c r="AG166" s="5">
        <v>0</v>
      </c>
      <c r="AH166" s="5">
        <v>0</v>
      </c>
      <c r="AI166" s="5">
        <v>0</v>
      </c>
      <c r="AJ166" s="5">
        <v>956.45</v>
      </c>
      <c r="AK166" s="5">
        <v>0</v>
      </c>
      <c r="AL166" s="5">
        <v>956.45</v>
      </c>
      <c r="AM166" s="8"/>
      <c r="AN166" s="8"/>
    </row>
    <row r="167" spans="1:40" ht="16" thickBot="1">
      <c r="A167" s="3">
        <v>166</v>
      </c>
      <c r="B167" s="19">
        <v>45938</v>
      </c>
      <c r="C167" s="5" t="s">
        <v>40</v>
      </c>
      <c r="D167" s="5" t="s">
        <v>41</v>
      </c>
      <c r="E167" s="6" t="s">
        <v>42</v>
      </c>
      <c r="F167" s="7" t="s">
        <v>62</v>
      </c>
      <c r="G167" s="5" t="s">
        <v>44</v>
      </c>
      <c r="H167" s="5" t="s">
        <v>45</v>
      </c>
      <c r="I167" s="5">
        <v>6</v>
      </c>
      <c r="J167" s="5">
        <v>8</v>
      </c>
      <c r="K167" s="5">
        <v>33000</v>
      </c>
      <c r="L167" s="5">
        <v>2000</v>
      </c>
      <c r="M167" s="5">
        <v>55</v>
      </c>
      <c r="N167" s="5">
        <v>31</v>
      </c>
      <c r="O167" s="6" t="s">
        <v>63</v>
      </c>
      <c r="P167" s="8"/>
      <c r="Q167" s="16">
        <v>6.9444444444444434E-2</v>
      </c>
      <c r="R167" s="16">
        <v>0.19893518518518519</v>
      </c>
      <c r="S167" s="6">
        <v>47389</v>
      </c>
      <c r="T167" s="16">
        <v>0.41692129629629626</v>
      </c>
      <c r="U167" s="16">
        <v>0.41704861111111113</v>
      </c>
      <c r="V167" s="6">
        <v>47475</v>
      </c>
      <c r="W167" s="6">
        <v>45</v>
      </c>
      <c r="X167" s="6">
        <v>22</v>
      </c>
      <c r="Y167" s="12">
        <v>23</v>
      </c>
      <c r="Z167" s="12">
        <v>86</v>
      </c>
      <c r="AA167" s="12">
        <v>86</v>
      </c>
      <c r="AB167" s="12">
        <v>0</v>
      </c>
      <c r="AC167" s="12">
        <v>0</v>
      </c>
      <c r="AD167" s="13">
        <v>1</v>
      </c>
      <c r="AE167" s="12">
        <v>150</v>
      </c>
      <c r="AF167" s="14">
        <v>0</v>
      </c>
      <c r="AG167" s="5">
        <v>0</v>
      </c>
      <c r="AH167" s="5">
        <v>0</v>
      </c>
      <c r="AI167" s="5">
        <v>0</v>
      </c>
      <c r="AJ167" s="5">
        <v>1214.52</v>
      </c>
      <c r="AK167" s="5">
        <v>0</v>
      </c>
      <c r="AL167" s="5">
        <v>1214.52</v>
      </c>
      <c r="AM167" s="8"/>
      <c r="AN167" s="8"/>
    </row>
    <row r="168" spans="1:40" ht="16" thickBot="1">
      <c r="A168" s="3">
        <v>167</v>
      </c>
      <c r="B168" s="19">
        <v>45938</v>
      </c>
      <c r="C168" s="5" t="s">
        <v>40</v>
      </c>
      <c r="D168" s="5" t="s">
        <v>41</v>
      </c>
      <c r="E168" s="6" t="s">
        <v>42</v>
      </c>
      <c r="F168" s="7" t="s">
        <v>99</v>
      </c>
      <c r="G168" s="5" t="s">
        <v>44</v>
      </c>
      <c r="H168" s="5" t="s">
        <v>45</v>
      </c>
      <c r="I168" s="5">
        <v>4</v>
      </c>
      <c r="J168" s="5">
        <v>8</v>
      </c>
      <c r="K168" s="5">
        <v>25000</v>
      </c>
      <c r="L168" s="5">
        <v>1000</v>
      </c>
      <c r="M168" s="5">
        <v>55</v>
      </c>
      <c r="N168" s="5">
        <v>31</v>
      </c>
      <c r="O168" s="6" t="s">
        <v>148</v>
      </c>
      <c r="P168" s="8"/>
      <c r="Q168" s="16">
        <v>5.5555555555555552E-2</v>
      </c>
      <c r="R168" s="16">
        <v>0.19452546296296294</v>
      </c>
      <c r="S168" s="6">
        <v>86742</v>
      </c>
      <c r="T168" s="16">
        <v>0.35975694444444445</v>
      </c>
      <c r="U168" s="16">
        <v>0.35984953703703698</v>
      </c>
      <c r="V168" s="6">
        <v>86761</v>
      </c>
      <c r="W168" s="6">
        <v>24</v>
      </c>
      <c r="X168" s="6">
        <v>24</v>
      </c>
      <c r="Y168" s="12">
        <v>0</v>
      </c>
      <c r="Z168" s="12">
        <v>19</v>
      </c>
      <c r="AA168" s="12">
        <v>19</v>
      </c>
      <c r="AB168" s="12">
        <v>0</v>
      </c>
      <c r="AC168" s="12">
        <v>0</v>
      </c>
      <c r="AD168" s="13">
        <v>1</v>
      </c>
      <c r="AE168" s="12">
        <v>150</v>
      </c>
      <c r="AF168" s="14">
        <v>0</v>
      </c>
      <c r="AG168" s="5">
        <v>0</v>
      </c>
      <c r="AH168" s="5">
        <v>0</v>
      </c>
      <c r="AI168" s="5">
        <v>0</v>
      </c>
      <c r="AJ168" s="5">
        <v>956.45</v>
      </c>
      <c r="AK168" s="5">
        <v>0</v>
      </c>
      <c r="AL168" s="5">
        <v>956.45</v>
      </c>
      <c r="AM168" s="8"/>
      <c r="AN168" s="8"/>
    </row>
    <row r="169" spans="1:40" ht="16" thickBot="1">
      <c r="A169" s="3">
        <v>168</v>
      </c>
      <c r="B169" s="19">
        <v>45938</v>
      </c>
      <c r="C169" s="5" t="s">
        <v>40</v>
      </c>
      <c r="D169" s="5" t="s">
        <v>41</v>
      </c>
      <c r="E169" s="6" t="s">
        <v>42</v>
      </c>
      <c r="F169" s="7" t="s">
        <v>101</v>
      </c>
      <c r="G169" s="5" t="s">
        <v>44</v>
      </c>
      <c r="H169" s="5" t="s">
        <v>45</v>
      </c>
      <c r="I169" s="5">
        <v>4</v>
      </c>
      <c r="J169" s="5">
        <v>8</v>
      </c>
      <c r="K169" s="5">
        <v>25000</v>
      </c>
      <c r="L169" s="5">
        <v>1000</v>
      </c>
      <c r="M169" s="5">
        <v>55</v>
      </c>
      <c r="N169" s="5">
        <v>31</v>
      </c>
      <c r="O169" s="6" t="s">
        <v>130</v>
      </c>
      <c r="P169" s="8"/>
      <c r="Q169" s="16">
        <v>0.13055555555555556</v>
      </c>
      <c r="R169" s="16">
        <v>0.20653935185185182</v>
      </c>
      <c r="S169" s="6">
        <v>117551</v>
      </c>
      <c r="T169" s="16">
        <v>0.34748842592592594</v>
      </c>
      <c r="U169" s="16">
        <v>0.34761574074074075</v>
      </c>
      <c r="V169" s="6">
        <v>117589</v>
      </c>
      <c r="W169" s="6">
        <v>29</v>
      </c>
      <c r="X169" s="6">
        <v>29</v>
      </c>
      <c r="Y169" s="12">
        <v>0</v>
      </c>
      <c r="Z169" s="12">
        <v>38</v>
      </c>
      <c r="AA169" s="12">
        <v>38</v>
      </c>
      <c r="AB169" s="12">
        <v>0</v>
      </c>
      <c r="AC169" s="12">
        <v>0</v>
      </c>
      <c r="AD169" s="13">
        <v>1</v>
      </c>
      <c r="AE169" s="12">
        <v>150</v>
      </c>
      <c r="AF169" s="14">
        <v>0</v>
      </c>
      <c r="AG169" s="5">
        <v>0</v>
      </c>
      <c r="AH169" s="5">
        <v>0</v>
      </c>
      <c r="AI169" s="5">
        <v>0</v>
      </c>
      <c r="AJ169" s="5">
        <v>956.45</v>
      </c>
      <c r="AK169" s="5">
        <v>0</v>
      </c>
      <c r="AL169" s="5">
        <v>956.45</v>
      </c>
      <c r="AM169" s="8"/>
      <c r="AN169" s="8"/>
    </row>
    <row r="170" spans="1:40" ht="16" thickBot="1">
      <c r="A170" s="3">
        <v>169</v>
      </c>
      <c r="B170" s="19">
        <v>45938</v>
      </c>
      <c r="C170" s="5" t="s">
        <v>40</v>
      </c>
      <c r="D170" s="5" t="s">
        <v>41</v>
      </c>
      <c r="E170" s="6" t="s">
        <v>42</v>
      </c>
      <c r="F170" s="7" t="s">
        <v>64</v>
      </c>
      <c r="G170" s="5" t="s">
        <v>44</v>
      </c>
      <c r="H170" s="5" t="s">
        <v>45</v>
      </c>
      <c r="I170" s="5">
        <v>4</v>
      </c>
      <c r="J170" s="5">
        <v>8</v>
      </c>
      <c r="K170" s="5">
        <v>25000</v>
      </c>
      <c r="L170" s="5">
        <v>1000</v>
      </c>
      <c r="M170" s="5">
        <v>55</v>
      </c>
      <c r="N170" s="5">
        <v>31</v>
      </c>
      <c r="O170" s="6" t="s">
        <v>111</v>
      </c>
      <c r="P170" s="8"/>
      <c r="Q170" s="16">
        <v>8.0555555555555561E-2</v>
      </c>
      <c r="R170" s="16">
        <v>0.20357638888888888</v>
      </c>
      <c r="S170" s="6">
        <v>74246</v>
      </c>
      <c r="T170" s="16">
        <v>0.3520949074074074</v>
      </c>
      <c r="U170" s="16">
        <v>0.35217592592592589</v>
      </c>
      <c r="V170" s="6">
        <v>74260</v>
      </c>
      <c r="W170" s="6">
        <v>29</v>
      </c>
      <c r="X170" s="6">
        <v>29</v>
      </c>
      <c r="Y170" s="12">
        <v>0</v>
      </c>
      <c r="Z170" s="12">
        <v>14</v>
      </c>
      <c r="AA170" s="12">
        <v>14</v>
      </c>
      <c r="AB170" s="12">
        <v>0</v>
      </c>
      <c r="AC170" s="12">
        <v>0</v>
      </c>
      <c r="AD170" s="13">
        <v>1</v>
      </c>
      <c r="AE170" s="12">
        <v>150</v>
      </c>
      <c r="AF170" s="14">
        <v>0</v>
      </c>
      <c r="AG170" s="5">
        <v>0</v>
      </c>
      <c r="AH170" s="5">
        <v>0</v>
      </c>
      <c r="AI170" s="5">
        <v>0</v>
      </c>
      <c r="AJ170" s="5">
        <v>956.45</v>
      </c>
      <c r="AK170" s="5">
        <v>0</v>
      </c>
      <c r="AL170" s="5">
        <v>956.45</v>
      </c>
      <c r="AM170" s="8"/>
      <c r="AN170" s="8"/>
    </row>
    <row r="171" spans="1:40" ht="16" thickBot="1">
      <c r="A171" s="3">
        <v>170</v>
      </c>
      <c r="B171" s="19">
        <v>45938</v>
      </c>
      <c r="C171" s="5" t="s">
        <v>40</v>
      </c>
      <c r="D171" s="5" t="s">
        <v>41</v>
      </c>
      <c r="E171" s="6" t="s">
        <v>42</v>
      </c>
      <c r="F171" s="7" t="s">
        <v>68</v>
      </c>
      <c r="G171" s="5" t="s">
        <v>44</v>
      </c>
      <c r="H171" s="5" t="s">
        <v>45</v>
      </c>
      <c r="I171" s="5">
        <v>4</v>
      </c>
      <c r="J171" s="5">
        <v>8</v>
      </c>
      <c r="K171" s="5">
        <v>25000</v>
      </c>
      <c r="L171" s="5">
        <v>1000</v>
      </c>
      <c r="M171" s="5">
        <v>55</v>
      </c>
      <c r="N171" s="5">
        <v>31</v>
      </c>
      <c r="O171" s="6" t="s">
        <v>136</v>
      </c>
      <c r="P171" s="8"/>
      <c r="Q171" s="16">
        <v>5.486111111111111E-2</v>
      </c>
      <c r="R171" s="16">
        <v>0.19114583333333335</v>
      </c>
      <c r="S171" s="6">
        <v>83078</v>
      </c>
      <c r="T171" s="16">
        <v>0.34361111111111109</v>
      </c>
      <c r="U171" s="16">
        <v>0.34372685185185187</v>
      </c>
      <c r="V171" s="6">
        <v>83093</v>
      </c>
      <c r="W171" s="6">
        <v>58</v>
      </c>
      <c r="X171" s="6">
        <v>58</v>
      </c>
      <c r="Y171" s="12">
        <v>0</v>
      </c>
      <c r="Z171" s="12">
        <v>15</v>
      </c>
      <c r="AA171" s="12">
        <v>15</v>
      </c>
      <c r="AB171" s="12">
        <v>0</v>
      </c>
      <c r="AC171" s="12">
        <v>0</v>
      </c>
      <c r="AD171" s="13">
        <v>1</v>
      </c>
      <c r="AE171" s="12">
        <v>150</v>
      </c>
      <c r="AF171" s="14">
        <v>0</v>
      </c>
      <c r="AG171" s="5">
        <v>0</v>
      </c>
      <c r="AH171" s="5">
        <v>0</v>
      </c>
      <c r="AI171" s="5">
        <v>0</v>
      </c>
      <c r="AJ171" s="5">
        <v>956.45</v>
      </c>
      <c r="AK171" s="5">
        <v>0</v>
      </c>
      <c r="AL171" s="5">
        <v>956.45</v>
      </c>
      <c r="AM171" s="8"/>
      <c r="AN171" s="8"/>
    </row>
    <row r="172" spans="1:40" ht="16" thickBot="1">
      <c r="A172" s="3">
        <v>171</v>
      </c>
      <c r="B172" s="19">
        <v>45938</v>
      </c>
      <c r="C172" s="5" t="s">
        <v>40</v>
      </c>
      <c r="D172" s="5" t="s">
        <v>41</v>
      </c>
      <c r="E172" s="6" t="s">
        <v>42</v>
      </c>
      <c r="F172" s="7" t="s">
        <v>70</v>
      </c>
      <c r="G172" s="5" t="s">
        <v>44</v>
      </c>
      <c r="H172" s="5" t="s">
        <v>45</v>
      </c>
      <c r="I172" s="5">
        <v>4</v>
      </c>
      <c r="J172" s="5">
        <v>8</v>
      </c>
      <c r="K172" s="5">
        <v>25000</v>
      </c>
      <c r="L172" s="5">
        <v>1000</v>
      </c>
      <c r="M172" s="5">
        <v>55</v>
      </c>
      <c r="N172" s="5">
        <v>31</v>
      </c>
      <c r="O172" s="6" t="s">
        <v>115</v>
      </c>
      <c r="P172" s="8"/>
      <c r="Q172" s="16">
        <v>9.0972222222222218E-2</v>
      </c>
      <c r="R172" s="16">
        <v>0.20523148148148149</v>
      </c>
      <c r="S172" s="6">
        <v>36328</v>
      </c>
      <c r="T172" s="8"/>
      <c r="U172" s="8"/>
      <c r="V172" s="6">
        <v>36353</v>
      </c>
      <c r="W172" s="8"/>
      <c r="X172" s="6">
        <v>31</v>
      </c>
      <c r="Y172" s="12">
        <v>-31</v>
      </c>
      <c r="Z172" s="12">
        <v>25</v>
      </c>
      <c r="AA172" s="12">
        <v>25</v>
      </c>
      <c r="AB172" s="12">
        <v>0</v>
      </c>
      <c r="AC172" s="12">
        <v>0</v>
      </c>
      <c r="AD172" s="13">
        <v>0</v>
      </c>
      <c r="AE172" s="12">
        <v>0</v>
      </c>
      <c r="AF172" s="14">
        <v>0</v>
      </c>
      <c r="AG172" s="5">
        <v>0</v>
      </c>
      <c r="AH172" s="5">
        <v>0</v>
      </c>
      <c r="AI172" s="5">
        <v>0</v>
      </c>
      <c r="AJ172" s="5">
        <v>806.45</v>
      </c>
      <c r="AK172" s="5">
        <v>0</v>
      </c>
      <c r="AL172" s="5">
        <v>806.45</v>
      </c>
      <c r="AM172" s="8"/>
      <c r="AN172" s="8"/>
    </row>
    <row r="173" spans="1:40" ht="16" thickBot="1">
      <c r="A173" s="3">
        <v>172</v>
      </c>
      <c r="B173" s="19">
        <v>45938</v>
      </c>
      <c r="C173" s="5" t="s">
        <v>40</v>
      </c>
      <c r="D173" s="5" t="s">
        <v>41</v>
      </c>
      <c r="E173" s="6" t="s">
        <v>42</v>
      </c>
      <c r="F173" s="7" t="s">
        <v>72</v>
      </c>
      <c r="G173" s="5" t="s">
        <v>44</v>
      </c>
      <c r="H173" s="5" t="s">
        <v>45</v>
      </c>
      <c r="I173" s="5">
        <v>6</v>
      </c>
      <c r="J173" s="5">
        <v>8</v>
      </c>
      <c r="K173" s="5">
        <v>33000</v>
      </c>
      <c r="L173" s="5">
        <v>2000</v>
      </c>
      <c r="M173" s="5">
        <v>55</v>
      </c>
      <c r="N173" s="5">
        <v>31</v>
      </c>
      <c r="O173" s="6" t="s">
        <v>73</v>
      </c>
      <c r="P173" s="8"/>
      <c r="Q173" s="16">
        <v>6.1805555555555558E-2</v>
      </c>
      <c r="R173" s="16">
        <v>0.19839120370370369</v>
      </c>
      <c r="S173" s="6">
        <v>32454</v>
      </c>
      <c r="T173" s="16">
        <v>0.31582175925925926</v>
      </c>
      <c r="U173" s="16">
        <v>0.31592592592592594</v>
      </c>
      <c r="V173" s="6">
        <v>32527</v>
      </c>
      <c r="W173" s="6">
        <v>28</v>
      </c>
      <c r="X173" s="6">
        <v>28</v>
      </c>
      <c r="Y173" s="12">
        <v>0</v>
      </c>
      <c r="Z173" s="12">
        <v>73</v>
      </c>
      <c r="AA173" s="12">
        <v>73</v>
      </c>
      <c r="AB173" s="12">
        <v>0</v>
      </c>
      <c r="AC173" s="12">
        <v>0</v>
      </c>
      <c r="AD173" s="13">
        <v>0</v>
      </c>
      <c r="AE173" s="12">
        <v>0</v>
      </c>
      <c r="AF173" s="14">
        <v>0</v>
      </c>
      <c r="AG173" s="5">
        <v>0</v>
      </c>
      <c r="AH173" s="5">
        <v>0</v>
      </c>
      <c r="AI173" s="5">
        <v>0</v>
      </c>
      <c r="AJ173" s="5">
        <v>1064.52</v>
      </c>
      <c r="AK173" s="5">
        <v>0</v>
      </c>
      <c r="AL173" s="5">
        <v>1064.52</v>
      </c>
      <c r="AM173" s="8"/>
      <c r="AN173" s="8"/>
    </row>
    <row r="174" spans="1:40" ht="16" thickBot="1">
      <c r="A174" s="3">
        <v>173</v>
      </c>
      <c r="B174" s="19">
        <v>45938</v>
      </c>
      <c r="C174" s="5" t="s">
        <v>40</v>
      </c>
      <c r="D174" s="5" t="s">
        <v>41</v>
      </c>
      <c r="E174" s="6" t="s">
        <v>42</v>
      </c>
      <c r="F174" s="7" t="s">
        <v>74</v>
      </c>
      <c r="G174" s="5" t="s">
        <v>44</v>
      </c>
      <c r="H174" s="5" t="s">
        <v>45</v>
      </c>
      <c r="I174" s="5">
        <v>4</v>
      </c>
      <c r="J174" s="5">
        <v>8</v>
      </c>
      <c r="K174" s="5">
        <v>25000</v>
      </c>
      <c r="L174" s="5">
        <v>1000</v>
      </c>
      <c r="M174" s="5">
        <v>55</v>
      </c>
      <c r="N174" s="5">
        <v>31</v>
      </c>
      <c r="O174" s="6" t="s">
        <v>75</v>
      </c>
      <c r="P174" s="8"/>
      <c r="Q174" s="16">
        <v>5.4166666666666669E-2</v>
      </c>
      <c r="R174" s="16">
        <v>0.1950925925925926</v>
      </c>
      <c r="S174" s="6">
        <v>37733</v>
      </c>
      <c r="T174" s="16">
        <v>0.37760416666666669</v>
      </c>
      <c r="U174" s="16">
        <v>0.37777777777777777</v>
      </c>
      <c r="V174" s="6">
        <v>37745</v>
      </c>
      <c r="W174" s="6">
        <v>42</v>
      </c>
      <c r="X174" s="6">
        <v>42</v>
      </c>
      <c r="Y174" s="12">
        <v>0</v>
      </c>
      <c r="Z174" s="12">
        <v>12</v>
      </c>
      <c r="AA174" s="12">
        <v>12</v>
      </c>
      <c r="AB174" s="12">
        <v>0</v>
      </c>
      <c r="AC174" s="12">
        <v>0</v>
      </c>
      <c r="AD174" s="13">
        <v>2</v>
      </c>
      <c r="AE174" s="12">
        <v>300</v>
      </c>
      <c r="AF174" s="14">
        <v>0</v>
      </c>
      <c r="AG174" s="5">
        <v>0</v>
      </c>
      <c r="AH174" s="5">
        <v>0</v>
      </c>
      <c r="AI174" s="5">
        <v>0</v>
      </c>
      <c r="AJ174" s="5">
        <v>1106.45</v>
      </c>
      <c r="AK174" s="5">
        <v>0</v>
      </c>
      <c r="AL174" s="5">
        <v>1106.45</v>
      </c>
      <c r="AM174" s="8"/>
      <c r="AN174" s="8"/>
    </row>
    <row r="175" spans="1:40" ht="16" thickBot="1">
      <c r="A175" s="3">
        <v>174</v>
      </c>
      <c r="B175" s="19">
        <v>45938</v>
      </c>
      <c r="C175" s="5" t="s">
        <v>40</v>
      </c>
      <c r="D175" s="5" t="s">
        <v>41</v>
      </c>
      <c r="E175" s="6" t="s">
        <v>42</v>
      </c>
      <c r="F175" s="7" t="s">
        <v>78</v>
      </c>
      <c r="G175" s="5" t="s">
        <v>44</v>
      </c>
      <c r="H175" s="5" t="s">
        <v>45</v>
      </c>
      <c r="I175" s="5">
        <v>4</v>
      </c>
      <c r="J175" s="5">
        <v>8</v>
      </c>
      <c r="K175" s="5">
        <v>25000</v>
      </c>
      <c r="L175" s="5">
        <v>1000</v>
      </c>
      <c r="M175" s="5">
        <v>55</v>
      </c>
      <c r="N175" s="5">
        <v>31</v>
      </c>
      <c r="O175" s="6" t="s">
        <v>67</v>
      </c>
      <c r="P175" s="8"/>
      <c r="Q175" s="16">
        <v>5.6250000000000001E-2</v>
      </c>
      <c r="R175" s="16">
        <v>0.1939814814814815</v>
      </c>
      <c r="S175" s="6">
        <v>6788</v>
      </c>
      <c r="T175" s="16">
        <v>0.39004629629629628</v>
      </c>
      <c r="U175" s="16">
        <v>0.39177083333333335</v>
      </c>
      <c r="V175" s="6">
        <v>6818</v>
      </c>
      <c r="W175" s="6">
        <v>30</v>
      </c>
      <c r="X175" s="6">
        <v>15</v>
      </c>
      <c r="Y175" s="12">
        <v>15</v>
      </c>
      <c r="Z175" s="12">
        <v>30</v>
      </c>
      <c r="AA175" s="12">
        <v>30</v>
      </c>
      <c r="AB175" s="12">
        <v>0</v>
      </c>
      <c r="AC175" s="12">
        <v>0</v>
      </c>
      <c r="AD175" s="13">
        <v>2</v>
      </c>
      <c r="AE175" s="12">
        <v>300</v>
      </c>
      <c r="AF175" s="14">
        <v>0</v>
      </c>
      <c r="AG175" s="5">
        <v>0</v>
      </c>
      <c r="AH175" s="5">
        <v>0</v>
      </c>
      <c r="AI175" s="5">
        <v>0</v>
      </c>
      <c r="AJ175" s="5">
        <v>1106.45</v>
      </c>
      <c r="AK175" s="5">
        <v>0</v>
      </c>
      <c r="AL175" s="5">
        <v>1106.45</v>
      </c>
      <c r="AM175" s="8"/>
      <c r="AN175" s="8"/>
    </row>
    <row r="176" spans="1:40" ht="16" thickBot="1">
      <c r="A176" s="3">
        <v>175</v>
      </c>
      <c r="B176" s="19">
        <v>45938</v>
      </c>
      <c r="C176" s="5" t="s">
        <v>40</v>
      </c>
      <c r="D176" s="5" t="s">
        <v>41</v>
      </c>
      <c r="E176" s="6" t="s">
        <v>42</v>
      </c>
      <c r="F176" s="7" t="s">
        <v>80</v>
      </c>
      <c r="G176" s="5" t="s">
        <v>44</v>
      </c>
      <c r="H176" s="5" t="s">
        <v>45</v>
      </c>
      <c r="I176" s="5">
        <v>4</v>
      </c>
      <c r="J176" s="5">
        <v>8</v>
      </c>
      <c r="K176" s="5">
        <v>25000</v>
      </c>
      <c r="L176" s="5">
        <v>1000</v>
      </c>
      <c r="M176" s="5">
        <v>55</v>
      </c>
      <c r="N176" s="5">
        <v>31</v>
      </c>
      <c r="O176" s="6" t="s">
        <v>81</v>
      </c>
      <c r="P176" s="8"/>
      <c r="Q176" s="16">
        <v>5.4166666666666669E-2</v>
      </c>
      <c r="R176" s="16">
        <v>0.19486111111111112</v>
      </c>
      <c r="S176" s="6">
        <v>4020</v>
      </c>
      <c r="T176" s="16">
        <v>0.34334490740740736</v>
      </c>
      <c r="U176" s="16">
        <v>0.34425925925925926</v>
      </c>
      <c r="V176" s="6">
        <v>4037</v>
      </c>
      <c r="W176" s="6">
        <v>0</v>
      </c>
      <c r="X176" s="6">
        <v>36</v>
      </c>
      <c r="Y176" s="12">
        <v>-36</v>
      </c>
      <c r="Z176" s="12">
        <v>17</v>
      </c>
      <c r="AA176" s="12">
        <v>17</v>
      </c>
      <c r="AB176" s="12">
        <v>0</v>
      </c>
      <c r="AC176" s="12">
        <v>0</v>
      </c>
      <c r="AD176" s="13">
        <v>1</v>
      </c>
      <c r="AE176" s="12">
        <v>150</v>
      </c>
      <c r="AF176" s="14">
        <v>0</v>
      </c>
      <c r="AG176" s="5">
        <v>0</v>
      </c>
      <c r="AH176" s="5">
        <v>0</v>
      </c>
      <c r="AI176" s="5">
        <v>0</v>
      </c>
      <c r="AJ176" s="5">
        <v>956.45</v>
      </c>
      <c r="AK176" s="5">
        <v>0</v>
      </c>
      <c r="AL176" s="5">
        <v>956.45</v>
      </c>
      <c r="AM176" s="8"/>
      <c r="AN176" s="8"/>
    </row>
    <row r="177" spans="1:40" ht="16" thickBot="1">
      <c r="A177" s="3">
        <v>176</v>
      </c>
      <c r="B177" s="19">
        <v>45938</v>
      </c>
      <c r="C177" s="5" t="s">
        <v>40</v>
      </c>
      <c r="D177" s="5" t="s">
        <v>41</v>
      </c>
      <c r="E177" s="6" t="s">
        <v>42</v>
      </c>
      <c r="F177" s="7" t="s">
        <v>105</v>
      </c>
      <c r="G177" s="5" t="s">
        <v>44</v>
      </c>
      <c r="H177" s="5" t="s">
        <v>45</v>
      </c>
      <c r="I177" s="5">
        <v>4</v>
      </c>
      <c r="J177" s="5">
        <v>8</v>
      </c>
      <c r="K177" s="5">
        <v>25000</v>
      </c>
      <c r="L177" s="5">
        <v>1000</v>
      </c>
      <c r="M177" s="5">
        <v>55</v>
      </c>
      <c r="N177" s="5">
        <v>31</v>
      </c>
      <c r="O177" s="6" t="s">
        <v>100</v>
      </c>
      <c r="P177" s="8"/>
      <c r="Q177" s="16">
        <v>0.11805555555555557</v>
      </c>
      <c r="R177" s="16">
        <v>0.19181712962962963</v>
      </c>
      <c r="S177" s="6">
        <v>41044</v>
      </c>
      <c r="T177" s="16">
        <v>0.30373842592592593</v>
      </c>
      <c r="U177" s="16">
        <v>0.30386574074074074</v>
      </c>
      <c r="V177" s="6">
        <v>41071</v>
      </c>
      <c r="W177" s="6">
        <v>61</v>
      </c>
      <c r="X177" s="6">
        <v>61</v>
      </c>
      <c r="Y177" s="12">
        <v>0</v>
      </c>
      <c r="Z177" s="12">
        <v>27</v>
      </c>
      <c r="AA177" s="12">
        <v>27</v>
      </c>
      <c r="AB177" s="12">
        <v>0</v>
      </c>
      <c r="AC177" s="12">
        <v>0</v>
      </c>
      <c r="AD177" s="13">
        <v>0</v>
      </c>
      <c r="AE177" s="12">
        <v>0</v>
      </c>
      <c r="AF177" s="14">
        <v>0</v>
      </c>
      <c r="AG177" s="5">
        <v>0</v>
      </c>
      <c r="AH177" s="5">
        <v>0</v>
      </c>
      <c r="AI177" s="5">
        <v>0</v>
      </c>
      <c r="AJ177" s="5">
        <v>806.45</v>
      </c>
      <c r="AK177" s="5">
        <v>0</v>
      </c>
      <c r="AL177" s="5">
        <v>806.45</v>
      </c>
      <c r="AM177" s="8"/>
      <c r="AN177" s="8"/>
    </row>
    <row r="178" spans="1:40" ht="16" thickBot="1">
      <c r="A178" s="3">
        <v>177</v>
      </c>
      <c r="B178" s="19">
        <v>45938</v>
      </c>
      <c r="C178" s="5" t="s">
        <v>40</v>
      </c>
      <c r="D178" s="5" t="s">
        <v>41</v>
      </c>
      <c r="E178" s="6" t="s">
        <v>42</v>
      </c>
      <c r="F178" s="7" t="s">
        <v>85</v>
      </c>
      <c r="G178" s="10" t="s">
        <v>83</v>
      </c>
      <c r="H178" s="5" t="s">
        <v>84</v>
      </c>
      <c r="I178" s="5">
        <v>4</v>
      </c>
      <c r="J178" s="5">
        <v>10</v>
      </c>
      <c r="K178" s="6">
        <v>29000</v>
      </c>
      <c r="L178" s="5">
        <v>1000</v>
      </c>
      <c r="M178" s="5">
        <v>55</v>
      </c>
      <c r="N178" s="5">
        <v>31</v>
      </c>
      <c r="O178" s="6" t="s">
        <v>149</v>
      </c>
      <c r="P178" s="8"/>
      <c r="Q178" s="16">
        <v>5.7638888888888885E-2</v>
      </c>
      <c r="R178" s="16">
        <v>0.20700231481481482</v>
      </c>
      <c r="S178" s="6">
        <v>38202</v>
      </c>
      <c r="T178" s="16">
        <v>0.34837962962962959</v>
      </c>
      <c r="U178" s="16">
        <v>0.34850694444444441</v>
      </c>
      <c r="V178" s="6">
        <v>38220</v>
      </c>
      <c r="W178" s="6">
        <v>22</v>
      </c>
      <c r="X178" s="6">
        <v>22</v>
      </c>
      <c r="Y178" s="12">
        <v>0</v>
      </c>
      <c r="Z178" s="12">
        <v>18</v>
      </c>
      <c r="AA178" s="12">
        <v>18</v>
      </c>
      <c r="AB178" s="12">
        <v>0</v>
      </c>
      <c r="AC178" s="12">
        <v>0</v>
      </c>
      <c r="AD178" s="13">
        <v>1</v>
      </c>
      <c r="AE178" s="12">
        <v>150</v>
      </c>
      <c r="AF178" s="14">
        <v>0</v>
      </c>
      <c r="AG178" s="5">
        <v>0</v>
      </c>
      <c r="AH178" s="5">
        <v>0</v>
      </c>
      <c r="AI178" s="5">
        <v>0</v>
      </c>
      <c r="AJ178" s="5">
        <v>1085.48</v>
      </c>
      <c r="AK178" s="5">
        <v>0</v>
      </c>
      <c r="AL178" s="5">
        <v>1085.48</v>
      </c>
      <c r="AM178" s="8"/>
      <c r="AN178" s="8"/>
    </row>
    <row r="179" spans="1:40" ht="16" thickBot="1">
      <c r="A179" s="3">
        <v>178</v>
      </c>
      <c r="B179" s="19">
        <v>45938</v>
      </c>
      <c r="C179" s="5" t="s">
        <v>40</v>
      </c>
      <c r="D179" s="5" t="s">
        <v>41</v>
      </c>
      <c r="E179" s="6" t="s">
        <v>42</v>
      </c>
      <c r="F179" s="7" t="s">
        <v>150</v>
      </c>
      <c r="G179" s="10" t="s">
        <v>83</v>
      </c>
      <c r="H179" s="5" t="s">
        <v>84</v>
      </c>
      <c r="I179" s="5">
        <v>4</v>
      </c>
      <c r="J179" s="5">
        <v>10</v>
      </c>
      <c r="K179" s="6">
        <v>29000</v>
      </c>
      <c r="L179" s="5">
        <v>1000</v>
      </c>
      <c r="M179" s="5">
        <v>55</v>
      </c>
      <c r="N179" s="5">
        <v>31</v>
      </c>
      <c r="O179" s="6" t="s">
        <v>142</v>
      </c>
      <c r="P179" s="8"/>
      <c r="Q179" s="16">
        <v>0.1111111111111111</v>
      </c>
      <c r="R179" s="16">
        <v>0.20193287037037036</v>
      </c>
      <c r="S179" s="6">
        <v>60144</v>
      </c>
      <c r="T179" s="16">
        <v>0.31702546296296297</v>
      </c>
      <c r="U179" s="16">
        <v>0.31851851851851848</v>
      </c>
      <c r="V179" s="6">
        <v>60167</v>
      </c>
      <c r="W179" s="6">
        <v>79</v>
      </c>
      <c r="X179" s="6">
        <v>79</v>
      </c>
      <c r="Y179" s="12">
        <v>0</v>
      </c>
      <c r="Z179" s="12">
        <v>23</v>
      </c>
      <c r="AA179" s="12">
        <v>23</v>
      </c>
      <c r="AB179" s="12">
        <v>0</v>
      </c>
      <c r="AC179" s="12">
        <v>0</v>
      </c>
      <c r="AD179" s="13">
        <v>0</v>
      </c>
      <c r="AE179" s="12">
        <v>0</v>
      </c>
      <c r="AF179" s="14">
        <v>0</v>
      </c>
      <c r="AG179" s="5">
        <v>0</v>
      </c>
      <c r="AH179" s="5">
        <v>0</v>
      </c>
      <c r="AI179" s="5">
        <v>0</v>
      </c>
      <c r="AJ179" s="5">
        <v>935.48</v>
      </c>
      <c r="AK179" s="5">
        <v>0</v>
      </c>
      <c r="AL179" s="5">
        <v>935.48</v>
      </c>
      <c r="AM179" s="8"/>
      <c r="AN179" s="8"/>
    </row>
    <row r="180" spans="1:40" ht="16" thickBot="1">
      <c r="A180" s="3">
        <v>179</v>
      </c>
      <c r="B180" s="19">
        <v>45938</v>
      </c>
      <c r="C180" s="5" t="s">
        <v>40</v>
      </c>
      <c r="D180" s="5" t="s">
        <v>41</v>
      </c>
      <c r="E180" s="6" t="s">
        <v>42</v>
      </c>
      <c r="F180" s="7" t="s">
        <v>87</v>
      </c>
      <c r="G180" s="10" t="s">
        <v>83</v>
      </c>
      <c r="H180" s="5" t="s">
        <v>84</v>
      </c>
      <c r="I180" s="5">
        <v>4</v>
      </c>
      <c r="J180" s="5">
        <v>10</v>
      </c>
      <c r="K180" s="6">
        <v>29000</v>
      </c>
      <c r="L180" s="5">
        <v>1000</v>
      </c>
      <c r="M180" s="5">
        <v>55</v>
      </c>
      <c r="N180" s="5">
        <v>31</v>
      </c>
      <c r="O180" s="6" t="s">
        <v>151</v>
      </c>
      <c r="P180" s="8"/>
      <c r="Q180" s="16">
        <v>0.11180555555555556</v>
      </c>
      <c r="R180" s="16">
        <v>0.20194444444444445</v>
      </c>
      <c r="S180" s="6">
        <v>2827</v>
      </c>
      <c r="T180" s="16">
        <v>0.45664351851851853</v>
      </c>
      <c r="U180" s="8"/>
      <c r="V180" s="6">
        <v>2868</v>
      </c>
      <c r="W180" s="6">
        <v>30</v>
      </c>
      <c r="X180" s="6">
        <v>82</v>
      </c>
      <c r="Y180" s="12">
        <v>-52</v>
      </c>
      <c r="Z180" s="12">
        <v>41</v>
      </c>
      <c r="AA180" s="12">
        <v>41</v>
      </c>
      <c r="AB180" s="12">
        <v>0</v>
      </c>
      <c r="AC180" s="12">
        <v>0</v>
      </c>
      <c r="AD180" s="13">
        <v>3</v>
      </c>
      <c r="AE180" s="12">
        <v>450</v>
      </c>
      <c r="AF180" s="14">
        <v>0</v>
      </c>
      <c r="AG180" s="5">
        <v>0</v>
      </c>
      <c r="AH180" s="5">
        <v>0</v>
      </c>
      <c r="AI180" s="5">
        <v>0</v>
      </c>
      <c r="AJ180" s="5">
        <v>1385.48</v>
      </c>
      <c r="AK180" s="5">
        <v>0</v>
      </c>
      <c r="AL180" s="5">
        <v>1385.48</v>
      </c>
      <c r="AM180" s="8"/>
      <c r="AN180" s="8"/>
    </row>
    <row r="181" spans="1:40" ht="16" thickBot="1">
      <c r="A181" s="3">
        <v>180</v>
      </c>
      <c r="B181" s="19">
        <v>45938</v>
      </c>
      <c r="C181" s="5" t="s">
        <v>40</v>
      </c>
      <c r="D181" s="5" t="s">
        <v>41</v>
      </c>
      <c r="E181" s="6" t="s">
        <v>42</v>
      </c>
      <c r="F181" s="7" t="s">
        <v>89</v>
      </c>
      <c r="G181" s="10" t="s">
        <v>83</v>
      </c>
      <c r="H181" s="5" t="s">
        <v>84</v>
      </c>
      <c r="I181" s="5">
        <v>4</v>
      </c>
      <c r="J181" s="5">
        <v>10</v>
      </c>
      <c r="K181" s="6">
        <v>29000</v>
      </c>
      <c r="L181" s="5">
        <v>1000</v>
      </c>
      <c r="M181" s="5">
        <v>55</v>
      </c>
      <c r="N181" s="5">
        <v>31</v>
      </c>
      <c r="O181" s="6" t="s">
        <v>95</v>
      </c>
      <c r="P181" s="8"/>
      <c r="Q181" s="16">
        <v>9.1666666666666674E-2</v>
      </c>
      <c r="R181" s="16">
        <v>0.20454861111111111</v>
      </c>
      <c r="S181" s="6">
        <v>138846</v>
      </c>
      <c r="T181" s="16">
        <v>0.36967592592592591</v>
      </c>
      <c r="U181" s="16">
        <v>0.36984953703703699</v>
      </c>
      <c r="V181" s="6">
        <v>138875</v>
      </c>
      <c r="W181" s="6">
        <v>61</v>
      </c>
      <c r="X181" s="6">
        <v>61</v>
      </c>
      <c r="Y181" s="12">
        <v>0</v>
      </c>
      <c r="Z181" s="12">
        <v>29</v>
      </c>
      <c r="AA181" s="12">
        <v>29</v>
      </c>
      <c r="AB181" s="12">
        <v>0</v>
      </c>
      <c r="AC181" s="12">
        <v>0</v>
      </c>
      <c r="AD181" s="13">
        <v>1</v>
      </c>
      <c r="AE181" s="12">
        <v>150</v>
      </c>
      <c r="AF181" s="14">
        <v>0</v>
      </c>
      <c r="AG181" s="5">
        <v>0</v>
      </c>
      <c r="AH181" s="5">
        <v>0</v>
      </c>
      <c r="AI181" s="5">
        <v>0</v>
      </c>
      <c r="AJ181" s="5">
        <v>1085.48</v>
      </c>
      <c r="AK181" s="5">
        <v>0</v>
      </c>
      <c r="AL181" s="5">
        <v>1085.48</v>
      </c>
      <c r="AM181" s="8"/>
      <c r="AN181" s="8"/>
    </row>
    <row r="182" spans="1:40" ht="16" thickBot="1">
      <c r="A182" s="3">
        <v>181</v>
      </c>
      <c r="B182" s="19">
        <v>45939</v>
      </c>
      <c r="C182" s="5" t="s">
        <v>40</v>
      </c>
      <c r="D182" s="5" t="s">
        <v>41</v>
      </c>
      <c r="E182" s="6" t="s">
        <v>42</v>
      </c>
      <c r="F182" s="7" t="s">
        <v>47</v>
      </c>
      <c r="G182" s="5" t="s">
        <v>44</v>
      </c>
      <c r="H182" s="5" t="s">
        <v>45</v>
      </c>
      <c r="I182" s="5">
        <v>4</v>
      </c>
      <c r="J182" s="5">
        <v>8</v>
      </c>
      <c r="K182" s="5">
        <v>25000</v>
      </c>
      <c r="L182" s="5">
        <v>1000</v>
      </c>
      <c r="M182" s="5">
        <v>55</v>
      </c>
      <c r="N182" s="5">
        <v>31</v>
      </c>
      <c r="O182" s="20" t="s">
        <v>137</v>
      </c>
      <c r="P182" s="8"/>
      <c r="Q182" s="11">
        <v>0.12916666666666668</v>
      </c>
      <c r="R182" s="11">
        <v>0.20063657407407409</v>
      </c>
      <c r="S182" s="10">
        <v>191266</v>
      </c>
      <c r="T182" s="11">
        <v>0.3621759259259259</v>
      </c>
      <c r="U182" s="11">
        <v>0.36230324074074072</v>
      </c>
      <c r="V182" s="10">
        <v>191315</v>
      </c>
      <c r="W182" s="10">
        <v>53</v>
      </c>
      <c r="X182" s="10">
        <v>53</v>
      </c>
      <c r="Y182" s="12">
        <v>0</v>
      </c>
      <c r="Z182" s="12">
        <v>49</v>
      </c>
      <c r="AA182" s="12">
        <v>49</v>
      </c>
      <c r="AB182" s="12">
        <v>0</v>
      </c>
      <c r="AC182" s="12">
        <v>0</v>
      </c>
      <c r="AD182" s="13">
        <v>1</v>
      </c>
      <c r="AE182" s="12">
        <v>150</v>
      </c>
      <c r="AF182" s="14">
        <v>0</v>
      </c>
      <c r="AG182" s="5">
        <v>0</v>
      </c>
      <c r="AH182" s="5">
        <v>0</v>
      </c>
      <c r="AI182" s="5">
        <v>0</v>
      </c>
      <c r="AJ182" s="5">
        <v>956.45</v>
      </c>
      <c r="AK182" s="5">
        <v>0</v>
      </c>
      <c r="AL182" s="5">
        <v>956.45</v>
      </c>
      <c r="AM182" s="8"/>
      <c r="AN182" s="8"/>
    </row>
    <row r="183" spans="1:40" ht="16" thickBot="1">
      <c r="A183" s="3">
        <v>182</v>
      </c>
      <c r="B183" s="19">
        <v>45939</v>
      </c>
      <c r="C183" s="5" t="s">
        <v>40</v>
      </c>
      <c r="D183" s="5" t="s">
        <v>41</v>
      </c>
      <c r="E183" s="6" t="s">
        <v>42</v>
      </c>
      <c r="F183" s="7" t="s">
        <v>132</v>
      </c>
      <c r="G183" s="5" t="s">
        <v>44</v>
      </c>
      <c r="H183" s="5" t="s">
        <v>45</v>
      </c>
      <c r="I183" s="5">
        <v>4</v>
      </c>
      <c r="J183" s="5">
        <v>8</v>
      </c>
      <c r="K183" s="5">
        <v>25000</v>
      </c>
      <c r="L183" s="5">
        <v>1000</v>
      </c>
      <c r="M183" s="5">
        <v>55</v>
      </c>
      <c r="N183" s="5">
        <v>31</v>
      </c>
      <c r="O183" s="10" t="s">
        <v>86</v>
      </c>
      <c r="P183" s="8"/>
      <c r="Q183" s="11">
        <v>0.13819444444444443</v>
      </c>
      <c r="R183" s="11">
        <v>0.19822916666666668</v>
      </c>
      <c r="S183" s="10">
        <v>109913</v>
      </c>
      <c r="T183" s="11">
        <v>0.30363425925925924</v>
      </c>
      <c r="U183" s="11">
        <v>0.30371527777777779</v>
      </c>
      <c r="V183" s="10">
        <v>109930</v>
      </c>
      <c r="W183" s="10">
        <v>24</v>
      </c>
      <c r="X183" s="10">
        <v>24</v>
      </c>
      <c r="Y183" s="12">
        <v>0</v>
      </c>
      <c r="Z183" s="12">
        <v>17</v>
      </c>
      <c r="AA183" s="12">
        <v>17</v>
      </c>
      <c r="AB183" s="12">
        <v>0</v>
      </c>
      <c r="AC183" s="12">
        <v>0</v>
      </c>
      <c r="AD183" s="13">
        <v>0</v>
      </c>
      <c r="AE183" s="12">
        <v>0</v>
      </c>
      <c r="AF183" s="14">
        <v>0</v>
      </c>
      <c r="AG183" s="5">
        <v>0</v>
      </c>
      <c r="AH183" s="5">
        <v>0</v>
      </c>
      <c r="AI183" s="5">
        <v>0</v>
      </c>
      <c r="AJ183" s="5">
        <v>806.45</v>
      </c>
      <c r="AK183" s="5">
        <v>0</v>
      </c>
      <c r="AL183" s="5">
        <v>806.45</v>
      </c>
      <c r="AM183" s="8"/>
      <c r="AN183" s="8"/>
    </row>
    <row r="184" spans="1:40" ht="16" thickBot="1">
      <c r="A184" s="3">
        <v>183</v>
      </c>
      <c r="B184" s="19">
        <v>45939</v>
      </c>
      <c r="C184" s="5" t="s">
        <v>40</v>
      </c>
      <c r="D184" s="5" t="s">
        <v>41</v>
      </c>
      <c r="E184" s="6" t="s">
        <v>42</v>
      </c>
      <c r="F184" s="7" t="s">
        <v>49</v>
      </c>
      <c r="G184" s="10" t="s">
        <v>44</v>
      </c>
      <c r="H184" s="5" t="s">
        <v>45</v>
      </c>
      <c r="I184" s="5">
        <v>6</v>
      </c>
      <c r="J184" s="5">
        <v>8</v>
      </c>
      <c r="K184" s="5">
        <v>33000</v>
      </c>
      <c r="L184" s="5">
        <v>2000</v>
      </c>
      <c r="M184" s="5">
        <v>55</v>
      </c>
      <c r="N184" s="5">
        <v>31</v>
      </c>
      <c r="O184" s="20" t="s">
        <v>50</v>
      </c>
      <c r="P184" s="8"/>
      <c r="Q184" s="11">
        <v>4.5833333333333337E-2</v>
      </c>
      <c r="R184" s="11">
        <v>0.18373842592592593</v>
      </c>
      <c r="S184" s="10">
        <v>99134</v>
      </c>
      <c r="T184" s="11">
        <v>0.37690972222222219</v>
      </c>
      <c r="U184" s="11">
        <v>0.37700231481481478</v>
      </c>
      <c r="V184" s="10">
        <v>99190</v>
      </c>
      <c r="W184" s="10">
        <v>45</v>
      </c>
      <c r="X184" s="10">
        <v>45</v>
      </c>
      <c r="Y184" s="12">
        <v>0</v>
      </c>
      <c r="Z184" s="12">
        <v>56</v>
      </c>
      <c r="AA184" s="12">
        <v>56</v>
      </c>
      <c r="AB184" s="12">
        <v>0</v>
      </c>
      <c r="AC184" s="12">
        <v>0</v>
      </c>
      <c r="AD184" s="13">
        <v>1</v>
      </c>
      <c r="AE184" s="12">
        <v>150</v>
      </c>
      <c r="AF184" s="14">
        <v>0</v>
      </c>
      <c r="AG184" s="5">
        <v>0</v>
      </c>
      <c r="AH184" s="5">
        <v>0</v>
      </c>
      <c r="AI184" s="5">
        <v>0</v>
      </c>
      <c r="AJ184" s="5">
        <v>1214.52</v>
      </c>
      <c r="AK184" s="5">
        <v>0</v>
      </c>
      <c r="AL184" s="5">
        <v>1214.52</v>
      </c>
      <c r="AM184" s="8"/>
      <c r="AN184" s="8"/>
    </row>
    <row r="185" spans="1:40" ht="16" thickBot="1">
      <c r="A185" s="3">
        <v>184</v>
      </c>
      <c r="B185" s="19">
        <v>45939</v>
      </c>
      <c r="C185" s="5" t="s">
        <v>40</v>
      </c>
      <c r="D185" s="5" t="s">
        <v>41</v>
      </c>
      <c r="E185" s="6" t="s">
        <v>42</v>
      </c>
      <c r="F185" s="7" t="s">
        <v>145</v>
      </c>
      <c r="G185" s="5" t="s">
        <v>44</v>
      </c>
      <c r="H185" s="5" t="s">
        <v>45</v>
      </c>
      <c r="I185" s="5">
        <v>4</v>
      </c>
      <c r="J185" s="5">
        <v>8</v>
      </c>
      <c r="K185" s="5">
        <v>25000</v>
      </c>
      <c r="L185" s="5">
        <v>1000</v>
      </c>
      <c r="M185" s="5">
        <v>55</v>
      </c>
      <c r="N185" s="5">
        <v>31</v>
      </c>
      <c r="O185" s="20" t="s">
        <v>152</v>
      </c>
      <c r="P185" s="8"/>
      <c r="Q185" s="11">
        <v>0.13819444444444443</v>
      </c>
      <c r="R185" s="11">
        <v>0.19854166666666664</v>
      </c>
      <c r="S185" s="10">
        <v>37385</v>
      </c>
      <c r="T185" s="11">
        <v>0.37228009259259259</v>
      </c>
      <c r="U185" s="11">
        <v>0.37253472222222223</v>
      </c>
      <c r="V185" s="10">
        <v>37405</v>
      </c>
      <c r="W185" s="10">
        <v>40</v>
      </c>
      <c r="X185" s="10">
        <v>40</v>
      </c>
      <c r="Y185" s="12">
        <v>0</v>
      </c>
      <c r="Z185" s="12">
        <v>20</v>
      </c>
      <c r="AA185" s="12">
        <v>20</v>
      </c>
      <c r="AB185" s="12">
        <v>0</v>
      </c>
      <c r="AC185" s="12">
        <v>0</v>
      </c>
      <c r="AD185" s="13">
        <v>1</v>
      </c>
      <c r="AE185" s="12">
        <v>150</v>
      </c>
      <c r="AF185" s="14">
        <v>0</v>
      </c>
      <c r="AG185" s="5">
        <v>0</v>
      </c>
      <c r="AH185" s="5">
        <v>0</v>
      </c>
      <c r="AI185" s="5">
        <v>0</v>
      </c>
      <c r="AJ185" s="5">
        <v>956.45</v>
      </c>
      <c r="AK185" s="5">
        <v>0</v>
      </c>
      <c r="AL185" s="5">
        <v>956.45</v>
      </c>
      <c r="AM185" s="8"/>
      <c r="AN185" s="8"/>
    </row>
    <row r="186" spans="1:40" ht="16" thickBot="1">
      <c r="A186" s="3">
        <v>185</v>
      </c>
      <c r="B186" s="19">
        <v>45939</v>
      </c>
      <c r="C186" s="5" t="s">
        <v>40</v>
      </c>
      <c r="D186" s="5" t="s">
        <v>41</v>
      </c>
      <c r="E186" s="6" t="s">
        <v>42</v>
      </c>
      <c r="F186" s="7" t="s">
        <v>53</v>
      </c>
      <c r="G186" s="5" t="s">
        <v>44</v>
      </c>
      <c r="H186" s="5" t="s">
        <v>45</v>
      </c>
      <c r="I186" s="5">
        <v>4</v>
      </c>
      <c r="J186" s="5">
        <v>8</v>
      </c>
      <c r="K186" s="5">
        <v>25000</v>
      </c>
      <c r="L186" s="5">
        <v>1000</v>
      </c>
      <c r="M186" s="5">
        <v>55</v>
      </c>
      <c r="N186" s="5">
        <v>31</v>
      </c>
      <c r="O186" s="10" t="s">
        <v>81</v>
      </c>
      <c r="P186" s="8"/>
      <c r="Q186" s="11">
        <v>0.12986111111111112</v>
      </c>
      <c r="R186" s="11">
        <v>0.18881944444444443</v>
      </c>
      <c r="S186" s="10">
        <v>11470</v>
      </c>
      <c r="T186" s="11">
        <v>0.39898148148148144</v>
      </c>
      <c r="U186" s="11">
        <v>0.40027777777777779</v>
      </c>
      <c r="V186" s="10">
        <v>11486</v>
      </c>
      <c r="W186" s="10">
        <v>27</v>
      </c>
      <c r="X186" s="10">
        <v>27</v>
      </c>
      <c r="Y186" s="12">
        <v>0</v>
      </c>
      <c r="Z186" s="12">
        <v>16</v>
      </c>
      <c r="AA186" s="12">
        <v>16</v>
      </c>
      <c r="AB186" s="12">
        <v>0</v>
      </c>
      <c r="AC186" s="12">
        <v>0</v>
      </c>
      <c r="AD186" s="13">
        <v>2</v>
      </c>
      <c r="AE186" s="12">
        <v>300</v>
      </c>
      <c r="AF186" s="14">
        <v>0</v>
      </c>
      <c r="AG186" s="5">
        <v>0</v>
      </c>
      <c r="AH186" s="5">
        <v>0</v>
      </c>
      <c r="AI186" s="5">
        <v>0</v>
      </c>
      <c r="AJ186" s="5">
        <v>1106.45</v>
      </c>
      <c r="AK186" s="5">
        <v>0</v>
      </c>
      <c r="AL186" s="5">
        <v>1106.45</v>
      </c>
      <c r="AM186" s="8"/>
      <c r="AN186" s="8"/>
    </row>
    <row r="187" spans="1:40" ht="16" thickBot="1">
      <c r="A187" s="3">
        <v>186</v>
      </c>
      <c r="B187" s="19">
        <v>45939</v>
      </c>
      <c r="C187" s="5" t="s">
        <v>40</v>
      </c>
      <c r="D187" s="5" t="s">
        <v>41</v>
      </c>
      <c r="E187" s="6" t="s">
        <v>42</v>
      </c>
      <c r="F187" s="7" t="s">
        <v>55</v>
      </c>
      <c r="G187" s="5" t="s">
        <v>44</v>
      </c>
      <c r="H187" s="5" t="s">
        <v>45</v>
      </c>
      <c r="I187" s="5">
        <v>4</v>
      </c>
      <c r="J187" s="5">
        <v>8</v>
      </c>
      <c r="K187" s="5">
        <v>25000</v>
      </c>
      <c r="L187" s="5">
        <v>1000</v>
      </c>
      <c r="M187" s="5">
        <v>55</v>
      </c>
      <c r="N187" s="5">
        <v>31</v>
      </c>
      <c r="O187" s="10" t="s">
        <v>56</v>
      </c>
      <c r="P187" s="8"/>
      <c r="Q187" s="11">
        <v>8.4027777777777771E-2</v>
      </c>
      <c r="R187" s="11">
        <v>0.18377314814814816</v>
      </c>
      <c r="S187" s="10">
        <v>145218</v>
      </c>
      <c r="T187" s="11">
        <v>0.30079861111111111</v>
      </c>
      <c r="U187" s="11">
        <v>0.3009027777777778</v>
      </c>
      <c r="V187" s="10">
        <v>145235</v>
      </c>
      <c r="W187" s="10">
        <v>31</v>
      </c>
      <c r="X187" s="10">
        <v>31</v>
      </c>
      <c r="Y187" s="12">
        <v>0</v>
      </c>
      <c r="Z187" s="12">
        <v>17</v>
      </c>
      <c r="AA187" s="12">
        <v>17</v>
      </c>
      <c r="AB187" s="12">
        <v>0</v>
      </c>
      <c r="AC187" s="12">
        <v>0</v>
      </c>
      <c r="AD187" s="13">
        <v>0</v>
      </c>
      <c r="AE187" s="12">
        <v>0</v>
      </c>
      <c r="AF187" s="14">
        <v>0</v>
      </c>
      <c r="AG187" s="5">
        <v>0</v>
      </c>
      <c r="AH187" s="5">
        <v>0</v>
      </c>
      <c r="AI187" s="5">
        <v>0</v>
      </c>
      <c r="AJ187" s="5">
        <v>806.45</v>
      </c>
      <c r="AK187" s="5">
        <v>0</v>
      </c>
      <c r="AL187" s="5">
        <v>806.45</v>
      </c>
      <c r="AM187" s="8"/>
      <c r="AN187" s="8"/>
    </row>
    <row r="188" spans="1:40" ht="16" thickBot="1">
      <c r="A188" s="3">
        <v>187</v>
      </c>
      <c r="B188" s="19">
        <v>45939</v>
      </c>
      <c r="C188" s="5" t="s">
        <v>40</v>
      </c>
      <c r="D188" s="5" t="s">
        <v>41</v>
      </c>
      <c r="E188" s="6" t="s">
        <v>42</v>
      </c>
      <c r="F188" s="7" t="s">
        <v>57</v>
      </c>
      <c r="G188" s="5" t="s">
        <v>44</v>
      </c>
      <c r="H188" s="5" t="s">
        <v>45</v>
      </c>
      <c r="I188" s="5">
        <v>4</v>
      </c>
      <c r="J188" s="5">
        <v>8</v>
      </c>
      <c r="K188" s="5">
        <v>25000</v>
      </c>
      <c r="L188" s="5">
        <v>1000</v>
      </c>
      <c r="M188" s="5">
        <v>55</v>
      </c>
      <c r="N188" s="5">
        <v>31</v>
      </c>
      <c r="O188" s="20" t="s">
        <v>58</v>
      </c>
      <c r="P188" s="8"/>
      <c r="Q188" s="11">
        <v>4.7222222222222221E-2</v>
      </c>
      <c r="R188" s="11">
        <v>0.18515046296296298</v>
      </c>
      <c r="S188" s="10">
        <v>142571</v>
      </c>
      <c r="T188" s="11">
        <v>0.38496527777777773</v>
      </c>
      <c r="U188" s="11">
        <v>0.3855555555555556</v>
      </c>
      <c r="V188" s="10">
        <v>142599</v>
      </c>
      <c r="W188" s="10">
        <v>34</v>
      </c>
      <c r="X188" s="10">
        <v>34</v>
      </c>
      <c r="Y188" s="12">
        <v>0</v>
      </c>
      <c r="Z188" s="12">
        <v>28</v>
      </c>
      <c r="AA188" s="12">
        <v>28</v>
      </c>
      <c r="AB188" s="12">
        <v>0</v>
      </c>
      <c r="AC188" s="12">
        <v>0</v>
      </c>
      <c r="AD188" s="13">
        <v>2</v>
      </c>
      <c r="AE188" s="12">
        <v>300</v>
      </c>
      <c r="AF188" s="14">
        <v>0</v>
      </c>
      <c r="AG188" s="5">
        <v>0</v>
      </c>
      <c r="AH188" s="5">
        <v>0</v>
      </c>
      <c r="AI188" s="5">
        <v>0</v>
      </c>
      <c r="AJ188" s="5">
        <v>1106.45</v>
      </c>
      <c r="AK188" s="5">
        <v>0</v>
      </c>
      <c r="AL188" s="5">
        <v>1106.45</v>
      </c>
      <c r="AM188" s="8"/>
      <c r="AN188" s="8"/>
    </row>
    <row r="189" spans="1:40" ht="16" thickBot="1">
      <c r="A189" s="3">
        <v>188</v>
      </c>
      <c r="B189" s="19">
        <v>45939</v>
      </c>
      <c r="C189" s="5" t="s">
        <v>40</v>
      </c>
      <c r="D189" s="5" t="s">
        <v>41</v>
      </c>
      <c r="E189" s="6" t="s">
        <v>42</v>
      </c>
      <c r="F189" s="7" t="s">
        <v>59</v>
      </c>
      <c r="G189" s="5" t="s">
        <v>44</v>
      </c>
      <c r="H189" s="5" t="s">
        <v>45</v>
      </c>
      <c r="I189" s="5">
        <v>4</v>
      </c>
      <c r="J189" s="5">
        <v>8</v>
      </c>
      <c r="K189" s="5">
        <v>25000</v>
      </c>
      <c r="L189" s="5">
        <v>1000</v>
      </c>
      <c r="M189" s="5">
        <v>55</v>
      </c>
      <c r="N189" s="5">
        <v>31</v>
      </c>
      <c r="O189" s="10" t="s">
        <v>121</v>
      </c>
      <c r="P189" s="8"/>
      <c r="Q189" s="11">
        <v>0.12708333333333333</v>
      </c>
      <c r="R189" s="11">
        <v>0.19005787037037036</v>
      </c>
      <c r="S189" s="10">
        <v>158599</v>
      </c>
      <c r="T189" s="11">
        <v>0.36853009259259256</v>
      </c>
      <c r="U189" s="11">
        <v>0.3689236111111111</v>
      </c>
      <c r="V189" s="10">
        <v>158617</v>
      </c>
      <c r="W189" s="10">
        <v>54</v>
      </c>
      <c r="X189" s="10">
        <v>54</v>
      </c>
      <c r="Y189" s="12">
        <v>0</v>
      </c>
      <c r="Z189" s="12">
        <v>18</v>
      </c>
      <c r="AA189" s="12">
        <v>18</v>
      </c>
      <c r="AB189" s="12">
        <v>0</v>
      </c>
      <c r="AC189" s="12">
        <v>0</v>
      </c>
      <c r="AD189" s="13">
        <v>1</v>
      </c>
      <c r="AE189" s="12">
        <v>150</v>
      </c>
      <c r="AF189" s="14">
        <v>0</v>
      </c>
      <c r="AG189" s="5">
        <v>0</v>
      </c>
      <c r="AH189" s="5">
        <v>0</v>
      </c>
      <c r="AI189" s="5">
        <v>0</v>
      </c>
      <c r="AJ189" s="5">
        <v>956.45</v>
      </c>
      <c r="AK189" s="5">
        <v>0</v>
      </c>
      <c r="AL189" s="5">
        <v>956.45</v>
      </c>
      <c r="AM189" s="8"/>
      <c r="AN189" s="8"/>
    </row>
    <row r="190" spans="1:40" ht="16" thickBot="1">
      <c r="A190" s="3">
        <v>189</v>
      </c>
      <c r="B190" s="19">
        <v>45939</v>
      </c>
      <c r="C190" s="5" t="s">
        <v>40</v>
      </c>
      <c r="D190" s="5" t="s">
        <v>41</v>
      </c>
      <c r="E190" s="6" t="s">
        <v>42</v>
      </c>
      <c r="F190" s="7" t="s">
        <v>60</v>
      </c>
      <c r="G190" s="5" t="s">
        <v>44</v>
      </c>
      <c r="H190" s="5" t="s">
        <v>45</v>
      </c>
      <c r="I190" s="5">
        <v>4</v>
      </c>
      <c r="J190" s="5">
        <v>8</v>
      </c>
      <c r="K190" s="5">
        <v>25000</v>
      </c>
      <c r="L190" s="5">
        <v>1000</v>
      </c>
      <c r="M190" s="5">
        <v>55</v>
      </c>
      <c r="N190" s="5">
        <v>31</v>
      </c>
      <c r="O190" s="10" t="s">
        <v>75</v>
      </c>
      <c r="P190" s="8"/>
      <c r="Q190" s="11">
        <v>4.4444444444444446E-2</v>
      </c>
      <c r="R190" s="11">
        <v>0.18899305555555557</v>
      </c>
      <c r="S190" s="10">
        <v>112611</v>
      </c>
      <c r="T190" s="11">
        <v>0.40482638888888894</v>
      </c>
      <c r="U190" s="11">
        <v>0.40605324074074073</v>
      </c>
      <c r="V190" s="10">
        <v>112628</v>
      </c>
      <c r="W190" s="10">
        <v>37</v>
      </c>
      <c r="X190" s="10">
        <v>37</v>
      </c>
      <c r="Y190" s="12">
        <v>0</v>
      </c>
      <c r="Z190" s="12">
        <v>17</v>
      </c>
      <c r="AA190" s="12">
        <v>17</v>
      </c>
      <c r="AB190" s="12">
        <v>0</v>
      </c>
      <c r="AC190" s="12">
        <v>0</v>
      </c>
      <c r="AD190" s="13">
        <v>2</v>
      </c>
      <c r="AE190" s="12">
        <v>300</v>
      </c>
      <c r="AF190" s="14">
        <v>0</v>
      </c>
      <c r="AG190" s="5">
        <v>0</v>
      </c>
      <c r="AH190" s="5">
        <v>0</v>
      </c>
      <c r="AI190" s="5">
        <v>0</v>
      </c>
      <c r="AJ190" s="5">
        <v>1106.45</v>
      </c>
      <c r="AK190" s="5">
        <v>0</v>
      </c>
      <c r="AL190" s="5">
        <v>1106.45</v>
      </c>
      <c r="AM190" s="8"/>
      <c r="AN190" s="8"/>
    </row>
    <row r="191" spans="1:40" ht="16" thickBot="1">
      <c r="A191" s="3">
        <v>190</v>
      </c>
      <c r="B191" s="19">
        <v>45939</v>
      </c>
      <c r="C191" s="5" t="s">
        <v>40</v>
      </c>
      <c r="D191" s="5" t="s">
        <v>41</v>
      </c>
      <c r="E191" s="6" t="s">
        <v>42</v>
      </c>
      <c r="F191" s="7" t="s">
        <v>97</v>
      </c>
      <c r="G191" s="5" t="s">
        <v>44</v>
      </c>
      <c r="H191" s="5" t="s">
        <v>45</v>
      </c>
      <c r="I191" s="5">
        <v>4</v>
      </c>
      <c r="J191" s="5">
        <v>8</v>
      </c>
      <c r="K191" s="5">
        <v>25000</v>
      </c>
      <c r="L191" s="5">
        <v>1000</v>
      </c>
      <c r="M191" s="5">
        <v>55</v>
      </c>
      <c r="N191" s="5">
        <v>31</v>
      </c>
      <c r="O191" s="20" t="s">
        <v>153</v>
      </c>
      <c r="P191" s="8"/>
      <c r="Q191" s="11">
        <v>4.6527777777777779E-2</v>
      </c>
      <c r="R191" s="11">
        <v>0.1955324074074074</v>
      </c>
      <c r="S191" s="10">
        <v>77537</v>
      </c>
      <c r="T191" s="11">
        <v>0.35818287037037039</v>
      </c>
      <c r="U191" s="11">
        <v>0.35826388888888888</v>
      </c>
      <c r="V191" s="10">
        <v>77569</v>
      </c>
      <c r="W191" s="10">
        <v>55</v>
      </c>
      <c r="X191" s="10">
        <v>55</v>
      </c>
      <c r="Y191" s="12">
        <v>0</v>
      </c>
      <c r="Z191" s="12">
        <v>32</v>
      </c>
      <c r="AA191" s="12">
        <v>32</v>
      </c>
      <c r="AB191" s="12">
        <v>0</v>
      </c>
      <c r="AC191" s="12">
        <v>0</v>
      </c>
      <c r="AD191" s="13">
        <v>1</v>
      </c>
      <c r="AE191" s="12">
        <v>150</v>
      </c>
      <c r="AF191" s="14">
        <v>0</v>
      </c>
      <c r="AG191" s="5">
        <v>0</v>
      </c>
      <c r="AH191" s="5">
        <v>0</v>
      </c>
      <c r="AI191" s="5">
        <v>0</v>
      </c>
      <c r="AJ191" s="5">
        <v>956.45</v>
      </c>
      <c r="AK191" s="5">
        <v>0</v>
      </c>
      <c r="AL191" s="5">
        <v>956.45</v>
      </c>
      <c r="AM191" s="8"/>
      <c r="AN191" s="8"/>
    </row>
    <row r="192" spans="1:40" ht="16" thickBot="1">
      <c r="A192" s="3">
        <v>191</v>
      </c>
      <c r="B192" s="19">
        <v>45939</v>
      </c>
      <c r="C192" s="5" t="s">
        <v>40</v>
      </c>
      <c r="D192" s="5" t="s">
        <v>41</v>
      </c>
      <c r="E192" s="6" t="s">
        <v>42</v>
      </c>
      <c r="F192" s="7" t="s">
        <v>62</v>
      </c>
      <c r="G192" s="10" t="s">
        <v>44</v>
      </c>
      <c r="H192" s="5" t="s">
        <v>45</v>
      </c>
      <c r="I192" s="5">
        <v>6</v>
      </c>
      <c r="J192" s="5">
        <v>8</v>
      </c>
      <c r="K192" s="5">
        <v>33000</v>
      </c>
      <c r="L192" s="5">
        <v>2000</v>
      </c>
      <c r="M192" s="5">
        <v>55</v>
      </c>
      <c r="N192" s="5">
        <v>31</v>
      </c>
      <c r="O192" s="10" t="s">
        <v>63</v>
      </c>
      <c r="P192" s="8"/>
      <c r="Q192" s="11">
        <v>4.7222222222222221E-2</v>
      </c>
      <c r="R192" s="11">
        <v>0.18618055555555557</v>
      </c>
      <c r="S192" s="10">
        <v>47484</v>
      </c>
      <c r="T192" s="15"/>
      <c r="U192" s="15"/>
      <c r="V192" s="6">
        <v>47555</v>
      </c>
      <c r="W192" s="15"/>
      <c r="X192" s="15"/>
      <c r="Y192" s="12">
        <v>0</v>
      </c>
      <c r="Z192" s="12">
        <v>71</v>
      </c>
      <c r="AA192" s="12">
        <v>71</v>
      </c>
      <c r="AB192" s="12">
        <v>0</v>
      </c>
      <c r="AC192" s="12">
        <v>0</v>
      </c>
      <c r="AD192" s="13">
        <v>0</v>
      </c>
      <c r="AE192" s="12">
        <v>0</v>
      </c>
      <c r="AF192" s="14">
        <v>0</v>
      </c>
      <c r="AG192" s="5">
        <v>0</v>
      </c>
      <c r="AH192" s="5">
        <v>0</v>
      </c>
      <c r="AI192" s="5">
        <v>0</v>
      </c>
      <c r="AJ192" s="5">
        <v>1064.52</v>
      </c>
      <c r="AK192" s="5">
        <v>0</v>
      </c>
      <c r="AL192" s="5">
        <v>1064.52</v>
      </c>
      <c r="AM192" s="8"/>
      <c r="AN192" s="8"/>
    </row>
    <row r="193" spans="1:40" ht="16" thickBot="1">
      <c r="A193" s="3">
        <v>192</v>
      </c>
      <c r="B193" s="19">
        <v>45939</v>
      </c>
      <c r="C193" s="5" t="s">
        <v>40</v>
      </c>
      <c r="D193" s="5" t="s">
        <v>41</v>
      </c>
      <c r="E193" s="6" t="s">
        <v>42</v>
      </c>
      <c r="F193" s="7" t="s">
        <v>101</v>
      </c>
      <c r="G193" s="5" t="s">
        <v>44</v>
      </c>
      <c r="H193" s="5" t="s">
        <v>45</v>
      </c>
      <c r="I193" s="5">
        <v>4</v>
      </c>
      <c r="J193" s="5">
        <v>8</v>
      </c>
      <c r="K193" s="5">
        <v>25000</v>
      </c>
      <c r="L193" s="5">
        <v>1000</v>
      </c>
      <c r="M193" s="5">
        <v>55</v>
      </c>
      <c r="N193" s="5">
        <v>31</v>
      </c>
      <c r="O193" s="20" t="s">
        <v>46</v>
      </c>
      <c r="P193" s="8"/>
      <c r="Q193" s="11">
        <v>0.11527777777777777</v>
      </c>
      <c r="R193" s="11">
        <v>0.27626157407407409</v>
      </c>
      <c r="S193" s="10">
        <v>117652</v>
      </c>
      <c r="T193" s="11">
        <v>0.27653935185185186</v>
      </c>
      <c r="U193" s="11">
        <v>0.27673611111111113</v>
      </c>
      <c r="V193" s="10">
        <v>117652</v>
      </c>
      <c r="W193" s="10">
        <v>0</v>
      </c>
      <c r="X193" s="10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3">
        <v>0</v>
      </c>
      <c r="AE193" s="12">
        <v>0</v>
      </c>
      <c r="AF193" s="14">
        <v>0</v>
      </c>
      <c r="AG193" s="5">
        <v>0</v>
      </c>
      <c r="AH193" s="5">
        <v>0</v>
      </c>
      <c r="AI193" s="5">
        <v>0</v>
      </c>
      <c r="AJ193" s="5">
        <v>806.45</v>
      </c>
      <c r="AK193" s="5">
        <v>0</v>
      </c>
      <c r="AL193" s="5">
        <v>806.45</v>
      </c>
      <c r="AM193" s="8"/>
      <c r="AN193" s="8"/>
    </row>
    <row r="194" spans="1:40" ht="16" thickBot="1">
      <c r="A194" s="3">
        <v>193</v>
      </c>
      <c r="B194" s="19">
        <v>45939</v>
      </c>
      <c r="C194" s="5" t="s">
        <v>40</v>
      </c>
      <c r="D194" s="5" t="s">
        <v>41</v>
      </c>
      <c r="E194" s="6" t="s">
        <v>42</v>
      </c>
      <c r="F194" s="7" t="s">
        <v>64</v>
      </c>
      <c r="G194" s="5" t="s">
        <v>44</v>
      </c>
      <c r="H194" s="5" t="s">
        <v>45</v>
      </c>
      <c r="I194" s="5">
        <v>4</v>
      </c>
      <c r="J194" s="5">
        <v>8</v>
      </c>
      <c r="K194" s="5">
        <v>25000</v>
      </c>
      <c r="L194" s="5">
        <v>1000</v>
      </c>
      <c r="M194" s="5">
        <v>55</v>
      </c>
      <c r="N194" s="5">
        <v>31</v>
      </c>
      <c r="O194" s="20" t="s">
        <v>95</v>
      </c>
      <c r="P194" s="8"/>
      <c r="Q194" s="11">
        <v>5.0694444444444452E-2</v>
      </c>
      <c r="R194" s="11">
        <v>0.19781250000000003</v>
      </c>
      <c r="S194" s="10">
        <v>74358</v>
      </c>
      <c r="T194" s="11">
        <v>0.34097222222222223</v>
      </c>
      <c r="U194" s="11">
        <v>0.3520138888888889</v>
      </c>
      <c r="V194" s="10">
        <v>74385</v>
      </c>
      <c r="W194" s="10">
        <v>25</v>
      </c>
      <c r="X194" s="10">
        <v>25</v>
      </c>
      <c r="Y194" s="12">
        <v>0</v>
      </c>
      <c r="Z194" s="12">
        <v>27</v>
      </c>
      <c r="AA194" s="12">
        <v>27</v>
      </c>
      <c r="AB194" s="12">
        <v>0</v>
      </c>
      <c r="AC194" s="12">
        <v>0</v>
      </c>
      <c r="AD194" s="13">
        <v>1</v>
      </c>
      <c r="AE194" s="12">
        <v>150</v>
      </c>
      <c r="AF194" s="14">
        <v>0</v>
      </c>
      <c r="AG194" s="5">
        <v>0</v>
      </c>
      <c r="AH194" s="5">
        <v>0</v>
      </c>
      <c r="AI194" s="5">
        <v>0</v>
      </c>
      <c r="AJ194" s="5">
        <v>956.45</v>
      </c>
      <c r="AK194" s="5">
        <v>0</v>
      </c>
      <c r="AL194" s="5">
        <v>956.45</v>
      </c>
      <c r="AM194" s="8"/>
      <c r="AN194" s="8"/>
    </row>
    <row r="195" spans="1:40" ht="16" thickBot="1">
      <c r="A195" s="3">
        <v>194</v>
      </c>
      <c r="B195" s="19">
        <v>45939</v>
      </c>
      <c r="C195" s="5" t="s">
        <v>40</v>
      </c>
      <c r="D195" s="5" t="s">
        <v>41</v>
      </c>
      <c r="E195" s="6" t="s">
        <v>42</v>
      </c>
      <c r="F195" s="7" t="s">
        <v>68</v>
      </c>
      <c r="G195" s="5" t="s">
        <v>44</v>
      </c>
      <c r="H195" s="5" t="s">
        <v>45</v>
      </c>
      <c r="I195" s="5">
        <v>4</v>
      </c>
      <c r="J195" s="5">
        <v>8</v>
      </c>
      <c r="K195" s="5">
        <v>25000</v>
      </c>
      <c r="L195" s="5">
        <v>1000</v>
      </c>
      <c r="M195" s="5">
        <v>55</v>
      </c>
      <c r="N195" s="5">
        <v>31</v>
      </c>
      <c r="O195" s="10" t="s">
        <v>103</v>
      </c>
      <c r="P195" s="8"/>
      <c r="Q195" s="11">
        <v>4.3750000000000004E-2</v>
      </c>
      <c r="R195" s="11">
        <v>0.18440972222222221</v>
      </c>
      <c r="S195" s="10">
        <v>83181</v>
      </c>
      <c r="T195" s="11">
        <v>0.32818287037037036</v>
      </c>
      <c r="U195" s="11">
        <v>0.32832175925925927</v>
      </c>
      <c r="V195" s="10">
        <v>83198</v>
      </c>
      <c r="W195" s="10">
        <v>50</v>
      </c>
      <c r="X195" s="10">
        <v>50</v>
      </c>
      <c r="Y195" s="12">
        <v>0</v>
      </c>
      <c r="Z195" s="12">
        <v>17</v>
      </c>
      <c r="AA195" s="12">
        <v>17</v>
      </c>
      <c r="AB195" s="12">
        <v>0</v>
      </c>
      <c r="AC195" s="12">
        <v>0</v>
      </c>
      <c r="AD195" s="13">
        <v>0</v>
      </c>
      <c r="AE195" s="12">
        <v>0</v>
      </c>
      <c r="AF195" s="14">
        <v>0</v>
      </c>
      <c r="AG195" s="5">
        <v>0</v>
      </c>
      <c r="AH195" s="5">
        <v>0</v>
      </c>
      <c r="AI195" s="5">
        <v>0</v>
      </c>
      <c r="AJ195" s="5">
        <v>806.45</v>
      </c>
      <c r="AK195" s="5">
        <v>0</v>
      </c>
      <c r="AL195" s="5">
        <v>806.45</v>
      </c>
      <c r="AM195" s="8"/>
      <c r="AN195" s="8"/>
    </row>
    <row r="196" spans="1:40" ht="16" thickBot="1">
      <c r="A196" s="3">
        <v>195</v>
      </c>
      <c r="B196" s="19">
        <v>45939</v>
      </c>
      <c r="C196" s="5" t="s">
        <v>40</v>
      </c>
      <c r="D196" s="5" t="s">
        <v>41</v>
      </c>
      <c r="E196" s="6" t="s">
        <v>42</v>
      </c>
      <c r="F196" s="7" t="s">
        <v>70</v>
      </c>
      <c r="G196" s="5" t="s">
        <v>44</v>
      </c>
      <c r="H196" s="5" t="s">
        <v>45</v>
      </c>
      <c r="I196" s="5">
        <v>4</v>
      </c>
      <c r="J196" s="5">
        <v>8</v>
      </c>
      <c r="K196" s="5">
        <v>25000</v>
      </c>
      <c r="L196" s="5">
        <v>1000</v>
      </c>
      <c r="M196" s="5">
        <v>55</v>
      </c>
      <c r="N196" s="5">
        <v>31</v>
      </c>
      <c r="O196" s="10" t="s">
        <v>139</v>
      </c>
      <c r="P196" s="8"/>
      <c r="Q196" s="11">
        <v>9.0277777777777776E-2</v>
      </c>
      <c r="R196" s="11">
        <v>0.1915162037037037</v>
      </c>
      <c r="S196" s="10">
        <v>36398</v>
      </c>
      <c r="T196" s="11">
        <v>0.33788194444444447</v>
      </c>
      <c r="U196" s="11">
        <v>0.33811342592592591</v>
      </c>
      <c r="V196" s="10">
        <v>36432</v>
      </c>
      <c r="W196" s="10">
        <v>55</v>
      </c>
      <c r="X196" s="10">
        <v>55</v>
      </c>
      <c r="Y196" s="12">
        <v>0</v>
      </c>
      <c r="Z196" s="12">
        <v>34</v>
      </c>
      <c r="AA196" s="12">
        <v>34</v>
      </c>
      <c r="AB196" s="12">
        <v>0</v>
      </c>
      <c r="AC196" s="12">
        <v>0</v>
      </c>
      <c r="AD196" s="13">
        <v>1</v>
      </c>
      <c r="AE196" s="12">
        <v>150</v>
      </c>
      <c r="AF196" s="14">
        <v>0</v>
      </c>
      <c r="AG196" s="5">
        <v>0</v>
      </c>
      <c r="AH196" s="5">
        <v>0</v>
      </c>
      <c r="AI196" s="5">
        <v>0</v>
      </c>
      <c r="AJ196" s="5">
        <v>956.45</v>
      </c>
      <c r="AK196" s="5">
        <v>0</v>
      </c>
      <c r="AL196" s="5">
        <v>956.45</v>
      </c>
      <c r="AM196" s="8"/>
      <c r="AN196" s="8"/>
    </row>
    <row r="197" spans="1:40" ht="16" thickBot="1">
      <c r="A197" s="3">
        <v>196</v>
      </c>
      <c r="B197" s="19">
        <v>45939</v>
      </c>
      <c r="C197" s="5" t="s">
        <v>40</v>
      </c>
      <c r="D197" s="5" t="s">
        <v>41</v>
      </c>
      <c r="E197" s="6" t="s">
        <v>42</v>
      </c>
      <c r="F197" s="7" t="s">
        <v>72</v>
      </c>
      <c r="G197" s="10" t="s">
        <v>44</v>
      </c>
      <c r="H197" s="5" t="s">
        <v>45</v>
      </c>
      <c r="I197" s="5">
        <v>6</v>
      </c>
      <c r="J197" s="5">
        <v>8</v>
      </c>
      <c r="K197" s="5">
        <v>33000</v>
      </c>
      <c r="L197" s="5">
        <v>2000</v>
      </c>
      <c r="M197" s="5">
        <v>55</v>
      </c>
      <c r="N197" s="5">
        <v>31</v>
      </c>
      <c r="O197" s="10" t="s">
        <v>73</v>
      </c>
      <c r="P197" s="8"/>
      <c r="Q197" s="11">
        <v>0.11180555555555556</v>
      </c>
      <c r="R197" s="11">
        <v>0.18598379629629627</v>
      </c>
      <c r="S197" s="10">
        <v>32618</v>
      </c>
      <c r="T197" s="11">
        <v>0.35266203703703702</v>
      </c>
      <c r="U197" s="11">
        <v>0.35276620370370365</v>
      </c>
      <c r="V197" s="10">
        <v>32698</v>
      </c>
      <c r="W197" s="10">
        <v>33</v>
      </c>
      <c r="X197" s="10">
        <v>33</v>
      </c>
      <c r="Y197" s="12">
        <v>0</v>
      </c>
      <c r="Z197" s="12">
        <v>80</v>
      </c>
      <c r="AA197" s="12">
        <v>80</v>
      </c>
      <c r="AB197" s="12">
        <v>0</v>
      </c>
      <c r="AC197" s="12">
        <v>0</v>
      </c>
      <c r="AD197" s="13">
        <v>0</v>
      </c>
      <c r="AE197" s="12">
        <v>0</v>
      </c>
      <c r="AF197" s="14">
        <v>0</v>
      </c>
      <c r="AG197" s="5">
        <v>0</v>
      </c>
      <c r="AH197" s="5">
        <v>0</v>
      </c>
      <c r="AI197" s="5">
        <v>0</v>
      </c>
      <c r="AJ197" s="5">
        <v>1064.52</v>
      </c>
      <c r="AK197" s="5">
        <v>0</v>
      </c>
      <c r="AL197" s="5">
        <v>1064.52</v>
      </c>
      <c r="AM197" s="8"/>
      <c r="AN197" s="8"/>
    </row>
    <row r="198" spans="1:40" ht="16" thickBot="1">
      <c r="A198" s="3">
        <v>197</v>
      </c>
      <c r="B198" s="19">
        <v>45939</v>
      </c>
      <c r="C198" s="5" t="s">
        <v>40</v>
      </c>
      <c r="D198" s="5" t="s">
        <v>41</v>
      </c>
      <c r="E198" s="6" t="s">
        <v>42</v>
      </c>
      <c r="F198" s="7" t="s">
        <v>74</v>
      </c>
      <c r="G198" s="5" t="s">
        <v>44</v>
      </c>
      <c r="H198" s="5" t="s">
        <v>45</v>
      </c>
      <c r="I198" s="5">
        <v>4</v>
      </c>
      <c r="J198" s="5">
        <v>8</v>
      </c>
      <c r="K198" s="5">
        <v>25000</v>
      </c>
      <c r="L198" s="5">
        <v>1000</v>
      </c>
      <c r="M198" s="5">
        <v>55</v>
      </c>
      <c r="N198" s="5">
        <v>31</v>
      </c>
      <c r="O198" s="10" t="s">
        <v>52</v>
      </c>
      <c r="P198" s="8"/>
      <c r="Q198" s="11">
        <v>4.4444444444444446E-2</v>
      </c>
      <c r="R198" s="11">
        <v>0.18550925925925923</v>
      </c>
      <c r="S198" s="10">
        <v>37917</v>
      </c>
      <c r="T198" s="11">
        <v>0.31797453703703704</v>
      </c>
      <c r="U198" s="11">
        <v>0.31805555555555554</v>
      </c>
      <c r="V198" s="10">
        <v>37944</v>
      </c>
      <c r="W198" s="10">
        <v>33</v>
      </c>
      <c r="X198" s="10">
        <v>33</v>
      </c>
      <c r="Y198" s="12">
        <v>0</v>
      </c>
      <c r="Z198" s="12">
        <v>27</v>
      </c>
      <c r="AA198" s="12">
        <v>27</v>
      </c>
      <c r="AB198" s="12">
        <v>0</v>
      </c>
      <c r="AC198" s="12">
        <v>0</v>
      </c>
      <c r="AD198" s="13">
        <v>0</v>
      </c>
      <c r="AE198" s="12">
        <v>0</v>
      </c>
      <c r="AF198" s="14">
        <v>0</v>
      </c>
      <c r="AG198" s="5">
        <v>0</v>
      </c>
      <c r="AH198" s="5">
        <v>0</v>
      </c>
      <c r="AI198" s="5">
        <v>0</v>
      </c>
      <c r="AJ198" s="5">
        <v>806.45</v>
      </c>
      <c r="AK198" s="5">
        <v>0</v>
      </c>
      <c r="AL198" s="5">
        <v>806.45</v>
      </c>
      <c r="AM198" s="8"/>
      <c r="AN198" s="8"/>
    </row>
    <row r="199" spans="1:40" ht="16" thickBot="1">
      <c r="A199" s="3">
        <v>198</v>
      </c>
      <c r="B199" s="19">
        <v>45939</v>
      </c>
      <c r="C199" s="5" t="s">
        <v>40</v>
      </c>
      <c r="D199" s="5" t="s">
        <v>41</v>
      </c>
      <c r="E199" s="6" t="s">
        <v>42</v>
      </c>
      <c r="F199" s="7" t="s">
        <v>78</v>
      </c>
      <c r="G199" s="5" t="s">
        <v>44</v>
      </c>
      <c r="H199" s="5" t="s">
        <v>45</v>
      </c>
      <c r="I199" s="5">
        <v>4</v>
      </c>
      <c r="J199" s="5">
        <v>8</v>
      </c>
      <c r="K199" s="5">
        <v>25000</v>
      </c>
      <c r="L199" s="5">
        <v>1000</v>
      </c>
      <c r="M199" s="5">
        <v>55</v>
      </c>
      <c r="N199" s="5">
        <v>31</v>
      </c>
      <c r="O199" s="10" t="s">
        <v>79</v>
      </c>
      <c r="P199" s="8"/>
      <c r="Q199" s="11">
        <v>7.8472222222222221E-2</v>
      </c>
      <c r="R199" s="11">
        <v>0.18627314814814813</v>
      </c>
      <c r="S199" s="10">
        <v>6859</v>
      </c>
      <c r="T199" s="11">
        <v>0.38896990740740739</v>
      </c>
      <c r="U199" s="11">
        <v>0.38947916666666665</v>
      </c>
      <c r="V199" s="10">
        <v>6901</v>
      </c>
      <c r="W199" s="10">
        <v>0</v>
      </c>
      <c r="X199" s="10">
        <v>0</v>
      </c>
      <c r="Y199" s="12">
        <v>0</v>
      </c>
      <c r="Z199" s="12">
        <v>42</v>
      </c>
      <c r="AA199" s="12">
        <v>42</v>
      </c>
      <c r="AB199" s="12">
        <v>0</v>
      </c>
      <c r="AC199" s="12">
        <v>0</v>
      </c>
      <c r="AD199" s="13">
        <v>2</v>
      </c>
      <c r="AE199" s="12">
        <v>300</v>
      </c>
      <c r="AF199" s="14">
        <v>0</v>
      </c>
      <c r="AG199" s="5">
        <v>0</v>
      </c>
      <c r="AH199" s="5">
        <v>0</v>
      </c>
      <c r="AI199" s="5">
        <v>0</v>
      </c>
      <c r="AJ199" s="5">
        <v>1106.45</v>
      </c>
      <c r="AK199" s="5">
        <v>0</v>
      </c>
      <c r="AL199" s="5">
        <v>1106.45</v>
      </c>
      <c r="AM199" s="8"/>
      <c r="AN199" s="8"/>
    </row>
    <row r="200" spans="1:40" ht="16" thickBot="1">
      <c r="A200" s="3">
        <v>199</v>
      </c>
      <c r="B200" s="19">
        <v>45939</v>
      </c>
      <c r="C200" s="5" t="s">
        <v>40</v>
      </c>
      <c r="D200" s="5" t="s">
        <v>41</v>
      </c>
      <c r="E200" s="6" t="s">
        <v>42</v>
      </c>
      <c r="F200" s="7" t="s">
        <v>80</v>
      </c>
      <c r="G200" s="5" t="s">
        <v>44</v>
      </c>
      <c r="H200" s="5" t="s">
        <v>45</v>
      </c>
      <c r="I200" s="5">
        <v>4</v>
      </c>
      <c r="J200" s="5">
        <v>8</v>
      </c>
      <c r="K200" s="5">
        <v>25000</v>
      </c>
      <c r="L200" s="5">
        <v>1000</v>
      </c>
      <c r="M200" s="5">
        <v>55</v>
      </c>
      <c r="N200" s="5">
        <v>31</v>
      </c>
      <c r="O200" s="10" t="s">
        <v>148</v>
      </c>
      <c r="P200" s="8"/>
      <c r="Q200" s="11">
        <v>4.3750000000000004E-2</v>
      </c>
      <c r="R200" s="11">
        <v>0.18528935185185183</v>
      </c>
      <c r="S200" s="10">
        <v>4161</v>
      </c>
      <c r="T200" s="11">
        <v>0.31847222222222221</v>
      </c>
      <c r="U200" s="11">
        <v>0.31854166666666667</v>
      </c>
      <c r="V200" s="10">
        <v>4176</v>
      </c>
      <c r="W200" s="10">
        <v>29</v>
      </c>
      <c r="X200" s="10">
        <v>29</v>
      </c>
      <c r="Y200" s="12">
        <v>0</v>
      </c>
      <c r="Z200" s="12">
        <v>15</v>
      </c>
      <c r="AA200" s="12">
        <v>15</v>
      </c>
      <c r="AB200" s="12">
        <v>0</v>
      </c>
      <c r="AC200" s="12">
        <v>0</v>
      </c>
      <c r="AD200" s="13">
        <v>0</v>
      </c>
      <c r="AE200" s="12">
        <v>0</v>
      </c>
      <c r="AF200" s="14">
        <v>0</v>
      </c>
      <c r="AG200" s="5">
        <v>0</v>
      </c>
      <c r="AH200" s="5">
        <v>0</v>
      </c>
      <c r="AI200" s="5">
        <v>0</v>
      </c>
      <c r="AJ200" s="5">
        <v>806.45</v>
      </c>
      <c r="AK200" s="5">
        <v>0</v>
      </c>
      <c r="AL200" s="5">
        <v>806.45</v>
      </c>
      <c r="AM200" s="8"/>
      <c r="AN200" s="8"/>
    </row>
    <row r="201" spans="1:40" ht="16" thickBot="1">
      <c r="A201" s="3">
        <v>200</v>
      </c>
      <c r="B201" s="19">
        <v>45939</v>
      </c>
      <c r="C201" s="5" t="s">
        <v>40</v>
      </c>
      <c r="D201" s="5" t="s">
        <v>41</v>
      </c>
      <c r="E201" s="6" t="s">
        <v>42</v>
      </c>
      <c r="F201" s="7" t="s">
        <v>105</v>
      </c>
      <c r="G201" s="5" t="s">
        <v>44</v>
      </c>
      <c r="H201" s="5" t="s">
        <v>45</v>
      </c>
      <c r="I201" s="5">
        <v>4</v>
      </c>
      <c r="J201" s="5">
        <v>8</v>
      </c>
      <c r="K201" s="5">
        <v>25000</v>
      </c>
      <c r="L201" s="5">
        <v>1000</v>
      </c>
      <c r="M201" s="5">
        <v>55</v>
      </c>
      <c r="N201" s="5">
        <v>31</v>
      </c>
      <c r="O201" s="10" t="s">
        <v>118</v>
      </c>
      <c r="P201" s="8"/>
      <c r="Q201" s="11">
        <v>0.11875000000000001</v>
      </c>
      <c r="R201" s="11">
        <v>0.19569444444444442</v>
      </c>
      <c r="S201" s="10">
        <v>41116</v>
      </c>
      <c r="T201" s="11">
        <v>0.32030092592592591</v>
      </c>
      <c r="U201" s="11">
        <v>0.32043981481481482</v>
      </c>
      <c r="V201" s="10">
        <v>41150</v>
      </c>
      <c r="W201" s="10">
        <v>50</v>
      </c>
      <c r="X201" s="10">
        <v>50</v>
      </c>
      <c r="Y201" s="12">
        <v>0</v>
      </c>
      <c r="Z201" s="12">
        <v>34</v>
      </c>
      <c r="AA201" s="12">
        <v>34</v>
      </c>
      <c r="AB201" s="12">
        <v>0</v>
      </c>
      <c r="AC201" s="12">
        <v>0</v>
      </c>
      <c r="AD201" s="13">
        <v>0</v>
      </c>
      <c r="AE201" s="12">
        <v>0</v>
      </c>
      <c r="AF201" s="14">
        <v>0</v>
      </c>
      <c r="AG201" s="5">
        <v>0</v>
      </c>
      <c r="AH201" s="5">
        <v>0</v>
      </c>
      <c r="AI201" s="5">
        <v>0</v>
      </c>
      <c r="AJ201" s="5">
        <v>806.45</v>
      </c>
      <c r="AK201" s="5">
        <v>0</v>
      </c>
      <c r="AL201" s="5">
        <v>806.45</v>
      </c>
      <c r="AM201" s="8"/>
      <c r="AN201" s="8"/>
    </row>
    <row r="202" spans="1:40" ht="16" thickBot="1">
      <c r="A202" s="3">
        <v>201</v>
      </c>
      <c r="B202" s="19">
        <v>45939</v>
      </c>
      <c r="C202" s="5" t="s">
        <v>40</v>
      </c>
      <c r="D202" s="5" t="s">
        <v>41</v>
      </c>
      <c r="E202" s="6" t="s">
        <v>42</v>
      </c>
      <c r="F202" s="7" t="s">
        <v>82</v>
      </c>
      <c r="G202" s="10" t="s">
        <v>83</v>
      </c>
      <c r="H202" s="5" t="s">
        <v>84</v>
      </c>
      <c r="I202" s="5">
        <v>4</v>
      </c>
      <c r="J202" s="5">
        <v>10</v>
      </c>
      <c r="K202" s="6">
        <v>29000</v>
      </c>
      <c r="L202" s="5">
        <v>1000</v>
      </c>
      <c r="M202" s="5">
        <v>55</v>
      </c>
      <c r="N202" s="5">
        <v>31</v>
      </c>
      <c r="O202" s="10" t="s">
        <v>154</v>
      </c>
      <c r="P202" s="8"/>
      <c r="Q202" s="11">
        <v>0.11597222222222221</v>
      </c>
      <c r="R202" s="11">
        <v>0.18686342592592595</v>
      </c>
      <c r="S202" s="10">
        <v>32327</v>
      </c>
      <c r="T202" s="11">
        <v>0.35686342592592596</v>
      </c>
      <c r="U202" s="11">
        <v>0.35696759259259259</v>
      </c>
      <c r="V202" s="10">
        <v>32339</v>
      </c>
      <c r="W202" s="10">
        <v>39</v>
      </c>
      <c r="X202" s="10">
        <v>39</v>
      </c>
      <c r="Y202" s="12">
        <v>0</v>
      </c>
      <c r="Z202" s="12">
        <v>12</v>
      </c>
      <c r="AA202" s="12">
        <v>12</v>
      </c>
      <c r="AB202" s="12">
        <v>0</v>
      </c>
      <c r="AC202" s="12">
        <v>0</v>
      </c>
      <c r="AD202" s="13">
        <v>1</v>
      </c>
      <c r="AE202" s="12">
        <v>150</v>
      </c>
      <c r="AF202" s="14">
        <v>0</v>
      </c>
      <c r="AG202" s="5">
        <v>0</v>
      </c>
      <c r="AH202" s="5">
        <v>0</v>
      </c>
      <c r="AI202" s="5">
        <v>0</v>
      </c>
      <c r="AJ202" s="5">
        <v>1085.48</v>
      </c>
      <c r="AK202" s="5">
        <v>0</v>
      </c>
      <c r="AL202" s="5">
        <v>1085.48</v>
      </c>
      <c r="AM202" s="8"/>
      <c r="AN202" s="8"/>
    </row>
    <row r="203" spans="1:40" ht="16" thickBot="1">
      <c r="A203" s="3">
        <v>202</v>
      </c>
      <c r="B203" s="19">
        <v>45939</v>
      </c>
      <c r="C203" s="5" t="s">
        <v>40</v>
      </c>
      <c r="D203" s="5" t="s">
        <v>41</v>
      </c>
      <c r="E203" s="6" t="s">
        <v>42</v>
      </c>
      <c r="F203" s="7" t="s">
        <v>85</v>
      </c>
      <c r="G203" s="10" t="s">
        <v>83</v>
      </c>
      <c r="H203" s="5" t="s">
        <v>84</v>
      </c>
      <c r="I203" s="5">
        <v>4</v>
      </c>
      <c r="J203" s="5">
        <v>10</v>
      </c>
      <c r="K203" s="6">
        <v>29000</v>
      </c>
      <c r="L203" s="5">
        <v>1000</v>
      </c>
      <c r="M203" s="5">
        <v>55</v>
      </c>
      <c r="N203" s="5">
        <v>31</v>
      </c>
      <c r="O203" s="10" t="s">
        <v>155</v>
      </c>
      <c r="P203" s="8"/>
      <c r="Q203" s="11">
        <v>0.12638888888888888</v>
      </c>
      <c r="R203" s="11">
        <v>0.18638888888888891</v>
      </c>
      <c r="S203" s="10">
        <v>38287</v>
      </c>
      <c r="T203" s="11">
        <v>0.39046296296296296</v>
      </c>
      <c r="U203" s="11">
        <v>0.39252314814814815</v>
      </c>
      <c r="V203" s="10">
        <v>38308</v>
      </c>
      <c r="W203" s="10">
        <v>35</v>
      </c>
      <c r="X203" s="10">
        <v>35</v>
      </c>
      <c r="Y203" s="12">
        <v>0</v>
      </c>
      <c r="Z203" s="12">
        <v>21</v>
      </c>
      <c r="AA203" s="12">
        <v>21</v>
      </c>
      <c r="AB203" s="12">
        <v>0</v>
      </c>
      <c r="AC203" s="12">
        <v>0</v>
      </c>
      <c r="AD203" s="13">
        <v>2</v>
      </c>
      <c r="AE203" s="12">
        <v>300</v>
      </c>
      <c r="AF203" s="14">
        <v>0</v>
      </c>
      <c r="AG203" s="5">
        <v>0</v>
      </c>
      <c r="AH203" s="5">
        <v>0</v>
      </c>
      <c r="AI203" s="5">
        <v>0</v>
      </c>
      <c r="AJ203" s="5">
        <v>1235.48</v>
      </c>
      <c r="AK203" s="5">
        <v>0</v>
      </c>
      <c r="AL203" s="5">
        <v>1235.48</v>
      </c>
      <c r="AM203" s="8"/>
      <c r="AN203" s="8"/>
    </row>
    <row r="204" spans="1:40" ht="16" thickBot="1">
      <c r="A204" s="3">
        <v>203</v>
      </c>
      <c r="B204" s="19">
        <v>45939</v>
      </c>
      <c r="C204" s="5" t="s">
        <v>40</v>
      </c>
      <c r="D204" s="5" t="s">
        <v>41</v>
      </c>
      <c r="E204" s="6" t="s">
        <v>42</v>
      </c>
      <c r="F204" s="7" t="s">
        <v>150</v>
      </c>
      <c r="G204" s="10" t="s">
        <v>83</v>
      </c>
      <c r="H204" s="5" t="s">
        <v>84</v>
      </c>
      <c r="I204" s="5">
        <v>4</v>
      </c>
      <c r="J204" s="5">
        <v>10</v>
      </c>
      <c r="K204" s="6">
        <v>29000</v>
      </c>
      <c r="L204" s="5">
        <v>1000</v>
      </c>
      <c r="M204" s="5">
        <v>55</v>
      </c>
      <c r="N204" s="5">
        <v>31</v>
      </c>
      <c r="O204" s="20" t="s">
        <v>90</v>
      </c>
      <c r="P204" s="8"/>
      <c r="Q204" s="11">
        <v>0.12083333333333333</v>
      </c>
      <c r="R204" s="11">
        <v>0.19660879629629627</v>
      </c>
      <c r="S204" s="10">
        <v>60186</v>
      </c>
      <c r="T204" s="11">
        <v>0.32621527777777776</v>
      </c>
      <c r="U204" s="11">
        <v>0.32629629629629631</v>
      </c>
      <c r="V204" s="10">
        <v>60214</v>
      </c>
      <c r="W204" s="10">
        <v>47</v>
      </c>
      <c r="X204" s="10">
        <v>47</v>
      </c>
      <c r="Y204" s="12">
        <v>0</v>
      </c>
      <c r="Z204" s="12">
        <v>28</v>
      </c>
      <c r="AA204" s="12">
        <v>28</v>
      </c>
      <c r="AB204" s="12">
        <v>0</v>
      </c>
      <c r="AC204" s="12">
        <v>0</v>
      </c>
      <c r="AD204" s="13">
        <v>0</v>
      </c>
      <c r="AE204" s="12">
        <v>0</v>
      </c>
      <c r="AF204" s="14">
        <v>0</v>
      </c>
      <c r="AG204" s="5">
        <v>0</v>
      </c>
      <c r="AH204" s="5">
        <v>0</v>
      </c>
      <c r="AI204" s="5">
        <v>0</v>
      </c>
      <c r="AJ204" s="5">
        <v>935.48</v>
      </c>
      <c r="AK204" s="5">
        <v>0</v>
      </c>
      <c r="AL204" s="5">
        <v>935.48</v>
      </c>
      <c r="AM204" s="8"/>
      <c r="AN204" s="8"/>
    </row>
    <row r="205" spans="1:40" ht="16" thickBot="1">
      <c r="A205" s="3">
        <v>204</v>
      </c>
      <c r="B205" s="19">
        <v>45939</v>
      </c>
      <c r="C205" s="5" t="s">
        <v>40</v>
      </c>
      <c r="D205" s="5" t="s">
        <v>41</v>
      </c>
      <c r="E205" s="6" t="s">
        <v>42</v>
      </c>
      <c r="F205" s="7" t="s">
        <v>87</v>
      </c>
      <c r="G205" s="10" t="s">
        <v>83</v>
      </c>
      <c r="H205" s="5" t="s">
        <v>84</v>
      </c>
      <c r="I205" s="5">
        <v>4</v>
      </c>
      <c r="J205" s="5">
        <v>10</v>
      </c>
      <c r="K205" s="6">
        <v>29000</v>
      </c>
      <c r="L205" s="5">
        <v>1000</v>
      </c>
      <c r="M205" s="5">
        <v>55</v>
      </c>
      <c r="N205" s="5">
        <v>31</v>
      </c>
      <c r="O205" s="10" t="s">
        <v>151</v>
      </c>
      <c r="P205" s="8"/>
      <c r="Q205" s="11">
        <v>0.11527777777777777</v>
      </c>
      <c r="R205" s="11">
        <v>0.19597222222222221</v>
      </c>
      <c r="S205" s="10">
        <v>2888</v>
      </c>
      <c r="T205" s="11">
        <v>0.4614583333333333</v>
      </c>
      <c r="U205" s="11">
        <v>0.46156250000000004</v>
      </c>
      <c r="V205" s="10">
        <v>2914</v>
      </c>
      <c r="W205" s="10">
        <v>23</v>
      </c>
      <c r="X205" s="10">
        <v>23</v>
      </c>
      <c r="Y205" s="12">
        <v>0</v>
      </c>
      <c r="Z205" s="12">
        <v>26</v>
      </c>
      <c r="AA205" s="12">
        <v>26</v>
      </c>
      <c r="AB205" s="12">
        <v>0</v>
      </c>
      <c r="AC205" s="12">
        <v>0</v>
      </c>
      <c r="AD205" s="13">
        <v>4</v>
      </c>
      <c r="AE205" s="12">
        <v>600</v>
      </c>
      <c r="AF205" s="14">
        <v>0</v>
      </c>
      <c r="AG205" s="5">
        <v>0</v>
      </c>
      <c r="AH205" s="5">
        <v>0</v>
      </c>
      <c r="AI205" s="5">
        <v>0</v>
      </c>
      <c r="AJ205" s="5">
        <v>1535.48</v>
      </c>
      <c r="AK205" s="5">
        <v>0</v>
      </c>
      <c r="AL205" s="5">
        <v>1535.48</v>
      </c>
      <c r="AM205" s="8"/>
      <c r="AN205" s="8"/>
    </row>
    <row r="206" spans="1:40" ht="16" thickBot="1">
      <c r="A206" s="3">
        <v>205</v>
      </c>
      <c r="B206" s="19">
        <v>45939</v>
      </c>
      <c r="C206" s="5" t="s">
        <v>40</v>
      </c>
      <c r="D206" s="5" t="s">
        <v>41</v>
      </c>
      <c r="E206" s="6" t="s">
        <v>42</v>
      </c>
      <c r="F206" s="7" t="s">
        <v>89</v>
      </c>
      <c r="G206" s="10" t="s">
        <v>83</v>
      </c>
      <c r="H206" s="5" t="s">
        <v>84</v>
      </c>
      <c r="I206" s="5">
        <v>4</v>
      </c>
      <c r="J206" s="5">
        <v>10</v>
      </c>
      <c r="K206" s="6">
        <v>29000</v>
      </c>
      <c r="L206" s="5">
        <v>1000</v>
      </c>
      <c r="M206" s="5">
        <v>55</v>
      </c>
      <c r="N206" s="5">
        <v>31</v>
      </c>
      <c r="O206" s="20" t="s">
        <v>156</v>
      </c>
      <c r="P206" s="8"/>
      <c r="Q206" s="11">
        <v>8.819444444444445E-2</v>
      </c>
      <c r="R206" s="11">
        <v>0.30664351851851851</v>
      </c>
      <c r="S206" s="10">
        <v>138901</v>
      </c>
      <c r="T206" s="11">
        <v>0.33861111111111114</v>
      </c>
      <c r="U206" s="11">
        <v>0.34822916666666665</v>
      </c>
      <c r="V206" s="10">
        <v>138968</v>
      </c>
      <c r="W206" s="10">
        <v>13</v>
      </c>
      <c r="X206" s="10">
        <v>13</v>
      </c>
      <c r="Y206" s="12">
        <v>0</v>
      </c>
      <c r="Z206" s="12">
        <v>67</v>
      </c>
      <c r="AA206" s="12">
        <v>67</v>
      </c>
      <c r="AB206" s="12">
        <v>0</v>
      </c>
      <c r="AC206" s="12">
        <v>0</v>
      </c>
      <c r="AD206" s="13">
        <v>1</v>
      </c>
      <c r="AE206" s="12">
        <v>150</v>
      </c>
      <c r="AF206" s="14">
        <v>0</v>
      </c>
      <c r="AG206" s="5">
        <v>0</v>
      </c>
      <c r="AH206" s="5">
        <v>0</v>
      </c>
      <c r="AI206" s="5">
        <v>0</v>
      </c>
      <c r="AJ206" s="5">
        <v>1085.48</v>
      </c>
      <c r="AK206" s="5">
        <v>0</v>
      </c>
      <c r="AL206" s="5">
        <v>1085.48</v>
      </c>
      <c r="AM206" s="8"/>
      <c r="AN206" s="8"/>
    </row>
    <row r="207" spans="1:40" ht="16" thickBot="1">
      <c r="A207" s="3">
        <v>206</v>
      </c>
      <c r="B207" s="19">
        <v>45940</v>
      </c>
      <c r="C207" s="5" t="s">
        <v>40</v>
      </c>
      <c r="D207" s="5" t="s">
        <v>41</v>
      </c>
      <c r="E207" s="6" t="s">
        <v>42</v>
      </c>
      <c r="F207" s="7" t="s">
        <v>43</v>
      </c>
      <c r="G207" s="5" t="s">
        <v>44</v>
      </c>
      <c r="H207" s="5" t="s">
        <v>45</v>
      </c>
      <c r="I207" s="5">
        <v>4</v>
      </c>
      <c r="J207" s="5">
        <v>8</v>
      </c>
      <c r="K207" s="5">
        <v>25000</v>
      </c>
      <c r="L207" s="5">
        <v>1000</v>
      </c>
      <c r="M207" s="5">
        <v>55</v>
      </c>
      <c r="N207" s="5">
        <v>31</v>
      </c>
      <c r="O207" s="6" t="s">
        <v>148</v>
      </c>
      <c r="P207" s="8"/>
      <c r="Q207" s="16">
        <v>5.1388888888888894E-2</v>
      </c>
      <c r="R207" s="16">
        <v>0.17833333333333334</v>
      </c>
      <c r="S207" s="6">
        <v>56492</v>
      </c>
      <c r="T207" s="16">
        <v>0.35640046296296296</v>
      </c>
      <c r="U207" s="16">
        <v>0.35652777777777778</v>
      </c>
      <c r="V207" s="6">
        <v>56514</v>
      </c>
      <c r="W207" s="6">
        <v>25</v>
      </c>
      <c r="X207" s="6">
        <v>25</v>
      </c>
      <c r="Y207" s="12">
        <v>0</v>
      </c>
      <c r="Z207" s="12">
        <v>22</v>
      </c>
      <c r="AA207" s="12">
        <v>22</v>
      </c>
      <c r="AB207" s="12">
        <v>0</v>
      </c>
      <c r="AC207" s="12">
        <v>0</v>
      </c>
      <c r="AD207" s="13">
        <v>1</v>
      </c>
      <c r="AE207" s="12">
        <v>150</v>
      </c>
      <c r="AF207" s="14">
        <v>0</v>
      </c>
      <c r="AG207" s="5">
        <v>0</v>
      </c>
      <c r="AH207" s="5">
        <v>0</v>
      </c>
      <c r="AI207" s="5">
        <v>0</v>
      </c>
      <c r="AJ207" s="5">
        <v>956.45</v>
      </c>
      <c r="AK207" s="5">
        <v>0</v>
      </c>
      <c r="AL207" s="5">
        <v>956.45</v>
      </c>
      <c r="AM207" s="8"/>
      <c r="AN207" s="8"/>
    </row>
    <row r="208" spans="1:40" ht="16" thickBot="1">
      <c r="A208" s="3">
        <v>207</v>
      </c>
      <c r="B208" s="19">
        <v>45940</v>
      </c>
      <c r="C208" s="5" t="s">
        <v>40</v>
      </c>
      <c r="D208" s="5" t="s">
        <v>41</v>
      </c>
      <c r="E208" s="6" t="s">
        <v>42</v>
      </c>
      <c r="F208" s="7" t="s">
        <v>47</v>
      </c>
      <c r="G208" s="5" t="s">
        <v>44</v>
      </c>
      <c r="H208" s="5" t="s">
        <v>45</v>
      </c>
      <c r="I208" s="5">
        <v>4</v>
      </c>
      <c r="J208" s="5">
        <v>8</v>
      </c>
      <c r="K208" s="5">
        <v>25000</v>
      </c>
      <c r="L208" s="5">
        <v>1000</v>
      </c>
      <c r="M208" s="5">
        <v>55</v>
      </c>
      <c r="N208" s="5">
        <v>31</v>
      </c>
      <c r="O208" s="6" t="s">
        <v>107</v>
      </c>
      <c r="P208" s="8"/>
      <c r="Q208" s="16">
        <v>0.13402777777777777</v>
      </c>
      <c r="R208" s="16">
        <v>0.18184027777777778</v>
      </c>
      <c r="S208" s="6">
        <v>191370</v>
      </c>
      <c r="T208" s="16">
        <v>0.30682870370370369</v>
      </c>
      <c r="U208" s="16">
        <v>0.30693287037037037</v>
      </c>
      <c r="V208" s="6">
        <v>191390</v>
      </c>
      <c r="W208" s="6">
        <v>18</v>
      </c>
      <c r="X208" s="6">
        <v>18</v>
      </c>
      <c r="Y208" s="12">
        <v>0</v>
      </c>
      <c r="Z208" s="12">
        <v>20</v>
      </c>
      <c r="AA208" s="12">
        <v>20</v>
      </c>
      <c r="AB208" s="12">
        <v>0</v>
      </c>
      <c r="AC208" s="12">
        <v>0</v>
      </c>
      <c r="AD208" s="13">
        <v>0</v>
      </c>
      <c r="AE208" s="12">
        <v>0</v>
      </c>
      <c r="AF208" s="14">
        <v>0</v>
      </c>
      <c r="AG208" s="5">
        <v>0</v>
      </c>
      <c r="AH208" s="5">
        <v>0</v>
      </c>
      <c r="AI208" s="5">
        <v>0</v>
      </c>
      <c r="AJ208" s="5">
        <v>806.45</v>
      </c>
      <c r="AK208" s="5">
        <v>0</v>
      </c>
      <c r="AL208" s="5">
        <v>806.45</v>
      </c>
      <c r="AM208" s="8"/>
      <c r="AN208" s="8"/>
    </row>
    <row r="209" spans="1:40" ht="16" thickBot="1">
      <c r="A209" s="3">
        <v>208</v>
      </c>
      <c r="B209" s="19">
        <v>45940</v>
      </c>
      <c r="C209" s="5" t="s">
        <v>40</v>
      </c>
      <c r="D209" s="5" t="s">
        <v>41</v>
      </c>
      <c r="E209" s="6" t="s">
        <v>42</v>
      </c>
      <c r="F209" s="7" t="s">
        <v>132</v>
      </c>
      <c r="G209" s="5" t="s">
        <v>44</v>
      </c>
      <c r="H209" s="5" t="s">
        <v>45</v>
      </c>
      <c r="I209" s="5">
        <v>4</v>
      </c>
      <c r="J209" s="5">
        <v>8</v>
      </c>
      <c r="K209" s="5">
        <v>25000</v>
      </c>
      <c r="L209" s="5">
        <v>1000</v>
      </c>
      <c r="M209" s="5">
        <v>55</v>
      </c>
      <c r="N209" s="5">
        <v>31</v>
      </c>
      <c r="O209" s="6" t="s">
        <v>88</v>
      </c>
      <c r="P209" s="8"/>
      <c r="Q209" s="16">
        <v>4.7916666666666663E-2</v>
      </c>
      <c r="R209" s="16">
        <v>0.18422453703703703</v>
      </c>
      <c r="S209" s="6">
        <v>110058</v>
      </c>
      <c r="T209" s="16">
        <v>0.33121527777777776</v>
      </c>
      <c r="U209" s="16">
        <v>0.33129629629629631</v>
      </c>
      <c r="V209" s="6">
        <v>110099</v>
      </c>
      <c r="W209" s="6">
        <v>56</v>
      </c>
      <c r="X209" s="6">
        <v>56</v>
      </c>
      <c r="Y209" s="12">
        <v>0</v>
      </c>
      <c r="Z209" s="12">
        <v>41</v>
      </c>
      <c r="AA209" s="12">
        <v>41</v>
      </c>
      <c r="AB209" s="12">
        <v>0</v>
      </c>
      <c r="AC209" s="12">
        <v>0</v>
      </c>
      <c r="AD209" s="13">
        <v>0</v>
      </c>
      <c r="AE209" s="12">
        <v>0</v>
      </c>
      <c r="AF209" s="14">
        <v>0</v>
      </c>
      <c r="AG209" s="5">
        <v>0</v>
      </c>
      <c r="AH209" s="5">
        <v>0</v>
      </c>
      <c r="AI209" s="5">
        <v>0</v>
      </c>
      <c r="AJ209" s="5">
        <v>806.45</v>
      </c>
      <c r="AK209" s="5">
        <v>0</v>
      </c>
      <c r="AL209" s="5">
        <v>806.45</v>
      </c>
      <c r="AM209" s="8"/>
      <c r="AN209" s="8"/>
    </row>
    <row r="210" spans="1:40" ht="16" thickBot="1">
      <c r="A210" s="3">
        <v>209</v>
      </c>
      <c r="B210" s="19">
        <v>45940</v>
      </c>
      <c r="C210" s="5" t="s">
        <v>40</v>
      </c>
      <c r="D210" s="5" t="s">
        <v>41</v>
      </c>
      <c r="E210" s="6" t="s">
        <v>42</v>
      </c>
      <c r="F210" s="7" t="s">
        <v>49</v>
      </c>
      <c r="G210" s="10" t="s">
        <v>44</v>
      </c>
      <c r="H210" s="5" t="s">
        <v>45</v>
      </c>
      <c r="I210" s="5">
        <v>6</v>
      </c>
      <c r="J210" s="5">
        <v>8</v>
      </c>
      <c r="K210" s="5">
        <v>33000</v>
      </c>
      <c r="L210" s="5">
        <v>2000</v>
      </c>
      <c r="M210" s="5">
        <v>55</v>
      </c>
      <c r="N210" s="5">
        <v>31</v>
      </c>
      <c r="O210" s="6" t="s">
        <v>91</v>
      </c>
      <c r="P210" s="8"/>
      <c r="Q210" s="16">
        <v>5.4166666666666669E-2</v>
      </c>
      <c r="R210" s="16">
        <v>0.18099537037037036</v>
      </c>
      <c r="S210" s="6">
        <v>99244</v>
      </c>
      <c r="T210" s="16">
        <v>0.30655092592592592</v>
      </c>
      <c r="U210" s="16">
        <v>0.30670138888888887</v>
      </c>
      <c r="V210" s="6">
        <v>99286</v>
      </c>
      <c r="W210" s="6">
        <v>65</v>
      </c>
      <c r="X210" s="6">
        <v>65</v>
      </c>
      <c r="Y210" s="12">
        <v>0</v>
      </c>
      <c r="Z210" s="12">
        <v>42</v>
      </c>
      <c r="AA210" s="12">
        <v>42</v>
      </c>
      <c r="AB210" s="12">
        <v>0</v>
      </c>
      <c r="AC210" s="12">
        <v>0</v>
      </c>
      <c r="AD210" s="13">
        <v>0</v>
      </c>
      <c r="AE210" s="12">
        <v>0</v>
      </c>
      <c r="AF210" s="14">
        <v>0</v>
      </c>
      <c r="AG210" s="5">
        <v>0</v>
      </c>
      <c r="AH210" s="5">
        <v>0</v>
      </c>
      <c r="AI210" s="5">
        <v>0</v>
      </c>
      <c r="AJ210" s="5">
        <v>1064.52</v>
      </c>
      <c r="AK210" s="5">
        <v>0</v>
      </c>
      <c r="AL210" s="5">
        <v>1064.52</v>
      </c>
      <c r="AM210" s="8"/>
      <c r="AN210" s="8"/>
    </row>
    <row r="211" spans="1:40" ht="16" thickBot="1">
      <c r="A211" s="3">
        <v>210</v>
      </c>
      <c r="B211" s="19">
        <v>45940</v>
      </c>
      <c r="C211" s="5" t="s">
        <v>40</v>
      </c>
      <c r="D211" s="5" t="s">
        <v>41</v>
      </c>
      <c r="E211" s="6" t="s">
        <v>42</v>
      </c>
      <c r="F211" s="7" t="s">
        <v>51</v>
      </c>
      <c r="G211" s="5" t="s">
        <v>44</v>
      </c>
      <c r="H211" s="5" t="s">
        <v>45</v>
      </c>
      <c r="I211" s="5">
        <v>4</v>
      </c>
      <c r="J211" s="5">
        <v>8</v>
      </c>
      <c r="K211" s="5">
        <v>25000</v>
      </c>
      <c r="L211" s="5">
        <v>1000</v>
      </c>
      <c r="M211" s="5">
        <v>55</v>
      </c>
      <c r="N211" s="5">
        <v>31</v>
      </c>
      <c r="O211" s="6" t="s">
        <v>102</v>
      </c>
      <c r="P211" s="8"/>
      <c r="Q211" s="16">
        <v>6.0416666666666667E-2</v>
      </c>
      <c r="R211" s="16">
        <v>0.18893518518518518</v>
      </c>
      <c r="S211" s="6">
        <v>83807</v>
      </c>
      <c r="T211" s="16">
        <v>0.31163194444444448</v>
      </c>
      <c r="U211" s="16">
        <v>0.31187500000000001</v>
      </c>
      <c r="V211" s="6">
        <v>83828</v>
      </c>
      <c r="W211" s="6">
        <v>18</v>
      </c>
      <c r="X211" s="6">
        <v>18</v>
      </c>
      <c r="Y211" s="12">
        <v>0</v>
      </c>
      <c r="Z211" s="12">
        <v>21</v>
      </c>
      <c r="AA211" s="12">
        <v>21</v>
      </c>
      <c r="AB211" s="12">
        <v>0</v>
      </c>
      <c r="AC211" s="12">
        <v>0</v>
      </c>
      <c r="AD211" s="13">
        <v>0</v>
      </c>
      <c r="AE211" s="12">
        <v>0</v>
      </c>
      <c r="AF211" s="14">
        <v>0</v>
      </c>
      <c r="AG211" s="5">
        <v>0</v>
      </c>
      <c r="AH211" s="5">
        <v>0</v>
      </c>
      <c r="AI211" s="5">
        <v>0</v>
      </c>
      <c r="AJ211" s="5">
        <v>806.45</v>
      </c>
      <c r="AK211" s="5">
        <v>0</v>
      </c>
      <c r="AL211" s="5">
        <v>806.45</v>
      </c>
      <c r="AM211" s="8"/>
      <c r="AN211" s="8"/>
    </row>
    <row r="212" spans="1:40" ht="16" thickBot="1">
      <c r="A212" s="3">
        <v>211</v>
      </c>
      <c r="B212" s="19">
        <v>45940</v>
      </c>
      <c r="C212" s="5" t="s">
        <v>40</v>
      </c>
      <c r="D212" s="5" t="s">
        <v>41</v>
      </c>
      <c r="E212" s="6" t="s">
        <v>42</v>
      </c>
      <c r="F212" s="7" t="s">
        <v>145</v>
      </c>
      <c r="G212" s="5" t="s">
        <v>44</v>
      </c>
      <c r="H212" s="5" t="s">
        <v>45</v>
      </c>
      <c r="I212" s="5">
        <v>4</v>
      </c>
      <c r="J212" s="5">
        <v>8</v>
      </c>
      <c r="K212" s="5">
        <v>25000</v>
      </c>
      <c r="L212" s="5">
        <v>1000</v>
      </c>
      <c r="M212" s="5">
        <v>55</v>
      </c>
      <c r="N212" s="5">
        <v>31</v>
      </c>
      <c r="O212" s="6" t="s">
        <v>157</v>
      </c>
      <c r="P212" s="8"/>
      <c r="Q212" s="16">
        <v>4.7916666666666663E-2</v>
      </c>
      <c r="R212" s="16">
        <v>0.18230324074074075</v>
      </c>
      <c r="S212" s="6">
        <v>37500</v>
      </c>
      <c r="T212" s="16">
        <v>0.32914351851851853</v>
      </c>
      <c r="U212" s="16">
        <v>0.32966435185185183</v>
      </c>
      <c r="V212" s="6">
        <v>37533</v>
      </c>
      <c r="W212" s="6">
        <v>53</v>
      </c>
      <c r="X212" s="6">
        <v>53</v>
      </c>
      <c r="Y212" s="12">
        <v>0</v>
      </c>
      <c r="Z212" s="12">
        <v>33</v>
      </c>
      <c r="AA212" s="12">
        <v>33</v>
      </c>
      <c r="AB212" s="12">
        <v>0</v>
      </c>
      <c r="AC212" s="12">
        <v>0</v>
      </c>
      <c r="AD212" s="13">
        <v>0</v>
      </c>
      <c r="AE212" s="12">
        <v>0</v>
      </c>
      <c r="AF212" s="14">
        <v>0</v>
      </c>
      <c r="AG212" s="5">
        <v>0</v>
      </c>
      <c r="AH212" s="5">
        <v>0</v>
      </c>
      <c r="AI212" s="5">
        <v>0</v>
      </c>
      <c r="AJ212" s="5">
        <v>806.45</v>
      </c>
      <c r="AK212" s="5">
        <v>0</v>
      </c>
      <c r="AL212" s="5">
        <v>806.45</v>
      </c>
      <c r="AM212" s="8"/>
      <c r="AN212" s="8"/>
    </row>
    <row r="213" spans="1:40" ht="16" thickBot="1">
      <c r="A213" s="3">
        <v>212</v>
      </c>
      <c r="B213" s="19">
        <v>45940</v>
      </c>
      <c r="C213" s="5" t="s">
        <v>40</v>
      </c>
      <c r="D213" s="5" t="s">
        <v>41</v>
      </c>
      <c r="E213" s="6" t="s">
        <v>42</v>
      </c>
      <c r="F213" s="7" t="s">
        <v>53</v>
      </c>
      <c r="G213" s="5" t="s">
        <v>44</v>
      </c>
      <c r="H213" s="5" t="s">
        <v>45</v>
      </c>
      <c r="I213" s="5">
        <v>4</v>
      </c>
      <c r="J213" s="5">
        <v>8</v>
      </c>
      <c r="K213" s="5">
        <v>25000</v>
      </c>
      <c r="L213" s="5">
        <v>1000</v>
      </c>
      <c r="M213" s="5">
        <v>55</v>
      </c>
      <c r="N213" s="5">
        <v>31</v>
      </c>
      <c r="O213" s="6" t="s">
        <v>81</v>
      </c>
      <c r="P213" s="8"/>
      <c r="Q213" s="16">
        <v>0.12638888888888888</v>
      </c>
      <c r="R213" s="16">
        <v>0.18028935185185183</v>
      </c>
      <c r="S213" s="6">
        <v>11653</v>
      </c>
      <c r="T213" s="16">
        <v>0.40334490740740742</v>
      </c>
      <c r="U213" s="16">
        <v>0.40386574074074072</v>
      </c>
      <c r="V213" s="6">
        <v>11672</v>
      </c>
      <c r="W213" s="6">
        <v>23</v>
      </c>
      <c r="X213" s="6">
        <v>39</v>
      </c>
      <c r="Y213" s="12">
        <v>-16</v>
      </c>
      <c r="Z213" s="12">
        <v>19</v>
      </c>
      <c r="AA213" s="12">
        <v>19</v>
      </c>
      <c r="AB213" s="12">
        <v>0</v>
      </c>
      <c r="AC213" s="12">
        <v>0</v>
      </c>
      <c r="AD213" s="13">
        <v>2</v>
      </c>
      <c r="AE213" s="12">
        <v>300</v>
      </c>
      <c r="AF213" s="14">
        <v>0</v>
      </c>
      <c r="AG213" s="5">
        <v>0</v>
      </c>
      <c r="AH213" s="5">
        <v>0</v>
      </c>
      <c r="AI213" s="5">
        <v>0</v>
      </c>
      <c r="AJ213" s="5">
        <v>1106.45</v>
      </c>
      <c r="AK213" s="5">
        <v>0</v>
      </c>
      <c r="AL213" s="5">
        <v>1106.45</v>
      </c>
      <c r="AM213" s="8"/>
      <c r="AN213" s="8"/>
    </row>
    <row r="214" spans="1:40" ht="16" thickBot="1">
      <c r="A214" s="3">
        <v>213</v>
      </c>
      <c r="B214" s="19">
        <v>45940</v>
      </c>
      <c r="C214" s="5" t="s">
        <v>40</v>
      </c>
      <c r="D214" s="5" t="s">
        <v>41</v>
      </c>
      <c r="E214" s="6" t="s">
        <v>42</v>
      </c>
      <c r="F214" s="7" t="s">
        <v>55</v>
      </c>
      <c r="G214" s="5" t="s">
        <v>44</v>
      </c>
      <c r="H214" s="5" t="s">
        <v>45</v>
      </c>
      <c r="I214" s="5">
        <v>4</v>
      </c>
      <c r="J214" s="5">
        <v>8</v>
      </c>
      <c r="K214" s="5">
        <v>25000</v>
      </c>
      <c r="L214" s="5">
        <v>1000</v>
      </c>
      <c r="M214" s="5">
        <v>55</v>
      </c>
      <c r="N214" s="5">
        <v>31</v>
      </c>
      <c r="O214" s="6" t="s">
        <v>56</v>
      </c>
      <c r="P214" s="8"/>
      <c r="Q214" s="16">
        <v>0.11944444444444445</v>
      </c>
      <c r="R214" s="16">
        <v>0.17849537037037036</v>
      </c>
      <c r="S214" s="6">
        <v>145239</v>
      </c>
      <c r="T214" s="16">
        <v>0.30093750000000002</v>
      </c>
      <c r="U214" s="16">
        <v>0.30113425925925924</v>
      </c>
      <c r="V214" s="6">
        <v>145256</v>
      </c>
      <c r="W214" s="6">
        <v>31</v>
      </c>
      <c r="X214" s="6">
        <v>32</v>
      </c>
      <c r="Y214" s="12">
        <v>-1</v>
      </c>
      <c r="Z214" s="12">
        <v>17</v>
      </c>
      <c r="AA214" s="12">
        <v>17</v>
      </c>
      <c r="AB214" s="12">
        <v>0</v>
      </c>
      <c r="AC214" s="12">
        <v>0</v>
      </c>
      <c r="AD214" s="13">
        <v>0</v>
      </c>
      <c r="AE214" s="12">
        <v>0</v>
      </c>
      <c r="AF214" s="14">
        <v>0</v>
      </c>
      <c r="AG214" s="5">
        <v>0</v>
      </c>
      <c r="AH214" s="5">
        <v>0</v>
      </c>
      <c r="AI214" s="5">
        <v>0</v>
      </c>
      <c r="AJ214" s="5">
        <v>806.45</v>
      </c>
      <c r="AK214" s="5">
        <v>0</v>
      </c>
      <c r="AL214" s="5">
        <v>806.45</v>
      </c>
      <c r="AM214" s="8"/>
      <c r="AN214" s="8"/>
    </row>
    <row r="215" spans="1:40" ht="16" thickBot="1">
      <c r="A215" s="3">
        <v>214</v>
      </c>
      <c r="B215" s="19">
        <v>45940</v>
      </c>
      <c r="C215" s="5" t="s">
        <v>40</v>
      </c>
      <c r="D215" s="5" t="s">
        <v>41</v>
      </c>
      <c r="E215" s="6" t="s">
        <v>42</v>
      </c>
      <c r="F215" s="7" t="s">
        <v>57</v>
      </c>
      <c r="G215" s="5" t="s">
        <v>44</v>
      </c>
      <c r="H215" s="5" t="s">
        <v>45</v>
      </c>
      <c r="I215" s="5">
        <v>4</v>
      </c>
      <c r="J215" s="5">
        <v>8</v>
      </c>
      <c r="K215" s="5">
        <v>25000</v>
      </c>
      <c r="L215" s="5">
        <v>1000</v>
      </c>
      <c r="M215" s="5">
        <v>55</v>
      </c>
      <c r="N215" s="5">
        <v>31</v>
      </c>
      <c r="O215" s="6" t="s">
        <v>58</v>
      </c>
      <c r="P215" s="8"/>
      <c r="Q215" s="16">
        <v>8.4027777777777771E-2</v>
      </c>
      <c r="R215" s="16">
        <v>0.1822337962962963</v>
      </c>
      <c r="S215" s="6">
        <v>142716</v>
      </c>
      <c r="T215" s="16">
        <v>0.37372685185185189</v>
      </c>
      <c r="U215" s="16">
        <v>0.3772685185185185</v>
      </c>
      <c r="V215" s="6">
        <v>142738</v>
      </c>
      <c r="W215" s="6">
        <v>56</v>
      </c>
      <c r="X215" s="6">
        <v>56</v>
      </c>
      <c r="Y215" s="12">
        <v>0</v>
      </c>
      <c r="Z215" s="12">
        <v>22</v>
      </c>
      <c r="AA215" s="12">
        <v>22</v>
      </c>
      <c r="AB215" s="12">
        <v>0</v>
      </c>
      <c r="AC215" s="12">
        <v>0</v>
      </c>
      <c r="AD215" s="13">
        <v>1</v>
      </c>
      <c r="AE215" s="12">
        <v>150</v>
      </c>
      <c r="AF215" s="14">
        <v>0</v>
      </c>
      <c r="AG215" s="5">
        <v>0</v>
      </c>
      <c r="AH215" s="5">
        <v>0</v>
      </c>
      <c r="AI215" s="5">
        <v>0</v>
      </c>
      <c r="AJ215" s="5">
        <v>956.45</v>
      </c>
      <c r="AK215" s="5">
        <v>0</v>
      </c>
      <c r="AL215" s="5">
        <v>956.45</v>
      </c>
      <c r="AM215" s="8"/>
      <c r="AN215" s="8"/>
    </row>
    <row r="216" spans="1:40" ht="16" thickBot="1">
      <c r="A216" s="3">
        <v>215</v>
      </c>
      <c r="B216" s="19">
        <v>45940</v>
      </c>
      <c r="C216" s="5" t="s">
        <v>40</v>
      </c>
      <c r="D216" s="5" t="s">
        <v>41</v>
      </c>
      <c r="E216" s="6" t="s">
        <v>42</v>
      </c>
      <c r="F216" s="7" t="s">
        <v>59</v>
      </c>
      <c r="G216" s="5" t="s">
        <v>44</v>
      </c>
      <c r="H216" s="5" t="s">
        <v>45</v>
      </c>
      <c r="I216" s="5">
        <v>4</v>
      </c>
      <c r="J216" s="5">
        <v>8</v>
      </c>
      <c r="K216" s="5">
        <v>25000</v>
      </c>
      <c r="L216" s="5">
        <v>1000</v>
      </c>
      <c r="M216" s="5">
        <v>55</v>
      </c>
      <c r="N216" s="5">
        <v>31</v>
      </c>
      <c r="O216" s="6" t="s">
        <v>46</v>
      </c>
      <c r="P216" s="8"/>
      <c r="Q216" s="16">
        <v>0.125</v>
      </c>
      <c r="R216" s="16">
        <v>0.28644675925925928</v>
      </c>
      <c r="S216" s="6">
        <v>158729</v>
      </c>
      <c r="T216" s="16">
        <v>0.28665509259259259</v>
      </c>
      <c r="U216" s="16">
        <v>0.28760416666666666</v>
      </c>
      <c r="V216" s="6">
        <v>158729</v>
      </c>
      <c r="W216" s="6">
        <v>0</v>
      </c>
      <c r="X216" s="6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3">
        <v>0</v>
      </c>
      <c r="AE216" s="12">
        <v>0</v>
      </c>
      <c r="AF216" s="14">
        <v>0</v>
      </c>
      <c r="AG216" s="5">
        <v>0</v>
      </c>
      <c r="AH216" s="5">
        <v>0</v>
      </c>
      <c r="AI216" s="5">
        <v>0</v>
      </c>
      <c r="AJ216" s="5">
        <v>806.45</v>
      </c>
      <c r="AK216" s="5">
        <v>0</v>
      </c>
      <c r="AL216" s="5">
        <v>806.45</v>
      </c>
      <c r="AM216" s="8"/>
      <c r="AN216" s="8"/>
    </row>
    <row r="217" spans="1:40" ht="16" thickBot="1">
      <c r="A217" s="3">
        <v>216</v>
      </c>
      <c r="B217" s="19">
        <v>45940</v>
      </c>
      <c r="C217" s="5" t="s">
        <v>40</v>
      </c>
      <c r="D217" s="5" t="s">
        <v>41</v>
      </c>
      <c r="E217" s="6" t="s">
        <v>42</v>
      </c>
      <c r="F217" s="7" t="s">
        <v>97</v>
      </c>
      <c r="G217" s="5" t="s">
        <v>44</v>
      </c>
      <c r="H217" s="5" t="s">
        <v>45</v>
      </c>
      <c r="I217" s="5">
        <v>4</v>
      </c>
      <c r="J217" s="5">
        <v>8</v>
      </c>
      <c r="K217" s="5">
        <v>25000</v>
      </c>
      <c r="L217" s="5">
        <v>1000</v>
      </c>
      <c r="M217" s="5">
        <v>55</v>
      </c>
      <c r="N217" s="5">
        <v>31</v>
      </c>
      <c r="O217" s="6" t="s">
        <v>48</v>
      </c>
      <c r="P217" s="8"/>
      <c r="Q217" s="16">
        <v>0.12569444444444444</v>
      </c>
      <c r="R217" s="16">
        <v>0.18005787037037035</v>
      </c>
      <c r="S217" s="6">
        <v>77701</v>
      </c>
      <c r="T217" s="16">
        <v>0.29708333333333331</v>
      </c>
      <c r="U217" s="16">
        <v>0.29744212962962963</v>
      </c>
      <c r="V217" s="6">
        <v>77710</v>
      </c>
      <c r="W217" s="6">
        <v>39</v>
      </c>
      <c r="X217" s="6">
        <v>39</v>
      </c>
      <c r="Y217" s="12">
        <v>0</v>
      </c>
      <c r="Z217" s="12">
        <v>9</v>
      </c>
      <c r="AA217" s="12">
        <v>9</v>
      </c>
      <c r="AB217" s="12">
        <v>0</v>
      </c>
      <c r="AC217" s="12">
        <v>0</v>
      </c>
      <c r="AD217" s="13">
        <v>0</v>
      </c>
      <c r="AE217" s="12">
        <v>0</v>
      </c>
      <c r="AF217" s="14">
        <v>0</v>
      </c>
      <c r="AG217" s="5">
        <v>0</v>
      </c>
      <c r="AH217" s="5">
        <v>0</v>
      </c>
      <c r="AI217" s="5">
        <v>0</v>
      </c>
      <c r="AJ217" s="5">
        <v>806.45</v>
      </c>
      <c r="AK217" s="5">
        <v>0</v>
      </c>
      <c r="AL217" s="5">
        <v>806.45</v>
      </c>
      <c r="AM217" s="8"/>
      <c r="AN217" s="8"/>
    </row>
    <row r="218" spans="1:40" ht="16" thickBot="1">
      <c r="A218" s="3">
        <v>217</v>
      </c>
      <c r="B218" s="19">
        <v>45940</v>
      </c>
      <c r="C218" s="5" t="s">
        <v>40</v>
      </c>
      <c r="D218" s="5" t="s">
        <v>41</v>
      </c>
      <c r="E218" s="6" t="s">
        <v>42</v>
      </c>
      <c r="F218" s="7" t="s">
        <v>62</v>
      </c>
      <c r="G218" s="10" t="s">
        <v>44</v>
      </c>
      <c r="H218" s="5" t="s">
        <v>45</v>
      </c>
      <c r="I218" s="5">
        <v>6</v>
      </c>
      <c r="J218" s="5">
        <v>8</v>
      </c>
      <c r="K218" s="5">
        <v>33000</v>
      </c>
      <c r="L218" s="5">
        <v>2000</v>
      </c>
      <c r="M218" s="5">
        <v>55</v>
      </c>
      <c r="N218" s="5">
        <v>31</v>
      </c>
      <c r="O218" s="6" t="s">
        <v>63</v>
      </c>
      <c r="P218" s="8"/>
      <c r="Q218" s="16">
        <v>0.1277777777777778</v>
      </c>
      <c r="R218" s="16">
        <v>0.18237268518518521</v>
      </c>
      <c r="S218" s="6">
        <v>47587</v>
      </c>
      <c r="T218" s="16">
        <v>0.4004861111111111</v>
      </c>
      <c r="U218" s="16">
        <v>0.40113425925925927</v>
      </c>
      <c r="V218" s="6">
        <v>47685</v>
      </c>
      <c r="W218" s="6">
        <v>35</v>
      </c>
      <c r="X218" s="6">
        <v>29</v>
      </c>
      <c r="Y218" s="12">
        <v>6</v>
      </c>
      <c r="Z218" s="12">
        <v>98</v>
      </c>
      <c r="AA218" s="12">
        <v>98</v>
      </c>
      <c r="AB218" s="12">
        <v>0</v>
      </c>
      <c r="AC218" s="12">
        <v>0</v>
      </c>
      <c r="AD218" s="13">
        <v>1</v>
      </c>
      <c r="AE218" s="12">
        <v>150</v>
      </c>
      <c r="AF218" s="14">
        <v>1</v>
      </c>
      <c r="AG218" s="5">
        <v>150</v>
      </c>
      <c r="AH218" s="5">
        <v>0</v>
      </c>
      <c r="AI218" s="5">
        <v>0</v>
      </c>
      <c r="AJ218" s="5">
        <v>1214.52</v>
      </c>
      <c r="AK218" s="5">
        <v>150</v>
      </c>
      <c r="AL218" s="5">
        <v>1064.52</v>
      </c>
      <c r="AM218" s="8"/>
      <c r="AN218" s="8"/>
    </row>
    <row r="219" spans="1:40" ht="16" thickBot="1">
      <c r="A219" s="3">
        <v>218</v>
      </c>
      <c r="B219" s="19">
        <v>45940</v>
      </c>
      <c r="C219" s="5" t="s">
        <v>40</v>
      </c>
      <c r="D219" s="5" t="s">
        <v>41</v>
      </c>
      <c r="E219" s="6" t="s">
        <v>42</v>
      </c>
      <c r="F219" s="7" t="s">
        <v>101</v>
      </c>
      <c r="G219" s="5" t="s">
        <v>44</v>
      </c>
      <c r="H219" s="5" t="s">
        <v>45</v>
      </c>
      <c r="I219" s="5">
        <v>4</v>
      </c>
      <c r="J219" s="5">
        <v>8</v>
      </c>
      <c r="K219" s="5">
        <v>25000</v>
      </c>
      <c r="L219" s="5">
        <v>1000</v>
      </c>
      <c r="M219" s="5">
        <v>55</v>
      </c>
      <c r="N219" s="5">
        <v>31</v>
      </c>
      <c r="O219" s="6" t="s">
        <v>100</v>
      </c>
      <c r="P219" s="8"/>
      <c r="Q219" s="16">
        <v>8.8888888888888892E-2</v>
      </c>
      <c r="R219" s="16">
        <v>0.17755787037037038</v>
      </c>
      <c r="S219" s="6">
        <v>117687</v>
      </c>
      <c r="T219" s="16">
        <v>0.45230324074074074</v>
      </c>
      <c r="U219" s="16">
        <v>0.4528240740740741</v>
      </c>
      <c r="V219" s="6">
        <v>117733</v>
      </c>
      <c r="W219" s="6">
        <v>39</v>
      </c>
      <c r="X219" s="6">
        <v>66</v>
      </c>
      <c r="Y219" s="12">
        <v>-27</v>
      </c>
      <c r="Z219" s="12">
        <v>46</v>
      </c>
      <c r="AA219" s="12">
        <v>46</v>
      </c>
      <c r="AB219" s="12">
        <v>0</v>
      </c>
      <c r="AC219" s="12">
        <v>0</v>
      </c>
      <c r="AD219" s="13">
        <v>3</v>
      </c>
      <c r="AE219" s="12">
        <v>450</v>
      </c>
      <c r="AF219" s="14">
        <v>0</v>
      </c>
      <c r="AG219" s="5">
        <v>0</v>
      </c>
      <c r="AH219" s="5">
        <v>0</v>
      </c>
      <c r="AI219" s="5">
        <v>0</v>
      </c>
      <c r="AJ219" s="5">
        <v>1256.45</v>
      </c>
      <c r="AK219" s="5">
        <v>0</v>
      </c>
      <c r="AL219" s="5">
        <v>1256.45</v>
      </c>
      <c r="AM219" s="8"/>
      <c r="AN219" s="8"/>
    </row>
    <row r="220" spans="1:40" ht="16" thickBot="1">
      <c r="A220" s="3">
        <v>219</v>
      </c>
      <c r="B220" s="19">
        <v>45940</v>
      </c>
      <c r="C220" s="5" t="s">
        <v>40</v>
      </c>
      <c r="D220" s="5" t="s">
        <v>41</v>
      </c>
      <c r="E220" s="6" t="s">
        <v>42</v>
      </c>
      <c r="F220" s="7" t="s">
        <v>68</v>
      </c>
      <c r="G220" s="5" t="s">
        <v>44</v>
      </c>
      <c r="H220" s="5" t="s">
        <v>45</v>
      </c>
      <c r="I220" s="5">
        <v>4</v>
      </c>
      <c r="J220" s="5">
        <v>8</v>
      </c>
      <c r="K220" s="5">
        <v>25000</v>
      </c>
      <c r="L220" s="5">
        <v>1000</v>
      </c>
      <c r="M220" s="5">
        <v>55</v>
      </c>
      <c r="N220" s="5">
        <v>31</v>
      </c>
      <c r="O220" s="6" t="s">
        <v>96</v>
      </c>
      <c r="P220" s="8"/>
      <c r="Q220" s="16">
        <v>5.0694444444444452E-2</v>
      </c>
      <c r="R220" s="16">
        <v>0.17784722222222224</v>
      </c>
      <c r="S220" s="6">
        <v>83276</v>
      </c>
      <c r="T220" s="16">
        <v>0.34759259259259262</v>
      </c>
      <c r="U220" s="16">
        <v>0.34935185185185186</v>
      </c>
      <c r="V220" s="6">
        <v>83295</v>
      </c>
      <c r="W220" s="6">
        <v>36</v>
      </c>
      <c r="X220" s="6">
        <v>36</v>
      </c>
      <c r="Y220" s="12">
        <v>0</v>
      </c>
      <c r="Z220" s="12">
        <v>19</v>
      </c>
      <c r="AA220" s="12">
        <v>19</v>
      </c>
      <c r="AB220" s="12">
        <v>0</v>
      </c>
      <c r="AC220" s="12">
        <v>0</v>
      </c>
      <c r="AD220" s="13">
        <v>1</v>
      </c>
      <c r="AE220" s="12">
        <v>150</v>
      </c>
      <c r="AF220" s="14">
        <v>0</v>
      </c>
      <c r="AG220" s="5">
        <v>0</v>
      </c>
      <c r="AH220" s="5">
        <v>0</v>
      </c>
      <c r="AI220" s="5">
        <v>0</v>
      </c>
      <c r="AJ220" s="5">
        <v>956.45</v>
      </c>
      <c r="AK220" s="5">
        <v>0</v>
      </c>
      <c r="AL220" s="5">
        <v>956.45</v>
      </c>
      <c r="AM220" s="8"/>
      <c r="AN220" s="8"/>
    </row>
    <row r="221" spans="1:40" ht="16" thickBot="1">
      <c r="A221" s="3">
        <v>220</v>
      </c>
      <c r="B221" s="19">
        <v>45940</v>
      </c>
      <c r="C221" s="5" t="s">
        <v>40</v>
      </c>
      <c r="D221" s="5" t="s">
        <v>41</v>
      </c>
      <c r="E221" s="6" t="s">
        <v>42</v>
      </c>
      <c r="F221" s="7" t="s">
        <v>70</v>
      </c>
      <c r="G221" s="5" t="s">
        <v>44</v>
      </c>
      <c r="H221" s="5" t="s">
        <v>45</v>
      </c>
      <c r="I221" s="5">
        <v>4</v>
      </c>
      <c r="J221" s="5">
        <v>8</v>
      </c>
      <c r="K221" s="5">
        <v>25000</v>
      </c>
      <c r="L221" s="5">
        <v>1000</v>
      </c>
      <c r="M221" s="5">
        <v>55</v>
      </c>
      <c r="N221" s="5">
        <v>31</v>
      </c>
      <c r="O221" s="6" t="s">
        <v>118</v>
      </c>
      <c r="P221" s="8"/>
      <c r="Q221" s="16">
        <v>9.2361111111111116E-2</v>
      </c>
      <c r="R221" s="16">
        <v>0.18392361111111111</v>
      </c>
      <c r="S221" s="6">
        <v>36489</v>
      </c>
      <c r="T221" s="16">
        <v>0.33174768518518521</v>
      </c>
      <c r="U221" s="16">
        <v>0.33181712962962967</v>
      </c>
      <c r="V221" s="6">
        <v>36522</v>
      </c>
      <c r="W221" s="6">
        <v>44</v>
      </c>
      <c r="X221" s="6">
        <v>44</v>
      </c>
      <c r="Y221" s="12">
        <v>0</v>
      </c>
      <c r="Z221" s="12">
        <v>33</v>
      </c>
      <c r="AA221" s="12">
        <v>33</v>
      </c>
      <c r="AB221" s="12">
        <v>0</v>
      </c>
      <c r="AC221" s="12">
        <v>0</v>
      </c>
      <c r="AD221" s="13">
        <v>0</v>
      </c>
      <c r="AE221" s="12">
        <v>0</v>
      </c>
      <c r="AF221" s="14">
        <v>0</v>
      </c>
      <c r="AG221" s="5">
        <v>0</v>
      </c>
      <c r="AH221" s="5">
        <v>0</v>
      </c>
      <c r="AI221" s="5">
        <v>0</v>
      </c>
      <c r="AJ221" s="5">
        <v>806.45</v>
      </c>
      <c r="AK221" s="5">
        <v>0</v>
      </c>
      <c r="AL221" s="5">
        <v>806.45</v>
      </c>
      <c r="AM221" s="8"/>
      <c r="AN221" s="8"/>
    </row>
    <row r="222" spans="1:40" ht="16" thickBot="1">
      <c r="A222" s="3">
        <v>221</v>
      </c>
      <c r="B222" s="19">
        <v>45940</v>
      </c>
      <c r="C222" s="5" t="s">
        <v>40</v>
      </c>
      <c r="D222" s="5" t="s">
        <v>41</v>
      </c>
      <c r="E222" s="6" t="s">
        <v>42</v>
      </c>
      <c r="F222" s="7" t="s">
        <v>72</v>
      </c>
      <c r="G222" s="10" t="s">
        <v>44</v>
      </c>
      <c r="H222" s="5" t="s">
        <v>45</v>
      </c>
      <c r="I222" s="5">
        <v>6</v>
      </c>
      <c r="J222" s="5">
        <v>8</v>
      </c>
      <c r="K222" s="5">
        <v>33000</v>
      </c>
      <c r="L222" s="5">
        <v>2000</v>
      </c>
      <c r="M222" s="5">
        <v>55</v>
      </c>
      <c r="N222" s="5">
        <v>31</v>
      </c>
      <c r="O222" s="6" t="s">
        <v>73</v>
      </c>
      <c r="P222" s="8"/>
      <c r="Q222" s="16">
        <v>3.4027777777777775E-2</v>
      </c>
      <c r="R222" s="16">
        <v>0.19059027777777779</v>
      </c>
      <c r="S222" s="6">
        <v>32775</v>
      </c>
      <c r="T222" s="16">
        <v>0.33358796296296295</v>
      </c>
      <c r="U222" s="16">
        <v>0.3336574074074074</v>
      </c>
      <c r="V222" s="6">
        <v>32844</v>
      </c>
      <c r="W222" s="6">
        <v>30</v>
      </c>
      <c r="X222" s="6">
        <v>30</v>
      </c>
      <c r="Y222" s="12">
        <v>0</v>
      </c>
      <c r="Z222" s="12">
        <v>69</v>
      </c>
      <c r="AA222" s="12">
        <v>69</v>
      </c>
      <c r="AB222" s="12">
        <v>0</v>
      </c>
      <c r="AC222" s="12">
        <v>0</v>
      </c>
      <c r="AD222" s="13">
        <v>0</v>
      </c>
      <c r="AE222" s="12">
        <v>0</v>
      </c>
      <c r="AF222" s="14">
        <v>0</v>
      </c>
      <c r="AG222" s="5">
        <v>0</v>
      </c>
      <c r="AH222" s="5">
        <v>0</v>
      </c>
      <c r="AI222" s="5">
        <v>0</v>
      </c>
      <c r="AJ222" s="5">
        <v>1064.52</v>
      </c>
      <c r="AK222" s="5">
        <v>0</v>
      </c>
      <c r="AL222" s="5">
        <v>1064.52</v>
      </c>
      <c r="AM222" s="8"/>
      <c r="AN222" s="8"/>
    </row>
    <row r="223" spans="1:40" ht="16" thickBot="1">
      <c r="A223" s="3">
        <v>222</v>
      </c>
      <c r="B223" s="19">
        <v>45940</v>
      </c>
      <c r="C223" s="5" t="s">
        <v>40</v>
      </c>
      <c r="D223" s="5" t="s">
        <v>41</v>
      </c>
      <c r="E223" s="6" t="s">
        <v>42</v>
      </c>
      <c r="F223" s="7" t="s">
        <v>74</v>
      </c>
      <c r="G223" s="5" t="s">
        <v>44</v>
      </c>
      <c r="H223" s="5" t="s">
        <v>45</v>
      </c>
      <c r="I223" s="5">
        <v>4</v>
      </c>
      <c r="J223" s="5">
        <v>8</v>
      </c>
      <c r="K223" s="5">
        <v>25000</v>
      </c>
      <c r="L223" s="5">
        <v>1000</v>
      </c>
      <c r="M223" s="5">
        <v>55</v>
      </c>
      <c r="N223" s="5">
        <v>31</v>
      </c>
      <c r="O223" s="6" t="s">
        <v>104</v>
      </c>
      <c r="P223" s="8"/>
      <c r="Q223" s="16">
        <v>5.1388888888888894E-2</v>
      </c>
      <c r="R223" s="16">
        <v>0.17991898148148147</v>
      </c>
      <c r="S223" s="6">
        <v>38107</v>
      </c>
      <c r="T223" s="16">
        <v>0.3823611111111111</v>
      </c>
      <c r="U223" s="16">
        <v>0.38245370370370368</v>
      </c>
      <c r="V223" s="6">
        <v>38128</v>
      </c>
      <c r="W223" s="6">
        <v>53</v>
      </c>
      <c r="X223" s="6">
        <v>53</v>
      </c>
      <c r="Y223" s="12">
        <v>0</v>
      </c>
      <c r="Z223" s="12">
        <v>21</v>
      </c>
      <c r="AA223" s="12">
        <v>21</v>
      </c>
      <c r="AB223" s="12">
        <v>0</v>
      </c>
      <c r="AC223" s="12">
        <v>0</v>
      </c>
      <c r="AD223" s="13">
        <v>2</v>
      </c>
      <c r="AE223" s="12">
        <v>300</v>
      </c>
      <c r="AF223" s="14">
        <v>0</v>
      </c>
      <c r="AG223" s="5">
        <v>0</v>
      </c>
      <c r="AH223" s="5">
        <v>0</v>
      </c>
      <c r="AI223" s="5">
        <v>0</v>
      </c>
      <c r="AJ223" s="5">
        <v>1106.45</v>
      </c>
      <c r="AK223" s="5">
        <v>0</v>
      </c>
      <c r="AL223" s="5">
        <v>1106.45</v>
      </c>
      <c r="AM223" s="8"/>
      <c r="AN223" s="8"/>
    </row>
    <row r="224" spans="1:40" ht="16" thickBot="1">
      <c r="A224" s="3">
        <v>223</v>
      </c>
      <c r="B224" s="19">
        <v>45940</v>
      </c>
      <c r="C224" s="5" t="s">
        <v>40</v>
      </c>
      <c r="D224" s="5" t="s">
        <v>41</v>
      </c>
      <c r="E224" s="6" t="s">
        <v>42</v>
      </c>
      <c r="F224" s="7" t="s">
        <v>78</v>
      </c>
      <c r="G224" s="5" t="s">
        <v>44</v>
      </c>
      <c r="H224" s="5" t="s">
        <v>45</v>
      </c>
      <c r="I224" s="5">
        <v>4</v>
      </c>
      <c r="J224" s="5">
        <v>8</v>
      </c>
      <c r="K224" s="5">
        <v>25000</v>
      </c>
      <c r="L224" s="5">
        <v>1000</v>
      </c>
      <c r="M224" s="5">
        <v>55</v>
      </c>
      <c r="N224" s="5">
        <v>31</v>
      </c>
      <c r="O224" s="6" t="s">
        <v>79</v>
      </c>
      <c r="P224" s="8"/>
      <c r="Q224" s="16">
        <v>4.9305555555555554E-2</v>
      </c>
      <c r="R224" s="16">
        <v>0.1774189814814815</v>
      </c>
      <c r="S224" s="6">
        <v>6939</v>
      </c>
      <c r="T224" s="16">
        <v>0.48833333333333334</v>
      </c>
      <c r="U224" s="16">
        <v>0.48861111111111111</v>
      </c>
      <c r="V224" s="6">
        <v>6980</v>
      </c>
      <c r="W224" s="6">
        <v>20</v>
      </c>
      <c r="X224" s="6">
        <v>42</v>
      </c>
      <c r="Y224" s="12">
        <v>-22</v>
      </c>
      <c r="Z224" s="12">
        <v>41</v>
      </c>
      <c r="AA224" s="12">
        <v>41</v>
      </c>
      <c r="AB224" s="12">
        <v>0</v>
      </c>
      <c r="AC224" s="12">
        <v>0</v>
      </c>
      <c r="AD224" s="13">
        <v>4</v>
      </c>
      <c r="AE224" s="12">
        <v>600</v>
      </c>
      <c r="AF224" s="14">
        <v>0</v>
      </c>
      <c r="AG224" s="5">
        <v>0</v>
      </c>
      <c r="AH224" s="5">
        <v>0</v>
      </c>
      <c r="AI224" s="5">
        <v>0</v>
      </c>
      <c r="AJ224" s="5">
        <v>1406.45</v>
      </c>
      <c r="AK224" s="5">
        <v>0</v>
      </c>
      <c r="AL224" s="5">
        <v>1406.45</v>
      </c>
      <c r="AM224" s="8"/>
      <c r="AN224" s="8"/>
    </row>
    <row r="225" spans="1:40" ht="16" thickBot="1">
      <c r="A225" s="3">
        <v>224</v>
      </c>
      <c r="B225" s="19">
        <v>45940</v>
      </c>
      <c r="C225" s="5" t="s">
        <v>40</v>
      </c>
      <c r="D225" s="5" t="s">
        <v>41</v>
      </c>
      <c r="E225" s="6" t="s">
        <v>42</v>
      </c>
      <c r="F225" s="7" t="s">
        <v>80</v>
      </c>
      <c r="G225" s="5" t="s">
        <v>44</v>
      </c>
      <c r="H225" s="5" t="s">
        <v>45</v>
      </c>
      <c r="I225" s="5">
        <v>4</v>
      </c>
      <c r="J225" s="5">
        <v>8</v>
      </c>
      <c r="K225" s="5">
        <v>25000</v>
      </c>
      <c r="L225" s="5">
        <v>1000</v>
      </c>
      <c r="M225" s="5">
        <v>55</v>
      </c>
      <c r="N225" s="5">
        <v>31</v>
      </c>
      <c r="O225" s="6" t="s">
        <v>75</v>
      </c>
      <c r="P225" s="8"/>
      <c r="Q225" s="16">
        <v>4.9999999999999996E-2</v>
      </c>
      <c r="R225" s="16">
        <v>0.1801736111111111</v>
      </c>
      <c r="S225" s="6">
        <v>4244</v>
      </c>
      <c r="T225" s="16">
        <v>0.35525462962962967</v>
      </c>
      <c r="U225" s="16">
        <v>0.37896990740740738</v>
      </c>
      <c r="V225" s="6">
        <v>4263</v>
      </c>
      <c r="W225" s="6">
        <v>16</v>
      </c>
      <c r="X225" s="6">
        <v>40</v>
      </c>
      <c r="Y225" s="12">
        <v>-24</v>
      </c>
      <c r="Z225" s="12">
        <v>19</v>
      </c>
      <c r="AA225" s="12">
        <v>19</v>
      </c>
      <c r="AB225" s="12">
        <v>0</v>
      </c>
      <c r="AC225" s="12">
        <v>0</v>
      </c>
      <c r="AD225" s="13">
        <v>1</v>
      </c>
      <c r="AE225" s="12">
        <v>150</v>
      </c>
      <c r="AF225" s="14">
        <v>0</v>
      </c>
      <c r="AG225" s="5">
        <v>0</v>
      </c>
      <c r="AH225" s="5">
        <v>0</v>
      </c>
      <c r="AI225" s="5">
        <v>0</v>
      </c>
      <c r="AJ225" s="5">
        <v>956.45</v>
      </c>
      <c r="AK225" s="5">
        <v>0</v>
      </c>
      <c r="AL225" s="5">
        <v>956.45</v>
      </c>
      <c r="AM225" s="8"/>
      <c r="AN225" s="8"/>
    </row>
    <row r="226" spans="1:40" ht="16" thickBot="1">
      <c r="A226" s="3">
        <v>225</v>
      </c>
      <c r="B226" s="19">
        <v>45940</v>
      </c>
      <c r="C226" s="5" t="s">
        <v>40</v>
      </c>
      <c r="D226" s="5" t="s">
        <v>41</v>
      </c>
      <c r="E226" s="6" t="s">
        <v>42</v>
      </c>
      <c r="F226" s="7" t="s">
        <v>105</v>
      </c>
      <c r="G226" s="5" t="s">
        <v>44</v>
      </c>
      <c r="H226" s="5" t="s">
        <v>45</v>
      </c>
      <c r="I226" s="5">
        <v>4</v>
      </c>
      <c r="J226" s="5">
        <v>8</v>
      </c>
      <c r="K226" s="5">
        <v>25000</v>
      </c>
      <c r="L226" s="5">
        <v>1000</v>
      </c>
      <c r="M226" s="5">
        <v>55</v>
      </c>
      <c r="N226" s="5">
        <v>31</v>
      </c>
      <c r="O226" s="6" t="s">
        <v>86</v>
      </c>
      <c r="P226" s="8"/>
      <c r="Q226" s="16">
        <v>0.14027777777777778</v>
      </c>
      <c r="R226" s="16">
        <v>0.18689814814814817</v>
      </c>
      <c r="S226" s="6">
        <v>41192</v>
      </c>
      <c r="T226" s="16">
        <v>0.29996527777777776</v>
      </c>
      <c r="U226" s="16">
        <v>0.30052083333333335</v>
      </c>
      <c r="V226" s="6">
        <v>41217</v>
      </c>
      <c r="W226" s="6">
        <v>27</v>
      </c>
      <c r="X226" s="6">
        <v>27</v>
      </c>
      <c r="Y226" s="12">
        <v>0</v>
      </c>
      <c r="Z226" s="12">
        <v>25</v>
      </c>
      <c r="AA226" s="12">
        <v>25</v>
      </c>
      <c r="AB226" s="12">
        <v>0</v>
      </c>
      <c r="AC226" s="12">
        <v>0</v>
      </c>
      <c r="AD226" s="13">
        <v>0</v>
      </c>
      <c r="AE226" s="12">
        <v>0</v>
      </c>
      <c r="AF226" s="14">
        <v>0</v>
      </c>
      <c r="AG226" s="5">
        <v>0</v>
      </c>
      <c r="AH226" s="5">
        <v>0</v>
      </c>
      <c r="AI226" s="5">
        <v>0</v>
      </c>
      <c r="AJ226" s="5">
        <v>806.45</v>
      </c>
      <c r="AK226" s="5">
        <v>0</v>
      </c>
      <c r="AL226" s="5">
        <v>806.45</v>
      </c>
      <c r="AM226" s="8"/>
      <c r="AN226" s="8"/>
    </row>
    <row r="227" spans="1:40" ht="16" thickBot="1">
      <c r="A227" s="3">
        <v>226</v>
      </c>
      <c r="B227" s="19">
        <v>45940</v>
      </c>
      <c r="C227" s="5" t="s">
        <v>40</v>
      </c>
      <c r="D227" s="5" t="s">
        <v>41</v>
      </c>
      <c r="E227" s="6" t="s">
        <v>42</v>
      </c>
      <c r="F227" s="7" t="s">
        <v>82</v>
      </c>
      <c r="G227" s="10" t="s">
        <v>83</v>
      </c>
      <c r="H227" s="5" t="s">
        <v>84</v>
      </c>
      <c r="I227" s="5">
        <v>4</v>
      </c>
      <c r="J227" s="5">
        <v>10</v>
      </c>
      <c r="K227" s="6">
        <v>29000</v>
      </c>
      <c r="L227" s="5">
        <v>1000</v>
      </c>
      <c r="M227" s="5">
        <v>55</v>
      </c>
      <c r="N227" s="5">
        <v>31</v>
      </c>
      <c r="O227" s="6" t="s">
        <v>158</v>
      </c>
      <c r="P227" s="8"/>
      <c r="Q227" s="16">
        <v>0.11597222222222221</v>
      </c>
      <c r="R227" s="16">
        <v>0.1794212962962963</v>
      </c>
      <c r="S227" s="6">
        <v>32359</v>
      </c>
      <c r="T227" s="16">
        <v>0.38219907407407411</v>
      </c>
      <c r="U227" s="16">
        <v>0.38265046296296296</v>
      </c>
      <c r="V227" s="6">
        <v>32380</v>
      </c>
      <c r="W227" s="6">
        <v>68</v>
      </c>
      <c r="X227" s="6">
        <v>68</v>
      </c>
      <c r="Y227" s="12">
        <v>0</v>
      </c>
      <c r="Z227" s="12">
        <v>21</v>
      </c>
      <c r="AA227" s="12">
        <v>21</v>
      </c>
      <c r="AB227" s="12">
        <v>0</v>
      </c>
      <c r="AC227" s="12">
        <v>0</v>
      </c>
      <c r="AD227" s="13">
        <v>2</v>
      </c>
      <c r="AE227" s="12">
        <v>300</v>
      </c>
      <c r="AF227" s="14">
        <v>0</v>
      </c>
      <c r="AG227" s="5">
        <v>0</v>
      </c>
      <c r="AH227" s="5">
        <v>0</v>
      </c>
      <c r="AI227" s="5">
        <v>0</v>
      </c>
      <c r="AJ227" s="5">
        <v>1235.48</v>
      </c>
      <c r="AK227" s="5">
        <v>0</v>
      </c>
      <c r="AL227" s="5">
        <v>1235.48</v>
      </c>
      <c r="AM227" s="8"/>
      <c r="AN227" s="8"/>
    </row>
    <row r="228" spans="1:40" ht="16" thickBot="1">
      <c r="A228" s="3">
        <v>227</v>
      </c>
      <c r="B228" s="19">
        <v>45940</v>
      </c>
      <c r="C228" s="5" t="s">
        <v>40</v>
      </c>
      <c r="D228" s="5" t="s">
        <v>41</v>
      </c>
      <c r="E228" s="6" t="s">
        <v>42</v>
      </c>
      <c r="F228" s="7" t="s">
        <v>85</v>
      </c>
      <c r="G228" s="10" t="s">
        <v>83</v>
      </c>
      <c r="H228" s="5" t="s">
        <v>84</v>
      </c>
      <c r="I228" s="5">
        <v>4</v>
      </c>
      <c r="J228" s="5">
        <v>10</v>
      </c>
      <c r="K228" s="6">
        <v>29000</v>
      </c>
      <c r="L228" s="5">
        <v>1000</v>
      </c>
      <c r="M228" s="5">
        <v>55</v>
      </c>
      <c r="N228" s="5">
        <v>31</v>
      </c>
      <c r="O228" s="6" t="s">
        <v>159</v>
      </c>
      <c r="P228" s="8"/>
      <c r="Q228" s="16">
        <v>6.1805555555555558E-2</v>
      </c>
      <c r="R228" s="16">
        <v>0.17758101851851851</v>
      </c>
      <c r="S228" s="6">
        <v>38383</v>
      </c>
      <c r="T228" s="16">
        <v>0.43740740740740741</v>
      </c>
      <c r="U228" s="16">
        <v>0.43959490740740742</v>
      </c>
      <c r="V228" s="6">
        <v>38418</v>
      </c>
      <c r="W228" s="6">
        <v>34</v>
      </c>
      <c r="X228" s="6">
        <v>55</v>
      </c>
      <c r="Y228" s="12">
        <v>-21</v>
      </c>
      <c r="Z228" s="12">
        <v>35</v>
      </c>
      <c r="AA228" s="12">
        <v>35</v>
      </c>
      <c r="AB228" s="12">
        <v>0</v>
      </c>
      <c r="AC228" s="12">
        <v>0</v>
      </c>
      <c r="AD228" s="13">
        <v>3</v>
      </c>
      <c r="AE228" s="12">
        <v>450</v>
      </c>
      <c r="AF228" s="14">
        <v>0</v>
      </c>
      <c r="AG228" s="5">
        <v>0</v>
      </c>
      <c r="AH228" s="5">
        <v>0</v>
      </c>
      <c r="AI228" s="5">
        <v>0</v>
      </c>
      <c r="AJ228" s="5">
        <v>1385.48</v>
      </c>
      <c r="AK228" s="5">
        <v>0</v>
      </c>
      <c r="AL228" s="5">
        <v>1385.48</v>
      </c>
      <c r="AM228" s="8"/>
      <c r="AN228" s="8"/>
    </row>
    <row r="229" spans="1:40" ht="16" thickBot="1">
      <c r="A229" s="3">
        <v>228</v>
      </c>
      <c r="B229" s="19">
        <v>45940</v>
      </c>
      <c r="C229" s="5" t="s">
        <v>40</v>
      </c>
      <c r="D229" s="5" t="s">
        <v>41</v>
      </c>
      <c r="E229" s="6" t="s">
        <v>42</v>
      </c>
      <c r="F229" s="7" t="s">
        <v>117</v>
      </c>
      <c r="G229" s="10" t="s">
        <v>83</v>
      </c>
      <c r="H229" s="5" t="s">
        <v>84</v>
      </c>
      <c r="I229" s="5">
        <v>4</v>
      </c>
      <c r="J229" s="5">
        <v>10</v>
      </c>
      <c r="K229" s="6">
        <v>29000</v>
      </c>
      <c r="L229" s="5">
        <v>1000</v>
      </c>
      <c r="M229" s="5">
        <v>55</v>
      </c>
      <c r="N229" s="5">
        <v>31</v>
      </c>
      <c r="O229" s="6" t="s">
        <v>61</v>
      </c>
      <c r="P229" s="8"/>
      <c r="Q229" s="16">
        <v>4.9305555555555554E-2</v>
      </c>
      <c r="R229" s="16">
        <v>0.17914351851851851</v>
      </c>
      <c r="S229" s="6">
        <v>19052</v>
      </c>
      <c r="T229" s="16">
        <v>0.36325231481481479</v>
      </c>
      <c r="U229" s="16">
        <v>0.36425925925925928</v>
      </c>
      <c r="V229" s="6">
        <v>19074</v>
      </c>
      <c r="W229" s="6">
        <v>80</v>
      </c>
      <c r="X229" s="6">
        <v>80</v>
      </c>
      <c r="Y229" s="12">
        <v>0</v>
      </c>
      <c r="Z229" s="12">
        <v>22</v>
      </c>
      <c r="AA229" s="12">
        <v>22</v>
      </c>
      <c r="AB229" s="12">
        <v>0</v>
      </c>
      <c r="AC229" s="12">
        <v>0</v>
      </c>
      <c r="AD229" s="13">
        <v>1</v>
      </c>
      <c r="AE229" s="12">
        <v>150</v>
      </c>
      <c r="AF229" s="14">
        <v>0</v>
      </c>
      <c r="AG229" s="5">
        <v>0</v>
      </c>
      <c r="AH229" s="5">
        <v>0</v>
      </c>
      <c r="AI229" s="5">
        <v>0</v>
      </c>
      <c r="AJ229" s="5">
        <v>1085.48</v>
      </c>
      <c r="AK229" s="5">
        <v>0</v>
      </c>
      <c r="AL229" s="5">
        <v>1085.48</v>
      </c>
      <c r="AM229" s="8"/>
      <c r="AN229" s="8"/>
    </row>
    <row r="230" spans="1:40" ht="16" thickBot="1">
      <c r="A230" s="3">
        <v>229</v>
      </c>
      <c r="B230" s="19">
        <v>45940</v>
      </c>
      <c r="C230" s="5" t="s">
        <v>40</v>
      </c>
      <c r="D230" s="5" t="s">
        <v>41</v>
      </c>
      <c r="E230" s="6" t="s">
        <v>42</v>
      </c>
      <c r="F230" s="7" t="s">
        <v>87</v>
      </c>
      <c r="G230" s="10" t="s">
        <v>83</v>
      </c>
      <c r="H230" s="5" t="s">
        <v>84</v>
      </c>
      <c r="I230" s="5">
        <v>4</v>
      </c>
      <c r="J230" s="5">
        <v>10</v>
      </c>
      <c r="K230" s="6">
        <v>29000</v>
      </c>
      <c r="L230" s="5">
        <v>1000</v>
      </c>
      <c r="M230" s="5">
        <v>55</v>
      </c>
      <c r="N230" s="5">
        <v>31</v>
      </c>
      <c r="O230" s="6" t="s">
        <v>131</v>
      </c>
      <c r="P230" s="8"/>
      <c r="Q230" s="16">
        <v>0.11597222222222221</v>
      </c>
      <c r="R230" s="16">
        <v>0.18126157407407406</v>
      </c>
      <c r="S230" s="6">
        <v>2934</v>
      </c>
      <c r="T230" s="16">
        <v>0.30859953703703702</v>
      </c>
      <c r="U230" s="16">
        <v>0.3087037037037037</v>
      </c>
      <c r="V230" s="6">
        <v>2952</v>
      </c>
      <c r="W230" s="6">
        <v>68</v>
      </c>
      <c r="X230" s="6">
        <v>68</v>
      </c>
      <c r="Y230" s="12">
        <v>0</v>
      </c>
      <c r="Z230" s="12">
        <v>18</v>
      </c>
      <c r="AA230" s="12">
        <v>18</v>
      </c>
      <c r="AB230" s="12">
        <v>0</v>
      </c>
      <c r="AC230" s="12">
        <v>0</v>
      </c>
      <c r="AD230" s="13">
        <v>0</v>
      </c>
      <c r="AE230" s="12">
        <v>0</v>
      </c>
      <c r="AF230" s="14">
        <v>0</v>
      </c>
      <c r="AG230" s="5">
        <v>0</v>
      </c>
      <c r="AH230" s="5">
        <v>0</v>
      </c>
      <c r="AI230" s="5">
        <v>0</v>
      </c>
      <c r="AJ230" s="5">
        <v>935.48</v>
      </c>
      <c r="AK230" s="5">
        <v>0</v>
      </c>
      <c r="AL230" s="5">
        <v>935.48</v>
      </c>
      <c r="AM230" s="8"/>
      <c r="AN230" s="8"/>
    </row>
    <row r="231" spans="1:40" ht="16" thickBot="1">
      <c r="A231" s="3">
        <v>230</v>
      </c>
      <c r="B231" s="19">
        <v>45940</v>
      </c>
      <c r="C231" s="5" t="s">
        <v>40</v>
      </c>
      <c r="D231" s="5" t="s">
        <v>41</v>
      </c>
      <c r="E231" s="6" t="s">
        <v>42</v>
      </c>
      <c r="F231" s="7" t="s">
        <v>89</v>
      </c>
      <c r="G231" s="10" t="s">
        <v>83</v>
      </c>
      <c r="H231" s="5" t="s">
        <v>84</v>
      </c>
      <c r="I231" s="5">
        <v>4</v>
      </c>
      <c r="J231" s="5">
        <v>10</v>
      </c>
      <c r="K231" s="6">
        <v>29000</v>
      </c>
      <c r="L231" s="5">
        <v>1000</v>
      </c>
      <c r="M231" s="5">
        <v>55</v>
      </c>
      <c r="N231" s="5">
        <v>31</v>
      </c>
      <c r="O231" s="6" t="s">
        <v>160</v>
      </c>
      <c r="P231" s="8"/>
      <c r="Q231" s="16">
        <v>9.0972222222222218E-2</v>
      </c>
      <c r="R231" s="16">
        <v>0.18828703703703706</v>
      </c>
      <c r="S231" s="6">
        <v>138957</v>
      </c>
      <c r="T231" s="16">
        <v>0.32935185185185184</v>
      </c>
      <c r="U231" s="16">
        <v>0.32954861111111111</v>
      </c>
      <c r="V231" s="6">
        <v>138998</v>
      </c>
      <c r="W231" s="6">
        <v>72</v>
      </c>
      <c r="X231" s="6">
        <v>72</v>
      </c>
      <c r="Y231" s="12">
        <v>0</v>
      </c>
      <c r="Z231" s="12">
        <v>41</v>
      </c>
      <c r="AA231" s="12">
        <v>41</v>
      </c>
      <c r="AB231" s="12">
        <v>0</v>
      </c>
      <c r="AC231" s="12">
        <v>0</v>
      </c>
      <c r="AD231" s="13">
        <v>0</v>
      </c>
      <c r="AE231" s="12">
        <v>0</v>
      </c>
      <c r="AF231" s="14">
        <v>0</v>
      </c>
      <c r="AG231" s="5">
        <v>0</v>
      </c>
      <c r="AH231" s="5">
        <v>0</v>
      </c>
      <c r="AI231" s="5">
        <v>0</v>
      </c>
      <c r="AJ231" s="5">
        <v>935.48</v>
      </c>
      <c r="AK231" s="5">
        <v>0</v>
      </c>
      <c r="AL231" s="5">
        <v>935.48</v>
      </c>
      <c r="AM231" s="8"/>
      <c r="AN231" s="8"/>
    </row>
    <row r="232" spans="1:40" ht="16" thickBot="1">
      <c r="A232" s="3">
        <v>231</v>
      </c>
      <c r="B232" s="19">
        <v>45941</v>
      </c>
      <c r="C232" s="5" t="s">
        <v>40</v>
      </c>
      <c r="D232" s="5" t="s">
        <v>41</v>
      </c>
      <c r="E232" s="6" t="s">
        <v>42</v>
      </c>
      <c r="F232" s="7" t="s">
        <v>43</v>
      </c>
      <c r="G232" s="5" t="s">
        <v>44</v>
      </c>
      <c r="H232" s="5" t="s">
        <v>45</v>
      </c>
      <c r="I232" s="5">
        <v>4</v>
      </c>
      <c r="J232" s="5">
        <v>8</v>
      </c>
      <c r="K232" s="5">
        <v>25000</v>
      </c>
      <c r="L232" s="5">
        <v>1000</v>
      </c>
      <c r="M232" s="5">
        <v>55</v>
      </c>
      <c r="N232" s="5">
        <v>31</v>
      </c>
      <c r="O232" s="6" t="s">
        <v>46</v>
      </c>
      <c r="P232" s="8"/>
      <c r="Q232" s="16">
        <v>4.7222222222222221E-2</v>
      </c>
      <c r="R232" s="16">
        <v>0.19281249999999997</v>
      </c>
      <c r="S232" s="6">
        <v>56672</v>
      </c>
      <c r="T232" s="16">
        <v>0.32214120370370369</v>
      </c>
      <c r="U232" s="16">
        <v>0.32225694444444447</v>
      </c>
      <c r="V232" s="6">
        <v>56679</v>
      </c>
      <c r="W232" s="6">
        <v>40</v>
      </c>
      <c r="X232" s="6">
        <v>40</v>
      </c>
      <c r="Y232" s="12">
        <v>0</v>
      </c>
      <c r="Z232" s="12">
        <v>7</v>
      </c>
      <c r="AA232" s="12">
        <v>7</v>
      </c>
      <c r="AB232" s="12">
        <v>0</v>
      </c>
      <c r="AC232" s="12">
        <v>0</v>
      </c>
      <c r="AD232" s="13">
        <v>0</v>
      </c>
      <c r="AE232" s="12">
        <v>0</v>
      </c>
      <c r="AF232" s="14">
        <v>0</v>
      </c>
      <c r="AG232" s="5">
        <v>0</v>
      </c>
      <c r="AH232" s="5">
        <v>0</v>
      </c>
      <c r="AI232" s="5">
        <v>0</v>
      </c>
      <c r="AJ232" s="5">
        <v>806.45</v>
      </c>
      <c r="AK232" s="5">
        <v>0</v>
      </c>
      <c r="AL232" s="5">
        <v>806.45</v>
      </c>
      <c r="AM232" s="8"/>
      <c r="AN232" s="8"/>
    </row>
    <row r="233" spans="1:40" ht="16" thickBot="1">
      <c r="A233" s="3">
        <v>232</v>
      </c>
      <c r="B233" s="19">
        <v>45941</v>
      </c>
      <c r="C233" s="5" t="s">
        <v>40</v>
      </c>
      <c r="D233" s="5" t="s">
        <v>41</v>
      </c>
      <c r="E233" s="6" t="s">
        <v>42</v>
      </c>
      <c r="F233" s="7" t="s">
        <v>132</v>
      </c>
      <c r="G233" s="5" t="s">
        <v>44</v>
      </c>
      <c r="H233" s="5" t="s">
        <v>45</v>
      </c>
      <c r="I233" s="5">
        <v>4</v>
      </c>
      <c r="J233" s="5">
        <v>8</v>
      </c>
      <c r="K233" s="5">
        <v>25000</v>
      </c>
      <c r="L233" s="5">
        <v>1000</v>
      </c>
      <c r="M233" s="5">
        <v>55</v>
      </c>
      <c r="N233" s="5">
        <v>31</v>
      </c>
      <c r="O233" s="6" t="s">
        <v>127</v>
      </c>
      <c r="P233" s="8"/>
      <c r="Q233" s="16">
        <v>5.0694444444444452E-2</v>
      </c>
      <c r="R233" s="16">
        <v>0.18402777777777779</v>
      </c>
      <c r="S233" s="6">
        <v>110145</v>
      </c>
      <c r="T233" s="16">
        <v>0.32292824074074072</v>
      </c>
      <c r="U233" s="16">
        <v>0.32306712962962963</v>
      </c>
      <c r="V233" s="6">
        <v>110155</v>
      </c>
      <c r="W233" s="6">
        <v>42</v>
      </c>
      <c r="X233" s="6">
        <v>42</v>
      </c>
      <c r="Y233" s="12">
        <v>0</v>
      </c>
      <c r="Z233" s="12">
        <v>10</v>
      </c>
      <c r="AA233" s="12">
        <v>10</v>
      </c>
      <c r="AB233" s="12">
        <v>0</v>
      </c>
      <c r="AC233" s="12">
        <v>0</v>
      </c>
      <c r="AD233" s="13">
        <v>0</v>
      </c>
      <c r="AE233" s="12">
        <v>0</v>
      </c>
      <c r="AF233" s="14">
        <v>0</v>
      </c>
      <c r="AG233" s="5">
        <v>0</v>
      </c>
      <c r="AH233" s="5">
        <v>0</v>
      </c>
      <c r="AI233" s="5">
        <v>0</v>
      </c>
      <c r="AJ233" s="5">
        <v>806.45</v>
      </c>
      <c r="AK233" s="5">
        <v>0</v>
      </c>
      <c r="AL233" s="5">
        <v>806.45</v>
      </c>
      <c r="AM233" s="8"/>
      <c r="AN233" s="8"/>
    </row>
    <row r="234" spans="1:40" ht="16" thickBot="1">
      <c r="A234" s="3">
        <v>233</v>
      </c>
      <c r="B234" s="19">
        <v>45941</v>
      </c>
      <c r="C234" s="5" t="s">
        <v>40</v>
      </c>
      <c r="D234" s="5" t="s">
        <v>41</v>
      </c>
      <c r="E234" s="6" t="s">
        <v>42</v>
      </c>
      <c r="F234" s="7" t="s">
        <v>49</v>
      </c>
      <c r="G234" s="5" t="s">
        <v>44</v>
      </c>
      <c r="H234" s="5" t="s">
        <v>45</v>
      </c>
      <c r="I234" s="5">
        <v>6</v>
      </c>
      <c r="J234" s="5">
        <v>8</v>
      </c>
      <c r="K234" s="5">
        <v>33000</v>
      </c>
      <c r="L234" s="5">
        <v>2000</v>
      </c>
      <c r="M234" s="5">
        <v>55</v>
      </c>
      <c r="N234" s="5">
        <v>31</v>
      </c>
      <c r="O234" s="6" t="s">
        <v>161</v>
      </c>
      <c r="P234" s="8"/>
      <c r="Q234" s="16">
        <v>4.4444444444444446E-2</v>
      </c>
      <c r="R234" s="16">
        <v>0.19525462962962961</v>
      </c>
      <c r="S234" s="6">
        <v>99382</v>
      </c>
      <c r="T234" s="16">
        <v>0.46211805555555557</v>
      </c>
      <c r="U234" s="16">
        <v>0.46225694444444443</v>
      </c>
      <c r="V234" s="6">
        <v>99446</v>
      </c>
      <c r="W234" s="6">
        <v>0</v>
      </c>
      <c r="X234" s="6">
        <v>50</v>
      </c>
      <c r="Y234" s="12">
        <v>-50</v>
      </c>
      <c r="Z234" s="12">
        <v>64</v>
      </c>
      <c r="AA234" s="12">
        <v>64</v>
      </c>
      <c r="AB234" s="12">
        <v>0</v>
      </c>
      <c r="AC234" s="12">
        <v>0</v>
      </c>
      <c r="AD234" s="13">
        <v>3</v>
      </c>
      <c r="AE234" s="12">
        <v>450</v>
      </c>
      <c r="AF234" s="14">
        <v>0</v>
      </c>
      <c r="AG234" s="5">
        <v>0</v>
      </c>
      <c r="AH234" s="5">
        <v>0</v>
      </c>
      <c r="AI234" s="5">
        <v>0</v>
      </c>
      <c r="AJ234" s="5">
        <v>1514.52</v>
      </c>
      <c r="AK234" s="5">
        <v>0</v>
      </c>
      <c r="AL234" s="5">
        <v>1514.52</v>
      </c>
      <c r="AM234" s="8"/>
      <c r="AN234" s="8"/>
    </row>
    <row r="235" spans="1:40" ht="16" thickBot="1">
      <c r="A235" s="3">
        <v>234</v>
      </c>
      <c r="B235" s="19">
        <v>45941</v>
      </c>
      <c r="C235" s="5" t="s">
        <v>40</v>
      </c>
      <c r="D235" s="5" t="s">
        <v>41</v>
      </c>
      <c r="E235" s="6" t="s">
        <v>42</v>
      </c>
      <c r="F235" s="7" t="s">
        <v>51</v>
      </c>
      <c r="G235" s="5" t="s">
        <v>44</v>
      </c>
      <c r="H235" s="5" t="s">
        <v>45</v>
      </c>
      <c r="I235" s="5">
        <v>4</v>
      </c>
      <c r="J235" s="5">
        <v>8</v>
      </c>
      <c r="K235" s="5">
        <v>25000</v>
      </c>
      <c r="L235" s="5">
        <v>1000</v>
      </c>
      <c r="M235" s="5">
        <v>55</v>
      </c>
      <c r="N235" s="5">
        <v>31</v>
      </c>
      <c r="O235" s="6" t="s">
        <v>108</v>
      </c>
      <c r="P235" s="8"/>
      <c r="Q235" s="16">
        <v>0.13125000000000001</v>
      </c>
      <c r="R235" s="16">
        <v>0.19225694444444444</v>
      </c>
      <c r="S235" s="6">
        <v>83837</v>
      </c>
      <c r="T235" s="16">
        <v>0.32918981481481485</v>
      </c>
      <c r="U235" s="16">
        <v>0.32927083333333335</v>
      </c>
      <c r="V235" s="6">
        <v>83859</v>
      </c>
      <c r="W235" s="6">
        <v>22</v>
      </c>
      <c r="X235" s="6">
        <v>22</v>
      </c>
      <c r="Y235" s="12">
        <v>0</v>
      </c>
      <c r="Z235" s="12">
        <v>22</v>
      </c>
      <c r="AA235" s="12">
        <v>22</v>
      </c>
      <c r="AB235" s="12">
        <v>0</v>
      </c>
      <c r="AC235" s="12">
        <v>0</v>
      </c>
      <c r="AD235" s="13">
        <v>0</v>
      </c>
      <c r="AE235" s="12">
        <v>0</v>
      </c>
      <c r="AF235" s="14">
        <v>0</v>
      </c>
      <c r="AG235" s="5">
        <v>0</v>
      </c>
      <c r="AH235" s="5">
        <v>0</v>
      </c>
      <c r="AI235" s="5">
        <v>0</v>
      </c>
      <c r="AJ235" s="5">
        <v>806.45</v>
      </c>
      <c r="AK235" s="5">
        <v>0</v>
      </c>
      <c r="AL235" s="5">
        <v>806.45</v>
      </c>
      <c r="AM235" s="8"/>
      <c r="AN235" s="8"/>
    </row>
    <row r="236" spans="1:40" ht="16" thickBot="1">
      <c r="A236" s="3">
        <v>235</v>
      </c>
      <c r="B236" s="19">
        <v>45941</v>
      </c>
      <c r="C236" s="5" t="s">
        <v>40</v>
      </c>
      <c r="D236" s="5" t="s">
        <v>41</v>
      </c>
      <c r="E236" s="6" t="s">
        <v>42</v>
      </c>
      <c r="F236" s="7" t="s">
        <v>145</v>
      </c>
      <c r="G236" s="5" t="s">
        <v>44</v>
      </c>
      <c r="H236" s="5" t="s">
        <v>45</v>
      </c>
      <c r="I236" s="5">
        <v>4</v>
      </c>
      <c r="J236" s="5">
        <v>8</v>
      </c>
      <c r="K236" s="5">
        <v>25000</v>
      </c>
      <c r="L236" s="5">
        <v>1000</v>
      </c>
      <c r="M236" s="5">
        <v>55</v>
      </c>
      <c r="N236" s="5">
        <v>31</v>
      </c>
      <c r="O236" s="6" t="s">
        <v>123</v>
      </c>
      <c r="P236" s="8"/>
      <c r="Q236" s="16">
        <v>0.10208333333333335</v>
      </c>
      <c r="R236" s="16">
        <v>0.18820601851851851</v>
      </c>
      <c r="S236" s="6">
        <v>37640</v>
      </c>
      <c r="T236" s="16">
        <v>0.42341435185185183</v>
      </c>
      <c r="U236" s="16">
        <v>0.42356481481481478</v>
      </c>
      <c r="V236" s="6">
        <v>37678</v>
      </c>
      <c r="W236" s="6">
        <v>38</v>
      </c>
      <c r="X236" s="6">
        <v>38</v>
      </c>
      <c r="Y236" s="12">
        <v>0</v>
      </c>
      <c r="Z236" s="12">
        <v>38</v>
      </c>
      <c r="AA236" s="12">
        <v>38</v>
      </c>
      <c r="AB236" s="12">
        <v>0</v>
      </c>
      <c r="AC236" s="12">
        <v>0</v>
      </c>
      <c r="AD236" s="13">
        <v>3</v>
      </c>
      <c r="AE236" s="12">
        <v>450</v>
      </c>
      <c r="AF236" s="14">
        <v>0</v>
      </c>
      <c r="AG236" s="5">
        <v>0</v>
      </c>
      <c r="AH236" s="5">
        <v>0</v>
      </c>
      <c r="AI236" s="5">
        <v>0</v>
      </c>
      <c r="AJ236" s="5">
        <v>1256.45</v>
      </c>
      <c r="AK236" s="5">
        <v>0</v>
      </c>
      <c r="AL236" s="5">
        <v>1256.45</v>
      </c>
      <c r="AM236" s="8"/>
      <c r="AN236" s="8"/>
    </row>
    <row r="237" spans="1:40" ht="16" thickBot="1">
      <c r="A237" s="3">
        <v>236</v>
      </c>
      <c r="B237" s="19">
        <v>45941</v>
      </c>
      <c r="C237" s="5" t="s">
        <v>40</v>
      </c>
      <c r="D237" s="5" t="s">
        <v>41</v>
      </c>
      <c r="E237" s="6" t="s">
        <v>42</v>
      </c>
      <c r="F237" s="7" t="s">
        <v>53</v>
      </c>
      <c r="G237" s="5" t="s">
        <v>44</v>
      </c>
      <c r="H237" s="5" t="s">
        <v>45</v>
      </c>
      <c r="I237" s="5">
        <v>4</v>
      </c>
      <c r="J237" s="5">
        <v>8</v>
      </c>
      <c r="K237" s="5">
        <v>25000</v>
      </c>
      <c r="L237" s="5">
        <v>1000</v>
      </c>
      <c r="M237" s="5">
        <v>55</v>
      </c>
      <c r="N237" s="5">
        <v>31</v>
      </c>
      <c r="O237" s="6" t="s">
        <v>138</v>
      </c>
      <c r="P237" s="8"/>
      <c r="Q237" s="16">
        <v>0.12361111111111112</v>
      </c>
      <c r="R237" s="16">
        <v>0.19608796296296296</v>
      </c>
      <c r="S237" s="6">
        <v>11750</v>
      </c>
      <c r="T237" s="16">
        <v>0.44306712962962963</v>
      </c>
      <c r="U237" s="16">
        <v>0.44329861111111107</v>
      </c>
      <c r="V237" s="6">
        <v>11788</v>
      </c>
      <c r="W237" s="6">
        <v>60</v>
      </c>
      <c r="X237" s="6">
        <v>38</v>
      </c>
      <c r="Y237" s="12">
        <v>22</v>
      </c>
      <c r="Z237" s="12">
        <v>38</v>
      </c>
      <c r="AA237" s="12">
        <v>38</v>
      </c>
      <c r="AB237" s="12">
        <v>0</v>
      </c>
      <c r="AC237" s="12">
        <v>0</v>
      </c>
      <c r="AD237" s="13">
        <v>3</v>
      </c>
      <c r="AE237" s="12">
        <v>450</v>
      </c>
      <c r="AF237" s="14">
        <v>0</v>
      </c>
      <c r="AG237" s="5">
        <v>0</v>
      </c>
      <c r="AH237" s="5">
        <v>0</v>
      </c>
      <c r="AI237" s="5">
        <v>0</v>
      </c>
      <c r="AJ237" s="5">
        <v>1256.45</v>
      </c>
      <c r="AK237" s="5">
        <v>0</v>
      </c>
      <c r="AL237" s="5">
        <v>1256.45</v>
      </c>
      <c r="AM237" s="8"/>
      <c r="AN237" s="8"/>
    </row>
    <row r="238" spans="1:40" ht="16" thickBot="1">
      <c r="A238" s="3">
        <v>237</v>
      </c>
      <c r="B238" s="19">
        <v>45941</v>
      </c>
      <c r="C238" s="5" t="s">
        <v>40</v>
      </c>
      <c r="D238" s="5" t="s">
        <v>41</v>
      </c>
      <c r="E238" s="6" t="s">
        <v>42</v>
      </c>
      <c r="F238" s="7" t="s">
        <v>55</v>
      </c>
      <c r="G238" s="5" t="s">
        <v>44</v>
      </c>
      <c r="H238" s="5" t="s">
        <v>45</v>
      </c>
      <c r="I238" s="5">
        <v>4</v>
      </c>
      <c r="J238" s="5">
        <v>8</v>
      </c>
      <c r="K238" s="5">
        <v>25000</v>
      </c>
      <c r="L238" s="5">
        <v>1000</v>
      </c>
      <c r="M238" s="5">
        <v>55</v>
      </c>
      <c r="N238" s="5">
        <v>31</v>
      </c>
      <c r="O238" s="6" t="s">
        <v>56</v>
      </c>
      <c r="P238" s="8"/>
      <c r="Q238" s="16">
        <v>0.11458333333333333</v>
      </c>
      <c r="R238" s="16">
        <v>0.19341435185185185</v>
      </c>
      <c r="S238" s="6">
        <v>145260</v>
      </c>
      <c r="T238" s="16">
        <v>0.32898148148148149</v>
      </c>
      <c r="U238" s="16">
        <v>0.32905092592592594</v>
      </c>
      <c r="V238" s="6">
        <v>145277</v>
      </c>
      <c r="W238" s="6">
        <v>29</v>
      </c>
      <c r="X238" s="6">
        <v>29</v>
      </c>
      <c r="Y238" s="12">
        <v>0</v>
      </c>
      <c r="Z238" s="12">
        <v>17</v>
      </c>
      <c r="AA238" s="12">
        <v>17</v>
      </c>
      <c r="AB238" s="12">
        <v>0</v>
      </c>
      <c r="AC238" s="12">
        <v>0</v>
      </c>
      <c r="AD238" s="13">
        <v>0</v>
      </c>
      <c r="AE238" s="12">
        <v>0</v>
      </c>
      <c r="AF238" s="14">
        <v>0</v>
      </c>
      <c r="AG238" s="5">
        <v>0</v>
      </c>
      <c r="AH238" s="5">
        <v>0</v>
      </c>
      <c r="AI238" s="5">
        <v>0</v>
      </c>
      <c r="AJ238" s="5">
        <v>806.45</v>
      </c>
      <c r="AK238" s="5">
        <v>0</v>
      </c>
      <c r="AL238" s="5">
        <v>806.45</v>
      </c>
      <c r="AM238" s="8"/>
      <c r="AN238" s="8"/>
    </row>
    <row r="239" spans="1:40" ht="16" thickBot="1">
      <c r="A239" s="3">
        <v>238</v>
      </c>
      <c r="B239" s="19">
        <v>45941</v>
      </c>
      <c r="C239" s="5" t="s">
        <v>40</v>
      </c>
      <c r="D239" s="5" t="s">
        <v>41</v>
      </c>
      <c r="E239" s="6" t="s">
        <v>42</v>
      </c>
      <c r="F239" s="7" t="s">
        <v>59</v>
      </c>
      <c r="G239" s="5" t="s">
        <v>44</v>
      </c>
      <c r="H239" s="5" t="s">
        <v>45</v>
      </c>
      <c r="I239" s="5">
        <v>4</v>
      </c>
      <c r="J239" s="5">
        <v>8</v>
      </c>
      <c r="K239" s="5">
        <v>25000</v>
      </c>
      <c r="L239" s="5">
        <v>1000</v>
      </c>
      <c r="M239" s="5">
        <v>55</v>
      </c>
      <c r="N239" s="5">
        <v>31</v>
      </c>
      <c r="O239" s="6" t="s">
        <v>54</v>
      </c>
      <c r="P239" s="8"/>
      <c r="Q239" s="16">
        <v>0.13263888888888889</v>
      </c>
      <c r="R239" s="16">
        <v>0.19239583333333332</v>
      </c>
      <c r="S239" s="6">
        <v>158922</v>
      </c>
      <c r="T239" s="16">
        <v>0.3865277777777778</v>
      </c>
      <c r="U239" s="16">
        <v>0.38670138888888889</v>
      </c>
      <c r="V239" s="6">
        <v>158932</v>
      </c>
      <c r="W239" s="6">
        <v>30</v>
      </c>
      <c r="X239" s="6">
        <v>26</v>
      </c>
      <c r="Y239" s="12">
        <v>4</v>
      </c>
      <c r="Z239" s="12">
        <v>10</v>
      </c>
      <c r="AA239" s="12">
        <v>10</v>
      </c>
      <c r="AB239" s="12">
        <v>0</v>
      </c>
      <c r="AC239" s="12">
        <v>0</v>
      </c>
      <c r="AD239" s="13">
        <v>2</v>
      </c>
      <c r="AE239" s="12">
        <v>300</v>
      </c>
      <c r="AF239" s="14">
        <v>0</v>
      </c>
      <c r="AG239" s="5">
        <v>0</v>
      </c>
      <c r="AH239" s="5">
        <v>0</v>
      </c>
      <c r="AI239" s="5">
        <v>0</v>
      </c>
      <c r="AJ239" s="5">
        <v>1106.45</v>
      </c>
      <c r="AK239" s="5">
        <v>0</v>
      </c>
      <c r="AL239" s="5">
        <v>1106.45</v>
      </c>
      <c r="AM239" s="8"/>
      <c r="AN239" s="8"/>
    </row>
    <row r="240" spans="1:40" ht="16" thickBot="1">
      <c r="A240" s="3">
        <v>239</v>
      </c>
      <c r="B240" s="19">
        <v>45941</v>
      </c>
      <c r="C240" s="5" t="s">
        <v>40</v>
      </c>
      <c r="D240" s="5" t="s">
        <v>41</v>
      </c>
      <c r="E240" s="6" t="s">
        <v>42</v>
      </c>
      <c r="F240" s="7" t="s">
        <v>60</v>
      </c>
      <c r="G240" s="5" t="s">
        <v>44</v>
      </c>
      <c r="H240" s="5" t="s">
        <v>45</v>
      </c>
      <c r="I240" s="5">
        <v>4</v>
      </c>
      <c r="J240" s="5">
        <v>8</v>
      </c>
      <c r="K240" s="5">
        <v>25000</v>
      </c>
      <c r="L240" s="5">
        <v>1000</v>
      </c>
      <c r="M240" s="5">
        <v>55</v>
      </c>
      <c r="N240" s="5">
        <v>31</v>
      </c>
      <c r="O240" s="6" t="s">
        <v>104</v>
      </c>
      <c r="P240" s="8"/>
      <c r="Q240" s="16">
        <v>4.7916666666666663E-2</v>
      </c>
      <c r="R240" s="16">
        <v>0.19496527777777781</v>
      </c>
      <c r="S240" s="6">
        <v>112952</v>
      </c>
      <c r="T240" s="16">
        <v>0.43333333333333335</v>
      </c>
      <c r="U240" s="16">
        <v>0.43344907407407413</v>
      </c>
      <c r="V240" s="6">
        <v>112984</v>
      </c>
      <c r="W240" s="6">
        <v>36</v>
      </c>
      <c r="X240" s="6">
        <v>29</v>
      </c>
      <c r="Y240" s="12">
        <v>7</v>
      </c>
      <c r="Z240" s="12">
        <v>32</v>
      </c>
      <c r="AA240" s="12">
        <v>32</v>
      </c>
      <c r="AB240" s="12">
        <v>0</v>
      </c>
      <c r="AC240" s="12">
        <v>0</v>
      </c>
      <c r="AD240" s="13">
        <v>3</v>
      </c>
      <c r="AE240" s="12">
        <v>450</v>
      </c>
      <c r="AF240" s="14">
        <v>0</v>
      </c>
      <c r="AG240" s="5">
        <v>0</v>
      </c>
      <c r="AH240" s="5">
        <v>0</v>
      </c>
      <c r="AI240" s="5">
        <v>0</v>
      </c>
      <c r="AJ240" s="5">
        <v>1256.45</v>
      </c>
      <c r="AK240" s="5">
        <v>0</v>
      </c>
      <c r="AL240" s="5">
        <v>1256.45</v>
      </c>
      <c r="AM240" s="8"/>
      <c r="AN240" s="8"/>
    </row>
    <row r="241" spans="1:40" ht="16" thickBot="1">
      <c r="A241" s="3">
        <v>240</v>
      </c>
      <c r="B241" s="19">
        <v>45941</v>
      </c>
      <c r="C241" s="5" t="s">
        <v>40</v>
      </c>
      <c r="D241" s="5" t="s">
        <v>41</v>
      </c>
      <c r="E241" s="6" t="s">
        <v>42</v>
      </c>
      <c r="F241" s="7" t="s">
        <v>99</v>
      </c>
      <c r="G241" s="5" t="s">
        <v>44</v>
      </c>
      <c r="H241" s="5" t="s">
        <v>45</v>
      </c>
      <c r="I241" s="5">
        <v>4</v>
      </c>
      <c r="J241" s="5">
        <v>8</v>
      </c>
      <c r="K241" s="5">
        <v>25000</v>
      </c>
      <c r="L241" s="5">
        <v>1000</v>
      </c>
      <c r="M241" s="5">
        <v>55</v>
      </c>
      <c r="N241" s="5">
        <v>31</v>
      </c>
      <c r="O241" s="6" t="s">
        <v>71</v>
      </c>
      <c r="P241" s="8"/>
      <c r="Q241" s="16">
        <v>6.25E-2</v>
      </c>
      <c r="R241" s="16">
        <v>0.33504629629629629</v>
      </c>
      <c r="S241" s="6">
        <v>87055</v>
      </c>
      <c r="T241" s="16">
        <v>0.37223379629629627</v>
      </c>
      <c r="U241" s="16">
        <v>0.37247685185185181</v>
      </c>
      <c r="V241" s="6">
        <v>87055</v>
      </c>
      <c r="W241" s="6">
        <v>0</v>
      </c>
      <c r="X241" s="6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3">
        <v>1</v>
      </c>
      <c r="AE241" s="12">
        <v>150</v>
      </c>
      <c r="AF241" s="14">
        <v>0</v>
      </c>
      <c r="AG241" s="5">
        <v>0</v>
      </c>
      <c r="AH241" s="5">
        <v>0</v>
      </c>
      <c r="AI241" s="5">
        <v>0</v>
      </c>
      <c r="AJ241" s="5">
        <v>956.45</v>
      </c>
      <c r="AK241" s="5">
        <v>0</v>
      </c>
      <c r="AL241" s="5">
        <v>956.45</v>
      </c>
      <c r="AM241" s="8"/>
      <c r="AN241" s="8"/>
    </row>
    <row r="242" spans="1:40" ht="16" thickBot="1">
      <c r="A242" s="3">
        <v>241</v>
      </c>
      <c r="B242" s="19">
        <v>45941</v>
      </c>
      <c r="C242" s="5" t="s">
        <v>40</v>
      </c>
      <c r="D242" s="5" t="s">
        <v>41</v>
      </c>
      <c r="E242" s="6" t="s">
        <v>42</v>
      </c>
      <c r="F242" s="7" t="s">
        <v>68</v>
      </c>
      <c r="G242" s="5" t="s">
        <v>44</v>
      </c>
      <c r="H242" s="5" t="s">
        <v>45</v>
      </c>
      <c r="I242" s="5">
        <v>4</v>
      </c>
      <c r="J242" s="5">
        <v>8</v>
      </c>
      <c r="K242" s="5">
        <v>25000</v>
      </c>
      <c r="L242" s="5">
        <v>1000</v>
      </c>
      <c r="M242" s="5">
        <v>55</v>
      </c>
      <c r="N242" s="5">
        <v>31</v>
      </c>
      <c r="O242" s="6" t="s">
        <v>96</v>
      </c>
      <c r="P242" s="8"/>
      <c r="Q242" s="16">
        <v>4.7916666666666663E-2</v>
      </c>
      <c r="R242" s="16">
        <v>0.19456018518518517</v>
      </c>
      <c r="S242" s="6">
        <v>83385</v>
      </c>
      <c r="T242" s="16">
        <v>0.3352430555555555</v>
      </c>
      <c r="U242" s="16">
        <v>0.33532407407407411</v>
      </c>
      <c r="V242" s="6">
        <v>83405</v>
      </c>
      <c r="W242" s="6">
        <v>35</v>
      </c>
      <c r="X242" s="6">
        <v>35</v>
      </c>
      <c r="Y242" s="12">
        <v>0</v>
      </c>
      <c r="Z242" s="12">
        <v>20</v>
      </c>
      <c r="AA242" s="12">
        <v>20</v>
      </c>
      <c r="AB242" s="12">
        <v>0</v>
      </c>
      <c r="AC242" s="12">
        <v>0</v>
      </c>
      <c r="AD242" s="13">
        <v>1</v>
      </c>
      <c r="AE242" s="12">
        <v>150</v>
      </c>
      <c r="AF242" s="14">
        <v>0</v>
      </c>
      <c r="AG242" s="5">
        <v>0</v>
      </c>
      <c r="AH242" s="5">
        <v>0</v>
      </c>
      <c r="AI242" s="5">
        <v>0</v>
      </c>
      <c r="AJ242" s="5">
        <v>956.45</v>
      </c>
      <c r="AK242" s="5">
        <v>0</v>
      </c>
      <c r="AL242" s="5">
        <v>956.45</v>
      </c>
      <c r="AM242" s="8"/>
      <c r="AN242" s="8"/>
    </row>
    <row r="243" spans="1:40" ht="16" thickBot="1">
      <c r="A243" s="3">
        <v>242</v>
      </c>
      <c r="B243" s="19">
        <v>45941</v>
      </c>
      <c r="C243" s="5" t="s">
        <v>40</v>
      </c>
      <c r="D243" s="5" t="s">
        <v>41</v>
      </c>
      <c r="E243" s="6" t="s">
        <v>42</v>
      </c>
      <c r="F243" s="7" t="s">
        <v>70</v>
      </c>
      <c r="G243" s="5" t="s">
        <v>44</v>
      </c>
      <c r="H243" s="5" t="s">
        <v>45</v>
      </c>
      <c r="I243" s="5">
        <v>4</v>
      </c>
      <c r="J243" s="5">
        <v>8</v>
      </c>
      <c r="K243" s="5">
        <v>25000</v>
      </c>
      <c r="L243" s="5">
        <v>1000</v>
      </c>
      <c r="M243" s="5">
        <v>55</v>
      </c>
      <c r="N243" s="5">
        <v>31</v>
      </c>
      <c r="O243" s="6" t="s">
        <v>65</v>
      </c>
      <c r="P243" s="8"/>
      <c r="Q243" s="16">
        <v>9.1666666666666674E-2</v>
      </c>
      <c r="R243" s="16">
        <v>0.18482638888888889</v>
      </c>
      <c r="S243" s="6">
        <v>36587</v>
      </c>
      <c r="T243" s="16">
        <v>0.32855324074074072</v>
      </c>
      <c r="U243" s="16">
        <v>0.3286574074074074</v>
      </c>
      <c r="V243" s="6">
        <v>36617</v>
      </c>
      <c r="W243" s="6">
        <v>33</v>
      </c>
      <c r="X243" s="6">
        <v>33</v>
      </c>
      <c r="Y243" s="12">
        <v>0</v>
      </c>
      <c r="Z243" s="12">
        <v>30</v>
      </c>
      <c r="AA243" s="12">
        <v>30</v>
      </c>
      <c r="AB243" s="12">
        <v>0</v>
      </c>
      <c r="AC243" s="12">
        <v>0</v>
      </c>
      <c r="AD243" s="13">
        <v>0</v>
      </c>
      <c r="AE243" s="12">
        <v>0</v>
      </c>
      <c r="AF243" s="14">
        <v>0</v>
      </c>
      <c r="AG243" s="5">
        <v>0</v>
      </c>
      <c r="AH243" s="5">
        <v>0</v>
      </c>
      <c r="AI243" s="5">
        <v>0</v>
      </c>
      <c r="AJ243" s="5">
        <v>806.45</v>
      </c>
      <c r="AK243" s="5">
        <v>0</v>
      </c>
      <c r="AL243" s="5">
        <v>806.45</v>
      </c>
      <c r="AM243" s="8"/>
      <c r="AN243" s="8"/>
    </row>
    <row r="244" spans="1:40" ht="16" thickBot="1">
      <c r="A244" s="3">
        <v>243</v>
      </c>
      <c r="B244" s="19">
        <v>45941</v>
      </c>
      <c r="C244" s="5" t="s">
        <v>40</v>
      </c>
      <c r="D244" s="5" t="s">
        <v>41</v>
      </c>
      <c r="E244" s="6" t="s">
        <v>42</v>
      </c>
      <c r="F244" s="7" t="s">
        <v>72</v>
      </c>
      <c r="G244" s="5" t="s">
        <v>44</v>
      </c>
      <c r="H244" s="5" t="s">
        <v>45</v>
      </c>
      <c r="I244" s="5">
        <v>6</v>
      </c>
      <c r="J244" s="5">
        <v>8</v>
      </c>
      <c r="K244" s="5">
        <v>33000</v>
      </c>
      <c r="L244" s="5">
        <v>2000</v>
      </c>
      <c r="M244" s="5">
        <v>55</v>
      </c>
      <c r="N244" s="5">
        <v>31</v>
      </c>
      <c r="O244" s="6" t="s">
        <v>73</v>
      </c>
      <c r="P244" s="8"/>
      <c r="Q244" s="16">
        <v>0.10555555555555556</v>
      </c>
      <c r="R244" s="16">
        <v>0.19290509259259259</v>
      </c>
      <c r="S244" s="6">
        <v>32915</v>
      </c>
      <c r="T244" s="16">
        <v>0.3240972222222222</v>
      </c>
      <c r="U244" s="16">
        <v>0.32422453703703707</v>
      </c>
      <c r="V244" s="6">
        <v>32986</v>
      </c>
      <c r="W244" s="6">
        <v>43</v>
      </c>
      <c r="X244" s="6">
        <v>43</v>
      </c>
      <c r="Y244" s="12">
        <v>0</v>
      </c>
      <c r="Z244" s="12">
        <v>71</v>
      </c>
      <c r="AA244" s="12">
        <v>71</v>
      </c>
      <c r="AB244" s="12">
        <v>0</v>
      </c>
      <c r="AC244" s="12">
        <v>0</v>
      </c>
      <c r="AD244" s="13">
        <v>0</v>
      </c>
      <c r="AE244" s="12">
        <v>0</v>
      </c>
      <c r="AF244" s="14">
        <v>0</v>
      </c>
      <c r="AG244" s="5">
        <v>0</v>
      </c>
      <c r="AH244" s="5">
        <v>0</v>
      </c>
      <c r="AI244" s="5">
        <v>0</v>
      </c>
      <c r="AJ244" s="5">
        <v>1064.52</v>
      </c>
      <c r="AK244" s="5">
        <v>0</v>
      </c>
      <c r="AL244" s="5">
        <v>1064.52</v>
      </c>
      <c r="AM244" s="8"/>
      <c r="AN244" s="8"/>
    </row>
    <row r="245" spans="1:40" ht="16" thickBot="1">
      <c r="A245" s="3">
        <v>244</v>
      </c>
      <c r="B245" s="19">
        <v>45941</v>
      </c>
      <c r="C245" s="5" t="s">
        <v>40</v>
      </c>
      <c r="D245" s="5" t="s">
        <v>41</v>
      </c>
      <c r="E245" s="6" t="s">
        <v>42</v>
      </c>
      <c r="F245" s="7" t="s">
        <v>74</v>
      </c>
      <c r="G245" s="5" t="s">
        <v>44</v>
      </c>
      <c r="H245" s="5" t="s">
        <v>45</v>
      </c>
      <c r="I245" s="5">
        <v>4</v>
      </c>
      <c r="J245" s="5">
        <v>8</v>
      </c>
      <c r="K245" s="5">
        <v>25000</v>
      </c>
      <c r="L245" s="5">
        <v>1000</v>
      </c>
      <c r="M245" s="5">
        <v>55</v>
      </c>
      <c r="N245" s="5">
        <v>31</v>
      </c>
      <c r="O245" s="6" t="s">
        <v>69</v>
      </c>
      <c r="P245" s="8"/>
      <c r="Q245" s="16">
        <v>9.2361111111111116E-2</v>
      </c>
      <c r="R245" s="16">
        <v>0.19442129629629631</v>
      </c>
      <c r="S245" s="6">
        <v>38199</v>
      </c>
      <c r="T245" s="16">
        <v>0.42144675925925923</v>
      </c>
      <c r="U245" s="16">
        <v>0.42160879629629627</v>
      </c>
      <c r="V245" s="6">
        <v>38235</v>
      </c>
      <c r="W245" s="6">
        <v>10</v>
      </c>
      <c r="X245" s="6">
        <v>58</v>
      </c>
      <c r="Y245" s="12">
        <v>-48</v>
      </c>
      <c r="Z245" s="12">
        <v>36</v>
      </c>
      <c r="AA245" s="12">
        <v>36</v>
      </c>
      <c r="AB245" s="12">
        <v>0</v>
      </c>
      <c r="AC245" s="12">
        <v>0</v>
      </c>
      <c r="AD245" s="13">
        <v>3</v>
      </c>
      <c r="AE245" s="12">
        <v>450</v>
      </c>
      <c r="AF245" s="14">
        <v>0</v>
      </c>
      <c r="AG245" s="5">
        <v>0</v>
      </c>
      <c r="AH245" s="5">
        <v>0</v>
      </c>
      <c r="AI245" s="5">
        <v>0</v>
      </c>
      <c r="AJ245" s="5">
        <v>1256.45</v>
      </c>
      <c r="AK245" s="5">
        <v>0</v>
      </c>
      <c r="AL245" s="5">
        <v>1256.45</v>
      </c>
      <c r="AM245" s="8"/>
      <c r="AN245" s="8"/>
    </row>
    <row r="246" spans="1:40" ht="16" thickBot="1">
      <c r="A246" s="3">
        <v>245</v>
      </c>
      <c r="B246" s="19">
        <v>45941</v>
      </c>
      <c r="C246" s="5" t="s">
        <v>40</v>
      </c>
      <c r="D246" s="5" t="s">
        <v>41</v>
      </c>
      <c r="E246" s="6" t="s">
        <v>42</v>
      </c>
      <c r="F246" s="7" t="s">
        <v>78</v>
      </c>
      <c r="G246" s="5" t="s">
        <v>44</v>
      </c>
      <c r="H246" s="5" t="s">
        <v>45</v>
      </c>
      <c r="I246" s="5">
        <v>4</v>
      </c>
      <c r="J246" s="5">
        <v>8</v>
      </c>
      <c r="K246" s="5">
        <v>25000</v>
      </c>
      <c r="L246" s="5">
        <v>1000</v>
      </c>
      <c r="M246" s="5">
        <v>55</v>
      </c>
      <c r="N246" s="5">
        <v>31</v>
      </c>
      <c r="O246" s="6" t="s">
        <v>100</v>
      </c>
      <c r="P246" s="8"/>
      <c r="Q246" s="16">
        <v>4.8611111111111112E-2</v>
      </c>
      <c r="R246" s="16">
        <v>0.18731481481481482</v>
      </c>
      <c r="S246" s="6">
        <v>7013</v>
      </c>
      <c r="T246" s="16">
        <v>0.33991898148148153</v>
      </c>
      <c r="U246" s="16">
        <v>0.34001157407407406</v>
      </c>
      <c r="V246" s="6">
        <v>7040</v>
      </c>
      <c r="W246" s="6">
        <v>55</v>
      </c>
      <c r="X246" s="6">
        <v>55</v>
      </c>
      <c r="Y246" s="12">
        <v>0</v>
      </c>
      <c r="Z246" s="12">
        <v>27</v>
      </c>
      <c r="AA246" s="12">
        <v>27</v>
      </c>
      <c r="AB246" s="12">
        <v>0</v>
      </c>
      <c r="AC246" s="12">
        <v>0</v>
      </c>
      <c r="AD246" s="13">
        <v>1</v>
      </c>
      <c r="AE246" s="12">
        <v>150</v>
      </c>
      <c r="AF246" s="14">
        <v>0</v>
      </c>
      <c r="AG246" s="5">
        <v>0</v>
      </c>
      <c r="AH246" s="5">
        <v>0</v>
      </c>
      <c r="AI246" s="5">
        <v>0</v>
      </c>
      <c r="AJ246" s="5">
        <v>956.45</v>
      </c>
      <c r="AK246" s="5">
        <v>0</v>
      </c>
      <c r="AL246" s="5">
        <v>956.45</v>
      </c>
      <c r="AM246" s="8"/>
      <c r="AN246" s="8"/>
    </row>
    <row r="247" spans="1:40" ht="16" thickBot="1">
      <c r="A247" s="3">
        <v>246</v>
      </c>
      <c r="B247" s="19">
        <v>45941</v>
      </c>
      <c r="C247" s="5" t="s">
        <v>40</v>
      </c>
      <c r="D247" s="5" t="s">
        <v>41</v>
      </c>
      <c r="E247" s="6" t="s">
        <v>42</v>
      </c>
      <c r="F247" s="7" t="s">
        <v>80</v>
      </c>
      <c r="G247" s="5" t="s">
        <v>44</v>
      </c>
      <c r="H247" s="5" t="s">
        <v>45</v>
      </c>
      <c r="I247" s="5">
        <v>4</v>
      </c>
      <c r="J247" s="5">
        <v>8</v>
      </c>
      <c r="K247" s="5">
        <v>25000</v>
      </c>
      <c r="L247" s="5">
        <v>1000</v>
      </c>
      <c r="M247" s="5">
        <v>55</v>
      </c>
      <c r="N247" s="5">
        <v>31</v>
      </c>
      <c r="O247" s="6" t="s">
        <v>81</v>
      </c>
      <c r="P247" s="8"/>
      <c r="Q247" s="16">
        <v>9.3055555555555558E-2</v>
      </c>
      <c r="R247" s="16">
        <v>0.19590277777777776</v>
      </c>
      <c r="S247" s="6">
        <v>4423</v>
      </c>
      <c r="T247" s="16">
        <v>0.36590277777777774</v>
      </c>
      <c r="U247" s="16">
        <v>0.36601851851851852</v>
      </c>
      <c r="V247" s="6">
        <v>4485</v>
      </c>
      <c r="W247" s="6">
        <v>41</v>
      </c>
      <c r="X247" s="6">
        <v>41</v>
      </c>
      <c r="Y247" s="12">
        <v>0</v>
      </c>
      <c r="Z247" s="12">
        <v>62</v>
      </c>
      <c r="AA247" s="12">
        <v>62</v>
      </c>
      <c r="AB247" s="12">
        <v>0</v>
      </c>
      <c r="AC247" s="12">
        <v>0</v>
      </c>
      <c r="AD247" s="13">
        <v>1</v>
      </c>
      <c r="AE247" s="12">
        <v>150</v>
      </c>
      <c r="AF247" s="14">
        <v>0</v>
      </c>
      <c r="AG247" s="5">
        <v>0</v>
      </c>
      <c r="AH247" s="5">
        <v>0</v>
      </c>
      <c r="AI247" s="5">
        <v>0</v>
      </c>
      <c r="AJ247" s="5">
        <v>956.45</v>
      </c>
      <c r="AK247" s="5">
        <v>0</v>
      </c>
      <c r="AL247" s="5">
        <v>956.45</v>
      </c>
      <c r="AM247" s="8"/>
      <c r="AN247" s="8"/>
    </row>
    <row r="248" spans="1:40" ht="16" thickBot="1">
      <c r="A248" s="3">
        <v>247</v>
      </c>
      <c r="B248" s="19">
        <v>45941</v>
      </c>
      <c r="C248" s="5" t="s">
        <v>40</v>
      </c>
      <c r="D248" s="5" t="s">
        <v>41</v>
      </c>
      <c r="E248" s="6" t="s">
        <v>42</v>
      </c>
      <c r="F248" s="7" t="s">
        <v>82</v>
      </c>
      <c r="G248" s="10" t="s">
        <v>83</v>
      </c>
      <c r="H248" s="5" t="s">
        <v>84</v>
      </c>
      <c r="I248" s="5">
        <v>4</v>
      </c>
      <c r="J248" s="5">
        <v>10</v>
      </c>
      <c r="K248" s="6">
        <v>29000</v>
      </c>
      <c r="L248" s="5">
        <v>1000</v>
      </c>
      <c r="M248" s="5">
        <v>55</v>
      </c>
      <c r="N248" s="5">
        <v>31</v>
      </c>
      <c r="O248" s="6" t="s">
        <v>162</v>
      </c>
      <c r="P248" s="8"/>
      <c r="Q248" s="16">
        <v>0.12361111111111112</v>
      </c>
      <c r="R248" s="16">
        <v>0.19417824074074075</v>
      </c>
      <c r="S248" s="6">
        <v>32641</v>
      </c>
      <c r="T248" s="16">
        <v>0.37972222222222224</v>
      </c>
      <c r="U248" s="16">
        <v>0.37980324074074073</v>
      </c>
      <c r="V248" s="6">
        <v>32653</v>
      </c>
      <c r="W248" s="6">
        <v>62</v>
      </c>
      <c r="X248" s="6">
        <v>62</v>
      </c>
      <c r="Y248" s="12">
        <v>0</v>
      </c>
      <c r="Z248" s="12">
        <v>12</v>
      </c>
      <c r="AA248" s="12">
        <v>12</v>
      </c>
      <c r="AB248" s="12">
        <v>0</v>
      </c>
      <c r="AC248" s="12">
        <v>0</v>
      </c>
      <c r="AD248" s="13">
        <v>2</v>
      </c>
      <c r="AE248" s="12">
        <v>300</v>
      </c>
      <c r="AF248" s="14">
        <v>0</v>
      </c>
      <c r="AG248" s="5">
        <v>0</v>
      </c>
      <c r="AH248" s="5">
        <v>0</v>
      </c>
      <c r="AI248" s="5">
        <v>0</v>
      </c>
      <c r="AJ248" s="5">
        <v>1235.48</v>
      </c>
      <c r="AK248" s="5">
        <v>0</v>
      </c>
      <c r="AL248" s="5">
        <v>1235.48</v>
      </c>
      <c r="AM248" s="8"/>
      <c r="AN248" s="8"/>
    </row>
    <row r="249" spans="1:40" ht="16" thickBot="1">
      <c r="A249" s="3">
        <v>248</v>
      </c>
      <c r="B249" s="19">
        <v>45941</v>
      </c>
      <c r="C249" s="5" t="s">
        <v>40</v>
      </c>
      <c r="D249" s="5" t="s">
        <v>41</v>
      </c>
      <c r="E249" s="6" t="s">
        <v>42</v>
      </c>
      <c r="F249" s="7" t="s">
        <v>163</v>
      </c>
      <c r="G249" s="10" t="s">
        <v>83</v>
      </c>
      <c r="H249" s="5" t="s">
        <v>84</v>
      </c>
      <c r="I249" s="5">
        <v>6</v>
      </c>
      <c r="J249" s="5">
        <v>10</v>
      </c>
      <c r="K249" s="6">
        <v>38000</v>
      </c>
      <c r="L249" s="5">
        <v>2000</v>
      </c>
      <c r="M249" s="5">
        <v>55</v>
      </c>
      <c r="N249" s="5">
        <v>31</v>
      </c>
      <c r="O249" s="6" t="s">
        <v>46</v>
      </c>
      <c r="P249" s="8"/>
      <c r="Q249" s="16">
        <v>4.7916666666666663E-2</v>
      </c>
      <c r="R249" s="16">
        <v>0.33059027777777777</v>
      </c>
      <c r="S249" s="6">
        <v>11270</v>
      </c>
      <c r="T249" s="16">
        <v>0.33068287037037036</v>
      </c>
      <c r="U249" s="16">
        <v>0.33075231481481482</v>
      </c>
      <c r="V249" s="6">
        <v>11270</v>
      </c>
      <c r="W249" s="6">
        <v>0</v>
      </c>
      <c r="X249" s="6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3">
        <v>0</v>
      </c>
      <c r="AE249" s="12">
        <v>0</v>
      </c>
      <c r="AF249" s="14">
        <v>0</v>
      </c>
      <c r="AG249" s="5">
        <v>0</v>
      </c>
      <c r="AH249" s="5">
        <v>0</v>
      </c>
      <c r="AI249" s="5">
        <v>0</v>
      </c>
      <c r="AJ249" s="5">
        <v>1225.81</v>
      </c>
      <c r="AK249" s="5">
        <v>0</v>
      </c>
      <c r="AL249" s="5">
        <v>1225.81</v>
      </c>
      <c r="AM249" s="8"/>
      <c r="AN249" s="8"/>
    </row>
    <row r="250" spans="1:40" ht="16" thickBot="1">
      <c r="A250" s="3">
        <v>249</v>
      </c>
      <c r="B250" s="19">
        <v>45941</v>
      </c>
      <c r="C250" s="5" t="s">
        <v>40</v>
      </c>
      <c r="D250" s="5" t="s">
        <v>41</v>
      </c>
      <c r="E250" s="6" t="s">
        <v>42</v>
      </c>
      <c r="F250" s="7" t="s">
        <v>85</v>
      </c>
      <c r="G250" s="10" t="s">
        <v>83</v>
      </c>
      <c r="H250" s="5" t="s">
        <v>84</v>
      </c>
      <c r="I250" s="5">
        <v>4</v>
      </c>
      <c r="J250" s="5">
        <v>10</v>
      </c>
      <c r="K250" s="6">
        <v>29000</v>
      </c>
      <c r="L250" s="5">
        <v>1000</v>
      </c>
      <c r="M250" s="5">
        <v>55</v>
      </c>
      <c r="N250" s="5">
        <v>31</v>
      </c>
      <c r="O250" s="6" t="s">
        <v>107</v>
      </c>
      <c r="P250" s="8"/>
      <c r="Q250" s="16">
        <v>5.5555555555555552E-2</v>
      </c>
      <c r="R250" s="16">
        <v>0.19207175925925926</v>
      </c>
      <c r="S250" s="6">
        <v>38486</v>
      </c>
      <c r="T250" s="16">
        <v>0.32717592592592593</v>
      </c>
      <c r="U250" s="16">
        <v>0.32731481481481484</v>
      </c>
      <c r="V250" s="6">
        <v>38507</v>
      </c>
      <c r="W250" s="6">
        <v>37</v>
      </c>
      <c r="X250" s="6">
        <v>37</v>
      </c>
      <c r="Y250" s="12">
        <v>0</v>
      </c>
      <c r="Z250" s="12">
        <v>21</v>
      </c>
      <c r="AA250" s="12">
        <v>21</v>
      </c>
      <c r="AB250" s="12">
        <v>0</v>
      </c>
      <c r="AC250" s="12">
        <v>0</v>
      </c>
      <c r="AD250" s="13">
        <v>0</v>
      </c>
      <c r="AE250" s="12">
        <v>0</v>
      </c>
      <c r="AF250" s="14">
        <v>0</v>
      </c>
      <c r="AG250" s="5">
        <v>0</v>
      </c>
      <c r="AH250" s="5">
        <v>0</v>
      </c>
      <c r="AI250" s="5">
        <v>0</v>
      </c>
      <c r="AJ250" s="5">
        <v>935.48</v>
      </c>
      <c r="AK250" s="5">
        <v>0</v>
      </c>
      <c r="AL250" s="5">
        <v>935.48</v>
      </c>
      <c r="AM250" s="8"/>
      <c r="AN250" s="8"/>
    </row>
    <row r="251" spans="1:40" ht="16" thickBot="1">
      <c r="A251" s="3">
        <v>250</v>
      </c>
      <c r="B251" s="19">
        <v>45941</v>
      </c>
      <c r="C251" s="5" t="s">
        <v>40</v>
      </c>
      <c r="D251" s="5" t="s">
        <v>41</v>
      </c>
      <c r="E251" s="6" t="s">
        <v>42</v>
      </c>
      <c r="F251" s="7" t="s">
        <v>150</v>
      </c>
      <c r="G251" s="10" t="s">
        <v>83</v>
      </c>
      <c r="H251" s="5" t="s">
        <v>84</v>
      </c>
      <c r="I251" s="5">
        <v>4</v>
      </c>
      <c r="J251" s="5">
        <v>10</v>
      </c>
      <c r="K251" s="6">
        <v>29000</v>
      </c>
      <c r="L251" s="5">
        <v>1000</v>
      </c>
      <c r="M251" s="5">
        <v>55</v>
      </c>
      <c r="N251" s="5">
        <v>31</v>
      </c>
      <c r="O251" s="6" t="s">
        <v>164</v>
      </c>
      <c r="P251" s="8"/>
      <c r="Q251" s="16">
        <v>0.10694444444444444</v>
      </c>
      <c r="R251" s="16">
        <v>0.19153935185185186</v>
      </c>
      <c r="S251" s="6">
        <v>60281</v>
      </c>
      <c r="T251" s="16">
        <v>0.36087962962962966</v>
      </c>
      <c r="U251" s="16">
        <v>0.36098379629629629</v>
      </c>
      <c r="V251" s="6">
        <v>60300</v>
      </c>
      <c r="W251" s="6">
        <v>31</v>
      </c>
      <c r="X251" s="6">
        <v>31</v>
      </c>
      <c r="Y251" s="12">
        <v>0</v>
      </c>
      <c r="Z251" s="12">
        <v>19</v>
      </c>
      <c r="AA251" s="12">
        <v>19</v>
      </c>
      <c r="AB251" s="12">
        <v>0</v>
      </c>
      <c r="AC251" s="12">
        <v>0</v>
      </c>
      <c r="AD251" s="13">
        <v>1</v>
      </c>
      <c r="AE251" s="12">
        <v>150</v>
      </c>
      <c r="AF251" s="14">
        <v>0</v>
      </c>
      <c r="AG251" s="5">
        <v>0</v>
      </c>
      <c r="AH251" s="5">
        <v>0</v>
      </c>
      <c r="AI251" s="5">
        <v>0</v>
      </c>
      <c r="AJ251" s="5">
        <v>1085.48</v>
      </c>
      <c r="AK251" s="5">
        <v>0</v>
      </c>
      <c r="AL251" s="5">
        <v>1085.48</v>
      </c>
      <c r="AM251" s="8"/>
      <c r="AN251" s="8"/>
    </row>
    <row r="252" spans="1:40" ht="16" thickBot="1">
      <c r="A252" s="3">
        <v>251</v>
      </c>
      <c r="B252" s="19">
        <v>45941</v>
      </c>
      <c r="C252" s="5" t="s">
        <v>40</v>
      </c>
      <c r="D252" s="5" t="s">
        <v>41</v>
      </c>
      <c r="E252" s="6" t="s">
        <v>42</v>
      </c>
      <c r="F252" s="7" t="s">
        <v>87</v>
      </c>
      <c r="G252" s="10" t="s">
        <v>83</v>
      </c>
      <c r="H252" s="5" t="s">
        <v>84</v>
      </c>
      <c r="I252" s="5">
        <v>4</v>
      </c>
      <c r="J252" s="5">
        <v>10</v>
      </c>
      <c r="K252" s="6">
        <v>29000</v>
      </c>
      <c r="L252" s="5">
        <v>1000</v>
      </c>
      <c r="M252" s="5">
        <v>55</v>
      </c>
      <c r="N252" s="5">
        <v>31</v>
      </c>
      <c r="O252" s="6" t="s">
        <v>153</v>
      </c>
      <c r="P252" s="8"/>
      <c r="Q252" s="16">
        <v>0.10069444444444443</v>
      </c>
      <c r="R252" s="16">
        <v>0.18803240740740743</v>
      </c>
      <c r="S252" s="6">
        <v>2971</v>
      </c>
      <c r="T252" s="16">
        <v>0.37365740740740744</v>
      </c>
      <c r="U252" s="16">
        <v>0.37376157407407407</v>
      </c>
      <c r="V252" s="6">
        <v>3001</v>
      </c>
      <c r="W252" s="6">
        <v>51</v>
      </c>
      <c r="X252" s="6">
        <v>51</v>
      </c>
      <c r="Y252" s="12">
        <v>0</v>
      </c>
      <c r="Z252" s="12">
        <v>30</v>
      </c>
      <c r="AA252" s="12">
        <v>30</v>
      </c>
      <c r="AB252" s="12">
        <v>0</v>
      </c>
      <c r="AC252" s="12">
        <v>0</v>
      </c>
      <c r="AD252" s="13">
        <v>1</v>
      </c>
      <c r="AE252" s="12">
        <v>150</v>
      </c>
      <c r="AF252" s="14">
        <v>0</v>
      </c>
      <c r="AG252" s="5">
        <v>0</v>
      </c>
      <c r="AH252" s="5">
        <v>0</v>
      </c>
      <c r="AI252" s="5">
        <v>0</v>
      </c>
      <c r="AJ252" s="5">
        <v>1085.48</v>
      </c>
      <c r="AK252" s="5">
        <v>0</v>
      </c>
      <c r="AL252" s="5">
        <v>1085.48</v>
      </c>
      <c r="AM252" s="8"/>
      <c r="AN252" s="8"/>
    </row>
    <row r="253" spans="1:40" ht="16" thickBot="1">
      <c r="A253" s="3">
        <v>252</v>
      </c>
      <c r="B253" s="19">
        <v>45942</v>
      </c>
      <c r="C253" s="5" t="s">
        <v>40</v>
      </c>
      <c r="D253" s="5" t="s">
        <v>41</v>
      </c>
      <c r="E253" s="6" t="s">
        <v>42</v>
      </c>
      <c r="F253" s="7" t="s">
        <v>43</v>
      </c>
      <c r="G253" s="5" t="s">
        <v>44</v>
      </c>
      <c r="H253" s="5" t="s">
        <v>45</v>
      </c>
      <c r="I253" s="5">
        <v>4</v>
      </c>
      <c r="J253" s="5">
        <v>8</v>
      </c>
      <c r="K253" s="5">
        <v>25000</v>
      </c>
      <c r="L253" s="5">
        <v>1000</v>
      </c>
      <c r="M253" s="5">
        <v>55</v>
      </c>
      <c r="N253" s="5">
        <v>31</v>
      </c>
      <c r="O253" s="6" t="s">
        <v>46</v>
      </c>
      <c r="P253" s="8"/>
      <c r="Q253" s="16">
        <v>4.7916666666666663E-2</v>
      </c>
      <c r="R253" s="16">
        <v>0.16888888888888889</v>
      </c>
      <c r="S253" s="6">
        <v>56750</v>
      </c>
      <c r="T253" s="16">
        <v>0.30098379629629629</v>
      </c>
      <c r="U253" s="16">
        <v>0.30164351851851851</v>
      </c>
      <c r="V253" s="6">
        <v>56757</v>
      </c>
      <c r="W253" s="6">
        <v>46</v>
      </c>
      <c r="X253" s="6">
        <v>46</v>
      </c>
      <c r="Y253" s="12">
        <v>0</v>
      </c>
      <c r="Z253" s="12">
        <v>7</v>
      </c>
      <c r="AA253" s="12">
        <v>7</v>
      </c>
      <c r="AB253" s="12">
        <v>0</v>
      </c>
      <c r="AC253" s="12">
        <v>0</v>
      </c>
      <c r="AD253" s="13">
        <v>0</v>
      </c>
      <c r="AE253" s="12">
        <v>0</v>
      </c>
      <c r="AF253" s="14">
        <v>0</v>
      </c>
      <c r="AG253" s="5">
        <v>0</v>
      </c>
      <c r="AH253" s="5">
        <v>0</v>
      </c>
      <c r="AI253" s="5">
        <v>0</v>
      </c>
      <c r="AJ253" s="5">
        <v>806.45</v>
      </c>
      <c r="AK253" s="5">
        <v>0</v>
      </c>
      <c r="AL253" s="5">
        <v>806.45</v>
      </c>
      <c r="AM253" s="8"/>
      <c r="AN253" s="8"/>
    </row>
    <row r="254" spans="1:40" ht="16" thickBot="1">
      <c r="A254" s="3">
        <v>253</v>
      </c>
      <c r="B254" s="19">
        <v>45942</v>
      </c>
      <c r="C254" s="5" t="s">
        <v>40</v>
      </c>
      <c r="D254" s="5" t="s">
        <v>41</v>
      </c>
      <c r="E254" s="6" t="s">
        <v>42</v>
      </c>
      <c r="F254" s="7" t="s">
        <v>132</v>
      </c>
      <c r="G254" s="5" t="s">
        <v>44</v>
      </c>
      <c r="H254" s="5" t="s">
        <v>45</v>
      </c>
      <c r="I254" s="5">
        <v>4</v>
      </c>
      <c r="J254" s="5">
        <v>8</v>
      </c>
      <c r="K254" s="5">
        <v>25000</v>
      </c>
      <c r="L254" s="5">
        <v>1000</v>
      </c>
      <c r="M254" s="5">
        <v>55</v>
      </c>
      <c r="N254" s="5">
        <v>31</v>
      </c>
      <c r="O254" s="6" t="s">
        <v>141</v>
      </c>
      <c r="P254" s="8"/>
      <c r="Q254" s="16">
        <v>4.5833333333333337E-2</v>
      </c>
      <c r="R254" s="16">
        <v>0.16898148148148148</v>
      </c>
      <c r="S254" s="6">
        <v>110240</v>
      </c>
      <c r="T254" s="16">
        <v>0.30464120370370368</v>
      </c>
      <c r="U254" s="16">
        <v>0.30481481481481482</v>
      </c>
      <c r="V254" s="6">
        <v>110253</v>
      </c>
      <c r="W254" s="6">
        <v>54</v>
      </c>
      <c r="X254" s="6">
        <v>54</v>
      </c>
      <c r="Y254" s="12">
        <v>0</v>
      </c>
      <c r="Z254" s="12">
        <v>13</v>
      </c>
      <c r="AA254" s="12">
        <v>13</v>
      </c>
      <c r="AB254" s="12">
        <v>0</v>
      </c>
      <c r="AC254" s="12">
        <v>0</v>
      </c>
      <c r="AD254" s="13">
        <v>0</v>
      </c>
      <c r="AE254" s="12">
        <v>0</v>
      </c>
      <c r="AF254" s="14">
        <v>0</v>
      </c>
      <c r="AG254" s="5">
        <v>0</v>
      </c>
      <c r="AH254" s="5">
        <v>0</v>
      </c>
      <c r="AI254" s="5">
        <v>0</v>
      </c>
      <c r="AJ254" s="5">
        <v>806.45</v>
      </c>
      <c r="AK254" s="5">
        <v>0</v>
      </c>
      <c r="AL254" s="5">
        <v>806.45</v>
      </c>
      <c r="AM254" s="8"/>
      <c r="AN254" s="8"/>
    </row>
    <row r="255" spans="1:40" ht="16" thickBot="1">
      <c r="A255" s="3">
        <v>254</v>
      </c>
      <c r="B255" s="19">
        <v>45942</v>
      </c>
      <c r="C255" s="5" t="s">
        <v>40</v>
      </c>
      <c r="D255" s="5" t="s">
        <v>41</v>
      </c>
      <c r="E255" s="6" t="s">
        <v>42</v>
      </c>
      <c r="F255" s="7" t="s">
        <v>49</v>
      </c>
      <c r="G255" s="5" t="s">
        <v>44</v>
      </c>
      <c r="H255" s="5" t="s">
        <v>45</v>
      </c>
      <c r="I255" s="5">
        <v>6</v>
      </c>
      <c r="J255" s="5">
        <v>8</v>
      </c>
      <c r="K255" s="5">
        <v>33000</v>
      </c>
      <c r="L255" s="5">
        <v>2000</v>
      </c>
      <c r="M255" s="5">
        <v>55</v>
      </c>
      <c r="N255" s="5">
        <v>31</v>
      </c>
      <c r="O255" s="6" t="s">
        <v>165</v>
      </c>
      <c r="P255" s="8"/>
      <c r="Q255" s="16">
        <v>4.027777777777778E-2</v>
      </c>
      <c r="R255" s="16">
        <v>0.17899305555555556</v>
      </c>
      <c r="S255" s="6">
        <v>99491</v>
      </c>
      <c r="T255" s="16">
        <v>0.36579861111111112</v>
      </c>
      <c r="U255" s="16">
        <v>0.36849537037037039</v>
      </c>
      <c r="V255" s="6">
        <v>99537</v>
      </c>
      <c r="W255" s="6">
        <v>24</v>
      </c>
      <c r="X255" s="6">
        <v>71</v>
      </c>
      <c r="Y255" s="12">
        <v>-47</v>
      </c>
      <c r="Z255" s="12">
        <v>46</v>
      </c>
      <c r="AA255" s="12">
        <v>46</v>
      </c>
      <c r="AB255" s="12">
        <v>0</v>
      </c>
      <c r="AC255" s="12">
        <v>0</v>
      </c>
      <c r="AD255" s="13">
        <v>0</v>
      </c>
      <c r="AE255" s="12">
        <v>0</v>
      </c>
      <c r="AF255" s="14">
        <v>0</v>
      </c>
      <c r="AG255" s="5">
        <v>0</v>
      </c>
      <c r="AH255" s="5">
        <v>0</v>
      </c>
      <c r="AI255" s="5">
        <v>0</v>
      </c>
      <c r="AJ255" s="5">
        <v>1064.52</v>
      </c>
      <c r="AK255" s="5">
        <v>0</v>
      </c>
      <c r="AL255" s="5">
        <v>1064.52</v>
      </c>
      <c r="AM255" s="8"/>
      <c r="AN255" s="8"/>
    </row>
    <row r="256" spans="1:40" ht="16" thickBot="1">
      <c r="A256" s="3">
        <v>255</v>
      </c>
      <c r="B256" s="19">
        <v>45942</v>
      </c>
      <c r="C256" s="5" t="s">
        <v>40</v>
      </c>
      <c r="D256" s="5" t="s">
        <v>41</v>
      </c>
      <c r="E256" s="6" t="s">
        <v>42</v>
      </c>
      <c r="F256" s="7" t="s">
        <v>51</v>
      </c>
      <c r="G256" s="5" t="s">
        <v>44</v>
      </c>
      <c r="H256" s="5" t="s">
        <v>45</v>
      </c>
      <c r="I256" s="5">
        <v>4</v>
      </c>
      <c r="J256" s="5">
        <v>8</v>
      </c>
      <c r="K256" s="5">
        <v>25000</v>
      </c>
      <c r="L256" s="5">
        <v>1000</v>
      </c>
      <c r="M256" s="5">
        <v>55</v>
      </c>
      <c r="N256" s="5">
        <v>31</v>
      </c>
      <c r="O256" s="6" t="s">
        <v>75</v>
      </c>
      <c r="P256" s="8"/>
      <c r="Q256" s="16">
        <v>0.13055555555555556</v>
      </c>
      <c r="R256" s="16">
        <v>0.17170138888888889</v>
      </c>
      <c r="S256" s="6">
        <v>83882</v>
      </c>
      <c r="T256" s="16">
        <v>0.35934027777777783</v>
      </c>
      <c r="U256" s="16">
        <v>0.35947916666666663</v>
      </c>
      <c r="V256" s="6">
        <v>83897</v>
      </c>
      <c r="W256" s="6">
        <v>43</v>
      </c>
      <c r="X256" s="6">
        <v>43</v>
      </c>
      <c r="Y256" s="12">
        <v>0</v>
      </c>
      <c r="Z256" s="12">
        <v>15</v>
      </c>
      <c r="AA256" s="12">
        <v>15</v>
      </c>
      <c r="AB256" s="12">
        <v>0</v>
      </c>
      <c r="AC256" s="12">
        <v>0</v>
      </c>
      <c r="AD256" s="13">
        <v>1</v>
      </c>
      <c r="AE256" s="12">
        <v>150</v>
      </c>
      <c r="AF256" s="14">
        <v>0</v>
      </c>
      <c r="AG256" s="5">
        <v>0</v>
      </c>
      <c r="AH256" s="5">
        <v>0</v>
      </c>
      <c r="AI256" s="5">
        <v>0</v>
      </c>
      <c r="AJ256" s="5">
        <v>956.45</v>
      </c>
      <c r="AK256" s="5">
        <v>0</v>
      </c>
      <c r="AL256" s="5">
        <v>956.45</v>
      </c>
      <c r="AM256" s="8"/>
      <c r="AN256" s="8"/>
    </row>
    <row r="257" spans="1:40" ht="16" thickBot="1">
      <c r="A257" s="3">
        <v>256</v>
      </c>
      <c r="B257" s="19">
        <v>45942</v>
      </c>
      <c r="C257" s="5" t="s">
        <v>40</v>
      </c>
      <c r="D257" s="5" t="s">
        <v>41</v>
      </c>
      <c r="E257" s="6" t="s">
        <v>42</v>
      </c>
      <c r="F257" s="7" t="s">
        <v>145</v>
      </c>
      <c r="G257" s="5" t="s">
        <v>44</v>
      </c>
      <c r="H257" s="5" t="s">
        <v>45</v>
      </c>
      <c r="I257" s="5">
        <v>4</v>
      </c>
      <c r="J257" s="5">
        <v>8</v>
      </c>
      <c r="K257" s="5">
        <v>25000</v>
      </c>
      <c r="L257" s="5">
        <v>1000</v>
      </c>
      <c r="M257" s="5">
        <v>55</v>
      </c>
      <c r="N257" s="5">
        <v>31</v>
      </c>
      <c r="O257" s="6" t="s">
        <v>166</v>
      </c>
      <c r="P257" s="8"/>
      <c r="Q257" s="16">
        <v>4.5833333333333337E-2</v>
      </c>
      <c r="R257" s="16">
        <v>0.16814814814814816</v>
      </c>
      <c r="S257" s="6">
        <v>37769</v>
      </c>
      <c r="T257" s="16">
        <v>0.34675925925925927</v>
      </c>
      <c r="U257" s="16">
        <v>0.34682870370370367</v>
      </c>
      <c r="V257" s="6">
        <v>37809</v>
      </c>
      <c r="W257" s="6">
        <v>59</v>
      </c>
      <c r="X257" s="6">
        <v>59</v>
      </c>
      <c r="Y257" s="12">
        <v>0</v>
      </c>
      <c r="Z257" s="12">
        <v>40</v>
      </c>
      <c r="AA257" s="12">
        <v>40</v>
      </c>
      <c r="AB257" s="12">
        <v>0</v>
      </c>
      <c r="AC257" s="12">
        <v>0</v>
      </c>
      <c r="AD257" s="13">
        <v>1</v>
      </c>
      <c r="AE257" s="12">
        <v>150</v>
      </c>
      <c r="AF257" s="14">
        <v>0</v>
      </c>
      <c r="AG257" s="5">
        <v>0</v>
      </c>
      <c r="AH257" s="5">
        <v>0</v>
      </c>
      <c r="AI257" s="5">
        <v>0</v>
      </c>
      <c r="AJ257" s="5">
        <v>956.45</v>
      </c>
      <c r="AK257" s="5">
        <v>0</v>
      </c>
      <c r="AL257" s="5">
        <v>956.45</v>
      </c>
      <c r="AM257" s="8"/>
      <c r="AN257" s="8"/>
    </row>
    <row r="258" spans="1:40" ht="16" thickBot="1">
      <c r="A258" s="3">
        <v>257</v>
      </c>
      <c r="B258" s="19">
        <v>45942</v>
      </c>
      <c r="C258" s="5" t="s">
        <v>40</v>
      </c>
      <c r="D258" s="5" t="s">
        <v>41</v>
      </c>
      <c r="E258" s="6" t="s">
        <v>42</v>
      </c>
      <c r="F258" s="7" t="s">
        <v>53</v>
      </c>
      <c r="G258" s="5" t="s">
        <v>44</v>
      </c>
      <c r="H258" s="5" t="s">
        <v>45</v>
      </c>
      <c r="I258" s="5">
        <v>4</v>
      </c>
      <c r="J258" s="5">
        <v>8</v>
      </c>
      <c r="K258" s="5">
        <v>25000</v>
      </c>
      <c r="L258" s="5">
        <v>1000</v>
      </c>
      <c r="M258" s="5">
        <v>55</v>
      </c>
      <c r="N258" s="5">
        <v>31</v>
      </c>
      <c r="O258" s="6" t="s">
        <v>138</v>
      </c>
      <c r="P258" s="8"/>
      <c r="Q258" s="16">
        <v>0.12222222222222223</v>
      </c>
      <c r="R258" s="16">
        <v>0.17092592592592593</v>
      </c>
      <c r="S258" s="6">
        <v>11875</v>
      </c>
      <c r="T258" s="16">
        <v>0.30216435185185186</v>
      </c>
      <c r="U258" s="16">
        <v>0.30284722222222221</v>
      </c>
      <c r="V258" s="6">
        <v>11898</v>
      </c>
      <c r="W258" s="6">
        <v>35</v>
      </c>
      <c r="X258" s="6">
        <v>35</v>
      </c>
      <c r="Y258" s="12">
        <v>0</v>
      </c>
      <c r="Z258" s="12">
        <v>23</v>
      </c>
      <c r="AA258" s="12">
        <v>23</v>
      </c>
      <c r="AB258" s="12">
        <v>0</v>
      </c>
      <c r="AC258" s="12">
        <v>0</v>
      </c>
      <c r="AD258" s="13">
        <v>0</v>
      </c>
      <c r="AE258" s="12">
        <v>0</v>
      </c>
      <c r="AF258" s="14">
        <v>0</v>
      </c>
      <c r="AG258" s="5">
        <v>0</v>
      </c>
      <c r="AH258" s="5">
        <v>0</v>
      </c>
      <c r="AI258" s="5">
        <v>0</v>
      </c>
      <c r="AJ258" s="5">
        <v>806.45</v>
      </c>
      <c r="AK258" s="5">
        <v>0</v>
      </c>
      <c r="AL258" s="5">
        <v>806.45</v>
      </c>
      <c r="AM258" s="8"/>
      <c r="AN258" s="8"/>
    </row>
    <row r="259" spans="1:40" ht="16" thickBot="1">
      <c r="A259" s="3">
        <v>258</v>
      </c>
      <c r="B259" s="19">
        <v>45942</v>
      </c>
      <c r="C259" s="5" t="s">
        <v>40</v>
      </c>
      <c r="D259" s="5" t="s">
        <v>41</v>
      </c>
      <c r="E259" s="6" t="s">
        <v>42</v>
      </c>
      <c r="F259" s="7" t="s">
        <v>55</v>
      </c>
      <c r="G259" s="5" t="s">
        <v>44</v>
      </c>
      <c r="H259" s="5" t="s">
        <v>45</v>
      </c>
      <c r="I259" s="5">
        <v>4</v>
      </c>
      <c r="J259" s="5">
        <v>8</v>
      </c>
      <c r="K259" s="5">
        <v>25000</v>
      </c>
      <c r="L259" s="5">
        <v>1000</v>
      </c>
      <c r="M259" s="5">
        <v>55</v>
      </c>
      <c r="N259" s="5">
        <v>31</v>
      </c>
      <c r="O259" s="6" t="s">
        <v>56</v>
      </c>
      <c r="P259" s="8"/>
      <c r="Q259" s="16">
        <v>0.10416666666666667</v>
      </c>
      <c r="R259" s="16">
        <v>0.1690625</v>
      </c>
      <c r="S259" s="6">
        <v>145281</v>
      </c>
      <c r="T259" s="16">
        <v>0.30203703703703705</v>
      </c>
      <c r="U259" s="16">
        <v>0.30276620370370372</v>
      </c>
      <c r="V259" s="6">
        <v>145299</v>
      </c>
      <c r="W259" s="6">
        <v>33</v>
      </c>
      <c r="X259" s="6">
        <v>33</v>
      </c>
      <c r="Y259" s="12">
        <v>0</v>
      </c>
      <c r="Z259" s="12">
        <v>18</v>
      </c>
      <c r="AA259" s="12">
        <v>18</v>
      </c>
      <c r="AB259" s="12">
        <v>0</v>
      </c>
      <c r="AC259" s="12">
        <v>0</v>
      </c>
      <c r="AD259" s="13">
        <v>0</v>
      </c>
      <c r="AE259" s="12">
        <v>0</v>
      </c>
      <c r="AF259" s="14">
        <v>0</v>
      </c>
      <c r="AG259" s="5">
        <v>0</v>
      </c>
      <c r="AH259" s="5">
        <v>0</v>
      </c>
      <c r="AI259" s="5">
        <v>0</v>
      </c>
      <c r="AJ259" s="5">
        <v>806.45</v>
      </c>
      <c r="AK259" s="5">
        <v>0</v>
      </c>
      <c r="AL259" s="5">
        <v>806.45</v>
      </c>
      <c r="AM259" s="8"/>
      <c r="AN259" s="8"/>
    </row>
    <row r="260" spans="1:40" ht="16" thickBot="1">
      <c r="A260" s="3">
        <v>259</v>
      </c>
      <c r="B260" s="19">
        <v>45942</v>
      </c>
      <c r="C260" s="5" t="s">
        <v>40</v>
      </c>
      <c r="D260" s="5" t="s">
        <v>41</v>
      </c>
      <c r="E260" s="6" t="s">
        <v>42</v>
      </c>
      <c r="F260" s="7" t="s">
        <v>57</v>
      </c>
      <c r="G260" s="5" t="s">
        <v>44</v>
      </c>
      <c r="H260" s="5" t="s">
        <v>45</v>
      </c>
      <c r="I260" s="5">
        <v>4</v>
      </c>
      <c r="J260" s="5">
        <v>8</v>
      </c>
      <c r="K260" s="5">
        <v>25000</v>
      </c>
      <c r="L260" s="5">
        <v>1000</v>
      </c>
      <c r="M260" s="5">
        <v>55</v>
      </c>
      <c r="N260" s="5">
        <v>31</v>
      </c>
      <c r="O260" s="6" t="s">
        <v>58</v>
      </c>
      <c r="P260" s="8"/>
      <c r="Q260" s="16">
        <v>4.5138888888888888E-2</v>
      </c>
      <c r="R260" s="16">
        <v>0.17872685185185186</v>
      </c>
      <c r="S260" s="6">
        <v>143361</v>
      </c>
      <c r="T260" s="16">
        <v>0.30081018518518515</v>
      </c>
      <c r="U260" s="16">
        <v>0.30171296296296296</v>
      </c>
      <c r="V260" s="6">
        <v>143383</v>
      </c>
      <c r="W260" s="6">
        <v>40</v>
      </c>
      <c r="X260" s="6">
        <v>40</v>
      </c>
      <c r="Y260" s="12">
        <v>0</v>
      </c>
      <c r="Z260" s="12">
        <v>22</v>
      </c>
      <c r="AA260" s="12">
        <v>22</v>
      </c>
      <c r="AB260" s="12">
        <v>0</v>
      </c>
      <c r="AC260" s="12">
        <v>0</v>
      </c>
      <c r="AD260" s="13">
        <v>0</v>
      </c>
      <c r="AE260" s="12">
        <v>0</v>
      </c>
      <c r="AF260" s="14">
        <v>0</v>
      </c>
      <c r="AG260" s="5">
        <v>0</v>
      </c>
      <c r="AH260" s="5">
        <v>0</v>
      </c>
      <c r="AI260" s="5">
        <v>0</v>
      </c>
      <c r="AJ260" s="5">
        <v>806.45</v>
      </c>
      <c r="AK260" s="5">
        <v>0</v>
      </c>
      <c r="AL260" s="5">
        <v>806.45</v>
      </c>
      <c r="AM260" s="8"/>
      <c r="AN260" s="8"/>
    </row>
    <row r="261" spans="1:40" ht="16" thickBot="1">
      <c r="A261" s="3">
        <v>260</v>
      </c>
      <c r="B261" s="19">
        <v>45942</v>
      </c>
      <c r="C261" s="5" t="s">
        <v>40</v>
      </c>
      <c r="D261" s="5" t="s">
        <v>41</v>
      </c>
      <c r="E261" s="6" t="s">
        <v>42</v>
      </c>
      <c r="F261" s="7" t="s">
        <v>59</v>
      </c>
      <c r="G261" s="5" t="s">
        <v>44</v>
      </c>
      <c r="H261" s="5" t="s">
        <v>45</v>
      </c>
      <c r="I261" s="5">
        <v>4</v>
      </c>
      <c r="J261" s="5">
        <v>8</v>
      </c>
      <c r="K261" s="5">
        <v>25000</v>
      </c>
      <c r="L261" s="5">
        <v>1000</v>
      </c>
      <c r="M261" s="5">
        <v>55</v>
      </c>
      <c r="N261" s="5">
        <v>31</v>
      </c>
      <c r="O261" s="6" t="s">
        <v>112</v>
      </c>
      <c r="P261" s="8"/>
      <c r="Q261" s="16">
        <v>0.13958333333333334</v>
      </c>
      <c r="R261" s="16">
        <v>0.18329861111111112</v>
      </c>
      <c r="S261" s="6">
        <v>159053</v>
      </c>
      <c r="T261" s="16">
        <v>0.34883101851851855</v>
      </c>
      <c r="U261" s="16">
        <v>0.34913194444444445</v>
      </c>
      <c r="V261" s="6">
        <v>159087</v>
      </c>
      <c r="W261" s="6">
        <v>0</v>
      </c>
      <c r="X261" s="6">
        <v>0</v>
      </c>
      <c r="Y261" s="12">
        <v>0</v>
      </c>
      <c r="Z261" s="12">
        <v>34</v>
      </c>
      <c r="AA261" s="12">
        <v>34</v>
      </c>
      <c r="AB261" s="12">
        <v>0</v>
      </c>
      <c r="AC261" s="12">
        <v>0</v>
      </c>
      <c r="AD261" s="13">
        <v>1</v>
      </c>
      <c r="AE261" s="12">
        <v>150</v>
      </c>
      <c r="AF261" s="14">
        <v>0</v>
      </c>
      <c r="AG261" s="5">
        <v>0</v>
      </c>
      <c r="AH261" s="5">
        <v>0</v>
      </c>
      <c r="AI261" s="5">
        <v>0</v>
      </c>
      <c r="AJ261" s="5">
        <v>956.45</v>
      </c>
      <c r="AK261" s="5">
        <v>0</v>
      </c>
      <c r="AL261" s="5">
        <v>956.45</v>
      </c>
      <c r="AM261" s="8"/>
      <c r="AN261" s="8"/>
    </row>
    <row r="262" spans="1:40" ht="16" thickBot="1">
      <c r="A262" s="3">
        <v>261</v>
      </c>
      <c r="B262" s="19">
        <v>45942</v>
      </c>
      <c r="C262" s="5" t="s">
        <v>40</v>
      </c>
      <c r="D262" s="5" t="s">
        <v>41</v>
      </c>
      <c r="E262" s="6" t="s">
        <v>42</v>
      </c>
      <c r="F262" s="7" t="s">
        <v>60</v>
      </c>
      <c r="G262" s="5" t="s">
        <v>44</v>
      </c>
      <c r="H262" s="5" t="s">
        <v>45</v>
      </c>
      <c r="I262" s="5">
        <v>4</v>
      </c>
      <c r="J262" s="5">
        <v>8</v>
      </c>
      <c r="K262" s="5">
        <v>25000</v>
      </c>
      <c r="L262" s="5">
        <v>1000</v>
      </c>
      <c r="M262" s="5">
        <v>55</v>
      </c>
      <c r="N262" s="5">
        <v>31</v>
      </c>
      <c r="O262" s="6" t="s">
        <v>81</v>
      </c>
      <c r="P262" s="8"/>
      <c r="Q262" s="16">
        <v>4.9999999999999996E-2</v>
      </c>
      <c r="R262" s="16">
        <v>0.17028935185185187</v>
      </c>
      <c r="S262" s="6">
        <v>112994</v>
      </c>
      <c r="T262" s="16">
        <v>0.30994212962962964</v>
      </c>
      <c r="U262" s="16">
        <v>0.31005787037037036</v>
      </c>
      <c r="V262" s="6">
        <v>113011</v>
      </c>
      <c r="W262" s="6">
        <v>34</v>
      </c>
      <c r="X262" s="6">
        <v>34</v>
      </c>
      <c r="Y262" s="12">
        <v>0</v>
      </c>
      <c r="Z262" s="12">
        <v>17</v>
      </c>
      <c r="AA262" s="12">
        <v>17</v>
      </c>
      <c r="AB262" s="12">
        <v>0</v>
      </c>
      <c r="AC262" s="12">
        <v>0</v>
      </c>
      <c r="AD262" s="13">
        <v>0</v>
      </c>
      <c r="AE262" s="12">
        <v>0</v>
      </c>
      <c r="AF262" s="14">
        <v>0</v>
      </c>
      <c r="AG262" s="5">
        <v>0</v>
      </c>
      <c r="AH262" s="5">
        <v>0</v>
      </c>
      <c r="AI262" s="5">
        <v>0</v>
      </c>
      <c r="AJ262" s="5">
        <v>806.45</v>
      </c>
      <c r="AK262" s="5">
        <v>0</v>
      </c>
      <c r="AL262" s="5">
        <v>806.45</v>
      </c>
      <c r="AM262" s="8"/>
      <c r="AN262" s="8"/>
    </row>
    <row r="263" spans="1:40" ht="16" thickBot="1">
      <c r="A263" s="3">
        <v>262</v>
      </c>
      <c r="B263" s="19">
        <v>45942</v>
      </c>
      <c r="C263" s="5" t="s">
        <v>40</v>
      </c>
      <c r="D263" s="5" t="s">
        <v>41</v>
      </c>
      <c r="E263" s="6" t="s">
        <v>42</v>
      </c>
      <c r="F263" s="7" t="s">
        <v>62</v>
      </c>
      <c r="G263" s="5" t="s">
        <v>44</v>
      </c>
      <c r="H263" s="5" t="s">
        <v>45</v>
      </c>
      <c r="I263" s="5">
        <v>6</v>
      </c>
      <c r="J263" s="5">
        <v>8</v>
      </c>
      <c r="K263" s="5">
        <v>33000</v>
      </c>
      <c r="L263" s="5">
        <v>2000</v>
      </c>
      <c r="M263" s="5">
        <v>55</v>
      </c>
      <c r="N263" s="5">
        <v>31</v>
      </c>
      <c r="O263" s="6" t="s">
        <v>167</v>
      </c>
      <c r="P263" s="8"/>
      <c r="Q263" s="16">
        <v>4.5138888888888888E-2</v>
      </c>
      <c r="R263" s="16">
        <v>0.17762731481481484</v>
      </c>
      <c r="S263" s="6">
        <v>47680</v>
      </c>
      <c r="T263" s="16">
        <v>0.37041666666666667</v>
      </c>
      <c r="U263" s="16">
        <v>0.37060185185185185</v>
      </c>
      <c r="V263" s="6">
        <v>47772</v>
      </c>
      <c r="W263" s="6">
        <v>48</v>
      </c>
      <c r="X263" s="6">
        <v>48</v>
      </c>
      <c r="Y263" s="12">
        <v>0</v>
      </c>
      <c r="Z263" s="12">
        <v>92</v>
      </c>
      <c r="AA263" s="12">
        <v>92</v>
      </c>
      <c r="AB263" s="12">
        <v>0</v>
      </c>
      <c r="AC263" s="12">
        <v>0</v>
      </c>
      <c r="AD263" s="13">
        <v>0</v>
      </c>
      <c r="AE263" s="12">
        <v>0</v>
      </c>
      <c r="AF263" s="14">
        <v>0</v>
      </c>
      <c r="AG263" s="5">
        <v>0</v>
      </c>
      <c r="AH263" s="5">
        <v>0</v>
      </c>
      <c r="AI263" s="5">
        <v>0</v>
      </c>
      <c r="AJ263" s="5">
        <v>1064.52</v>
      </c>
      <c r="AK263" s="5">
        <v>0</v>
      </c>
      <c r="AL263" s="5">
        <v>1064.52</v>
      </c>
      <c r="AM263" s="8"/>
      <c r="AN263" s="8"/>
    </row>
    <row r="264" spans="1:40" ht="16" thickBot="1">
      <c r="A264" s="3">
        <v>263</v>
      </c>
      <c r="B264" s="19">
        <v>45942</v>
      </c>
      <c r="C264" s="5" t="s">
        <v>40</v>
      </c>
      <c r="D264" s="5" t="s">
        <v>41</v>
      </c>
      <c r="E264" s="6" t="s">
        <v>42</v>
      </c>
      <c r="F264" s="7" t="s">
        <v>64</v>
      </c>
      <c r="G264" s="5" t="s">
        <v>44</v>
      </c>
      <c r="H264" s="5" t="s">
        <v>45</v>
      </c>
      <c r="I264" s="5">
        <v>4</v>
      </c>
      <c r="J264" s="5">
        <v>8</v>
      </c>
      <c r="K264" s="5">
        <v>25000</v>
      </c>
      <c r="L264" s="5">
        <v>1000</v>
      </c>
      <c r="M264" s="5">
        <v>55</v>
      </c>
      <c r="N264" s="5">
        <v>31</v>
      </c>
      <c r="O264" s="6" t="s">
        <v>86</v>
      </c>
      <c r="P264" s="8"/>
      <c r="Q264" s="16">
        <v>0.1277777777777778</v>
      </c>
      <c r="R264" s="16">
        <v>0.1720949074074074</v>
      </c>
      <c r="S264" s="6">
        <v>3510</v>
      </c>
      <c r="T264" s="16">
        <v>0.30231481481481481</v>
      </c>
      <c r="U264" s="16">
        <v>0.30406250000000001</v>
      </c>
      <c r="V264" s="6">
        <v>3521</v>
      </c>
      <c r="W264" s="6">
        <v>26</v>
      </c>
      <c r="X264" s="6">
        <v>26</v>
      </c>
      <c r="Y264" s="12">
        <v>0</v>
      </c>
      <c r="Z264" s="12">
        <v>11</v>
      </c>
      <c r="AA264" s="12">
        <v>11</v>
      </c>
      <c r="AB264" s="12">
        <v>0</v>
      </c>
      <c r="AC264" s="12">
        <v>0</v>
      </c>
      <c r="AD264" s="13">
        <v>0</v>
      </c>
      <c r="AE264" s="12">
        <v>0</v>
      </c>
      <c r="AF264" s="14">
        <v>0</v>
      </c>
      <c r="AG264" s="5">
        <v>0</v>
      </c>
      <c r="AH264" s="5">
        <v>0</v>
      </c>
      <c r="AI264" s="5">
        <v>0</v>
      </c>
      <c r="AJ264" s="5">
        <v>806.45</v>
      </c>
      <c r="AK264" s="5">
        <v>0</v>
      </c>
      <c r="AL264" s="5">
        <v>806.45</v>
      </c>
      <c r="AM264" s="8"/>
      <c r="AN264" s="8"/>
    </row>
    <row r="265" spans="1:40" ht="16" thickBot="1">
      <c r="A265" s="3">
        <v>264</v>
      </c>
      <c r="B265" s="19">
        <v>45942</v>
      </c>
      <c r="C265" s="5" t="s">
        <v>40</v>
      </c>
      <c r="D265" s="5" t="s">
        <v>41</v>
      </c>
      <c r="E265" s="6" t="s">
        <v>42</v>
      </c>
      <c r="F265" s="7" t="s">
        <v>68</v>
      </c>
      <c r="G265" s="5" t="s">
        <v>44</v>
      </c>
      <c r="H265" s="5" t="s">
        <v>45</v>
      </c>
      <c r="I265" s="5">
        <v>4</v>
      </c>
      <c r="J265" s="5">
        <v>8</v>
      </c>
      <c r="K265" s="5">
        <v>25000</v>
      </c>
      <c r="L265" s="5">
        <v>1000</v>
      </c>
      <c r="M265" s="5">
        <v>55</v>
      </c>
      <c r="N265" s="5">
        <v>31</v>
      </c>
      <c r="O265" s="6" t="s">
        <v>52</v>
      </c>
      <c r="P265" s="8"/>
      <c r="Q265" s="16">
        <v>4.9305555555555554E-2</v>
      </c>
      <c r="R265" s="16">
        <v>0.16928240740740741</v>
      </c>
      <c r="S265" s="6">
        <v>83513</v>
      </c>
      <c r="T265" s="16">
        <v>0.301875</v>
      </c>
      <c r="U265" s="16">
        <v>0.30269675925925926</v>
      </c>
      <c r="V265" s="6">
        <v>83537</v>
      </c>
      <c r="W265" s="6">
        <v>32</v>
      </c>
      <c r="X265" s="6">
        <v>32</v>
      </c>
      <c r="Y265" s="12">
        <v>0</v>
      </c>
      <c r="Z265" s="12">
        <v>24</v>
      </c>
      <c r="AA265" s="12">
        <v>24</v>
      </c>
      <c r="AB265" s="12">
        <v>0</v>
      </c>
      <c r="AC265" s="12">
        <v>0</v>
      </c>
      <c r="AD265" s="13">
        <v>0</v>
      </c>
      <c r="AE265" s="12">
        <v>0</v>
      </c>
      <c r="AF265" s="14">
        <v>0</v>
      </c>
      <c r="AG265" s="5">
        <v>0</v>
      </c>
      <c r="AH265" s="5">
        <v>0</v>
      </c>
      <c r="AI265" s="5">
        <v>0</v>
      </c>
      <c r="AJ265" s="5">
        <v>806.45</v>
      </c>
      <c r="AK265" s="5">
        <v>0</v>
      </c>
      <c r="AL265" s="5">
        <v>806.45</v>
      </c>
      <c r="AM265" s="8"/>
      <c r="AN265" s="8"/>
    </row>
    <row r="266" spans="1:40" ht="16" thickBot="1">
      <c r="A266" s="3">
        <v>265</v>
      </c>
      <c r="B266" s="19">
        <v>45942</v>
      </c>
      <c r="C266" s="5" t="s">
        <v>40</v>
      </c>
      <c r="D266" s="5" t="s">
        <v>41</v>
      </c>
      <c r="E266" s="6" t="s">
        <v>42</v>
      </c>
      <c r="F266" s="7" t="s">
        <v>70</v>
      </c>
      <c r="G266" s="5" t="s">
        <v>44</v>
      </c>
      <c r="H266" s="5" t="s">
        <v>45</v>
      </c>
      <c r="I266" s="5">
        <v>4</v>
      </c>
      <c r="J266" s="5">
        <v>8</v>
      </c>
      <c r="K266" s="5">
        <v>25000</v>
      </c>
      <c r="L266" s="5">
        <v>1000</v>
      </c>
      <c r="M266" s="5">
        <v>55</v>
      </c>
      <c r="N266" s="5">
        <v>31</v>
      </c>
      <c r="O266" s="6" t="s">
        <v>139</v>
      </c>
      <c r="P266" s="8"/>
      <c r="Q266" s="16">
        <v>9.2361111111111116E-2</v>
      </c>
      <c r="R266" s="16">
        <v>0.17510416666666664</v>
      </c>
      <c r="S266" s="6">
        <v>36661</v>
      </c>
      <c r="T266" s="16">
        <v>0.31260416666666663</v>
      </c>
      <c r="U266" s="16">
        <v>0.31274305555555554</v>
      </c>
      <c r="V266" s="6">
        <v>36691</v>
      </c>
      <c r="W266" s="6">
        <v>52</v>
      </c>
      <c r="X266" s="6">
        <v>52</v>
      </c>
      <c r="Y266" s="12">
        <v>0</v>
      </c>
      <c r="Z266" s="12">
        <v>30</v>
      </c>
      <c r="AA266" s="12">
        <v>30</v>
      </c>
      <c r="AB266" s="12">
        <v>0</v>
      </c>
      <c r="AC266" s="12">
        <v>0</v>
      </c>
      <c r="AD266" s="13">
        <v>0</v>
      </c>
      <c r="AE266" s="12">
        <v>0</v>
      </c>
      <c r="AF266" s="14">
        <v>0</v>
      </c>
      <c r="AG266" s="5">
        <v>0</v>
      </c>
      <c r="AH266" s="5">
        <v>0</v>
      </c>
      <c r="AI266" s="5">
        <v>0</v>
      </c>
      <c r="AJ266" s="5">
        <v>806.45</v>
      </c>
      <c r="AK266" s="5">
        <v>0</v>
      </c>
      <c r="AL266" s="5">
        <v>806.45</v>
      </c>
      <c r="AM266" s="8"/>
      <c r="AN266" s="8"/>
    </row>
    <row r="267" spans="1:40" ht="16" thickBot="1">
      <c r="A267" s="3">
        <v>266</v>
      </c>
      <c r="B267" s="19">
        <v>45942</v>
      </c>
      <c r="C267" s="5" t="s">
        <v>40</v>
      </c>
      <c r="D267" s="5" t="s">
        <v>41</v>
      </c>
      <c r="E267" s="6" t="s">
        <v>42</v>
      </c>
      <c r="F267" s="7" t="s">
        <v>72</v>
      </c>
      <c r="G267" s="5" t="s">
        <v>44</v>
      </c>
      <c r="H267" s="5" t="s">
        <v>45</v>
      </c>
      <c r="I267" s="5">
        <v>6</v>
      </c>
      <c r="J267" s="5">
        <v>8</v>
      </c>
      <c r="K267" s="5">
        <v>33000</v>
      </c>
      <c r="L267" s="5">
        <v>2000</v>
      </c>
      <c r="M267" s="5">
        <v>55</v>
      </c>
      <c r="N267" s="5">
        <v>31</v>
      </c>
      <c r="O267" s="6" t="s">
        <v>73</v>
      </c>
      <c r="P267" s="8"/>
      <c r="Q267" s="16">
        <v>8.3333333333333329E-2</v>
      </c>
      <c r="R267" s="16">
        <v>0.17969907407407407</v>
      </c>
      <c r="S267" s="6">
        <v>33190</v>
      </c>
      <c r="T267" s="16">
        <v>0.33497685185185189</v>
      </c>
      <c r="U267" s="16">
        <v>0.33519675925925929</v>
      </c>
      <c r="V267" s="6">
        <v>33269</v>
      </c>
      <c r="W267" s="6">
        <v>32</v>
      </c>
      <c r="X267" s="6">
        <v>32</v>
      </c>
      <c r="Y267" s="12">
        <v>0</v>
      </c>
      <c r="Z267" s="12">
        <v>79</v>
      </c>
      <c r="AA267" s="12">
        <v>79</v>
      </c>
      <c r="AB267" s="12">
        <v>0</v>
      </c>
      <c r="AC267" s="12">
        <v>0</v>
      </c>
      <c r="AD267" s="13">
        <v>0</v>
      </c>
      <c r="AE267" s="12">
        <v>0</v>
      </c>
      <c r="AF267" s="14">
        <v>0</v>
      </c>
      <c r="AG267" s="5">
        <v>0</v>
      </c>
      <c r="AH267" s="5">
        <v>0</v>
      </c>
      <c r="AI267" s="5">
        <v>0</v>
      </c>
      <c r="AJ267" s="5">
        <v>1064.52</v>
      </c>
      <c r="AK267" s="5">
        <v>0</v>
      </c>
      <c r="AL267" s="5">
        <v>1064.52</v>
      </c>
      <c r="AM267" s="8"/>
      <c r="AN267" s="8"/>
    </row>
    <row r="268" spans="1:40" ht="16" thickBot="1">
      <c r="A268" s="3">
        <v>267</v>
      </c>
      <c r="B268" s="19">
        <v>45942</v>
      </c>
      <c r="C268" s="5" t="s">
        <v>40</v>
      </c>
      <c r="D268" s="5" t="s">
        <v>41</v>
      </c>
      <c r="E268" s="6" t="s">
        <v>42</v>
      </c>
      <c r="F268" s="7" t="s">
        <v>74</v>
      </c>
      <c r="G268" s="5" t="s">
        <v>44</v>
      </c>
      <c r="H268" s="5" t="s">
        <v>45</v>
      </c>
      <c r="I268" s="5">
        <v>4</v>
      </c>
      <c r="J268" s="5">
        <v>8</v>
      </c>
      <c r="K268" s="5">
        <v>25000</v>
      </c>
      <c r="L268" s="5">
        <v>1000</v>
      </c>
      <c r="M268" s="5">
        <v>55</v>
      </c>
      <c r="N268" s="5">
        <v>31</v>
      </c>
      <c r="O268" s="6" t="s">
        <v>61</v>
      </c>
      <c r="P268" s="8"/>
      <c r="Q268" s="16">
        <v>0.12222222222222223</v>
      </c>
      <c r="R268" s="16">
        <v>0.17070601851851852</v>
      </c>
      <c r="S268" s="6">
        <v>38355</v>
      </c>
      <c r="T268" s="16">
        <v>0.30585648148148148</v>
      </c>
      <c r="U268" s="16">
        <v>0.30597222222222226</v>
      </c>
      <c r="V268" s="6">
        <v>38374</v>
      </c>
      <c r="W268" s="6">
        <v>45</v>
      </c>
      <c r="X268" s="6">
        <v>45</v>
      </c>
      <c r="Y268" s="12">
        <v>0</v>
      </c>
      <c r="Z268" s="12">
        <v>19</v>
      </c>
      <c r="AA268" s="12">
        <v>19</v>
      </c>
      <c r="AB268" s="12">
        <v>0</v>
      </c>
      <c r="AC268" s="12">
        <v>0</v>
      </c>
      <c r="AD268" s="13">
        <v>0</v>
      </c>
      <c r="AE268" s="12">
        <v>0</v>
      </c>
      <c r="AF268" s="14">
        <v>0</v>
      </c>
      <c r="AG268" s="5">
        <v>0</v>
      </c>
      <c r="AH268" s="5">
        <v>0</v>
      </c>
      <c r="AI268" s="5">
        <v>0</v>
      </c>
      <c r="AJ268" s="5">
        <v>806.45</v>
      </c>
      <c r="AK268" s="5">
        <v>0</v>
      </c>
      <c r="AL268" s="5">
        <v>806.45</v>
      </c>
      <c r="AM268" s="8"/>
      <c r="AN268" s="8"/>
    </row>
    <row r="269" spans="1:40" ht="16" thickBot="1">
      <c r="A269" s="3">
        <v>268</v>
      </c>
      <c r="B269" s="19">
        <v>45942</v>
      </c>
      <c r="C269" s="5" t="s">
        <v>40</v>
      </c>
      <c r="D269" s="5" t="s">
        <v>41</v>
      </c>
      <c r="E269" s="6" t="s">
        <v>42</v>
      </c>
      <c r="F269" s="7" t="s">
        <v>78</v>
      </c>
      <c r="G269" s="5" t="s">
        <v>44</v>
      </c>
      <c r="H269" s="5" t="s">
        <v>45</v>
      </c>
      <c r="I269" s="5">
        <v>4</v>
      </c>
      <c r="J269" s="5">
        <v>8</v>
      </c>
      <c r="K269" s="5">
        <v>25000</v>
      </c>
      <c r="L269" s="5">
        <v>1000</v>
      </c>
      <c r="M269" s="5">
        <v>55</v>
      </c>
      <c r="N269" s="5">
        <v>31</v>
      </c>
      <c r="O269" s="6" t="s">
        <v>100</v>
      </c>
      <c r="P269" s="8"/>
      <c r="Q269" s="16">
        <v>5.0694444444444452E-2</v>
      </c>
      <c r="R269" s="16">
        <v>0.16839120370370372</v>
      </c>
      <c r="S269" s="6">
        <v>7074</v>
      </c>
      <c r="T269" s="16">
        <v>0.37784722222222222</v>
      </c>
      <c r="U269" s="16">
        <v>0.37791666666666668</v>
      </c>
      <c r="V269" s="6">
        <v>7117</v>
      </c>
      <c r="W269" s="6">
        <v>63</v>
      </c>
      <c r="X269" s="6">
        <v>63</v>
      </c>
      <c r="Y269" s="12">
        <v>0</v>
      </c>
      <c r="Z269" s="12">
        <v>43</v>
      </c>
      <c r="AA269" s="12">
        <v>43</v>
      </c>
      <c r="AB269" s="12">
        <v>0</v>
      </c>
      <c r="AC269" s="12">
        <v>0</v>
      </c>
      <c r="AD269" s="13">
        <v>2</v>
      </c>
      <c r="AE269" s="12">
        <v>300</v>
      </c>
      <c r="AF269" s="14">
        <v>0</v>
      </c>
      <c r="AG269" s="5">
        <v>0</v>
      </c>
      <c r="AH269" s="5">
        <v>0</v>
      </c>
      <c r="AI269" s="5">
        <v>0</v>
      </c>
      <c r="AJ269" s="5">
        <v>1106.45</v>
      </c>
      <c r="AK269" s="5">
        <v>0</v>
      </c>
      <c r="AL269" s="5">
        <v>1106.45</v>
      </c>
      <c r="AM269" s="8"/>
      <c r="AN269" s="8"/>
    </row>
    <row r="270" spans="1:40" ht="16" thickBot="1">
      <c r="A270" s="3">
        <v>269</v>
      </c>
      <c r="B270" s="19">
        <v>45942</v>
      </c>
      <c r="C270" s="5" t="s">
        <v>40</v>
      </c>
      <c r="D270" s="5" t="s">
        <v>41</v>
      </c>
      <c r="E270" s="6" t="s">
        <v>42</v>
      </c>
      <c r="F270" s="7" t="s">
        <v>80</v>
      </c>
      <c r="G270" s="5" t="s">
        <v>44</v>
      </c>
      <c r="H270" s="5" t="s">
        <v>45</v>
      </c>
      <c r="I270" s="5">
        <v>4</v>
      </c>
      <c r="J270" s="5">
        <v>8</v>
      </c>
      <c r="K270" s="5">
        <v>25000</v>
      </c>
      <c r="L270" s="5">
        <v>1000</v>
      </c>
      <c r="M270" s="5">
        <v>55</v>
      </c>
      <c r="N270" s="5">
        <v>31</v>
      </c>
      <c r="O270" s="6" t="s">
        <v>104</v>
      </c>
      <c r="P270" s="8"/>
      <c r="Q270" s="16">
        <v>0.12291666666666667</v>
      </c>
      <c r="R270" s="16">
        <v>0.17133101851851851</v>
      </c>
      <c r="S270" s="6">
        <v>4626</v>
      </c>
      <c r="T270" s="16">
        <v>0.30802083333333335</v>
      </c>
      <c r="U270" s="16">
        <v>0.30866898148148147</v>
      </c>
      <c r="V270" s="6">
        <v>4647</v>
      </c>
      <c r="W270" s="6">
        <v>45</v>
      </c>
      <c r="X270" s="6">
        <v>45</v>
      </c>
      <c r="Y270" s="12">
        <v>0</v>
      </c>
      <c r="Z270" s="12">
        <v>21</v>
      </c>
      <c r="AA270" s="12">
        <v>21</v>
      </c>
      <c r="AB270" s="12">
        <v>0</v>
      </c>
      <c r="AC270" s="12">
        <v>0</v>
      </c>
      <c r="AD270" s="13">
        <v>0</v>
      </c>
      <c r="AE270" s="12">
        <v>0</v>
      </c>
      <c r="AF270" s="14">
        <v>0</v>
      </c>
      <c r="AG270" s="5">
        <v>0</v>
      </c>
      <c r="AH270" s="5">
        <v>0</v>
      </c>
      <c r="AI270" s="5">
        <v>0</v>
      </c>
      <c r="AJ270" s="5">
        <v>806.45</v>
      </c>
      <c r="AK270" s="5">
        <v>0</v>
      </c>
      <c r="AL270" s="5">
        <v>806.45</v>
      </c>
      <c r="AM270" s="8"/>
      <c r="AN270" s="8"/>
    </row>
    <row r="271" spans="1:40" ht="16" thickBot="1">
      <c r="A271" s="3">
        <v>270</v>
      </c>
      <c r="B271" s="19">
        <v>45942</v>
      </c>
      <c r="C271" s="5" t="s">
        <v>40</v>
      </c>
      <c r="D271" s="5" t="s">
        <v>41</v>
      </c>
      <c r="E271" s="6" t="s">
        <v>42</v>
      </c>
      <c r="F271" s="7" t="s">
        <v>105</v>
      </c>
      <c r="G271" s="5" t="s">
        <v>44</v>
      </c>
      <c r="H271" s="5" t="s">
        <v>45</v>
      </c>
      <c r="I271" s="5">
        <v>4</v>
      </c>
      <c r="J271" s="5">
        <v>8</v>
      </c>
      <c r="K271" s="5">
        <v>25000</v>
      </c>
      <c r="L271" s="5">
        <v>1000</v>
      </c>
      <c r="M271" s="5">
        <v>55</v>
      </c>
      <c r="N271" s="5">
        <v>31</v>
      </c>
      <c r="O271" s="6" t="s">
        <v>65</v>
      </c>
      <c r="P271" s="8"/>
      <c r="Q271" s="16">
        <v>8.4027777777777771E-2</v>
      </c>
      <c r="R271" s="16">
        <v>0.17488425925925924</v>
      </c>
      <c r="S271" s="6">
        <v>41332</v>
      </c>
      <c r="T271" s="16">
        <v>0.32618055555555553</v>
      </c>
      <c r="U271" s="16">
        <v>0.32633101851851848</v>
      </c>
      <c r="V271" s="6">
        <v>41361</v>
      </c>
      <c r="W271" s="6">
        <v>36</v>
      </c>
      <c r="X271" s="6">
        <v>36</v>
      </c>
      <c r="Y271" s="12">
        <v>0</v>
      </c>
      <c r="Z271" s="12">
        <v>29</v>
      </c>
      <c r="AA271" s="12">
        <v>29</v>
      </c>
      <c r="AB271" s="12">
        <v>0</v>
      </c>
      <c r="AC271" s="12">
        <v>0</v>
      </c>
      <c r="AD271" s="13">
        <v>0</v>
      </c>
      <c r="AE271" s="12">
        <v>0</v>
      </c>
      <c r="AF271" s="14">
        <v>0</v>
      </c>
      <c r="AG271" s="5">
        <v>0</v>
      </c>
      <c r="AH271" s="5">
        <v>0</v>
      </c>
      <c r="AI271" s="5">
        <v>0</v>
      </c>
      <c r="AJ271" s="5">
        <v>806.45</v>
      </c>
      <c r="AK271" s="5">
        <v>0</v>
      </c>
      <c r="AL271" s="5">
        <v>806.45</v>
      </c>
      <c r="AM271" s="8"/>
      <c r="AN271" s="8"/>
    </row>
    <row r="272" spans="1:40" ht="16" thickBot="1">
      <c r="A272" s="3">
        <v>271</v>
      </c>
      <c r="B272" s="19">
        <v>45942</v>
      </c>
      <c r="C272" s="5" t="s">
        <v>40</v>
      </c>
      <c r="D272" s="5" t="s">
        <v>41</v>
      </c>
      <c r="E272" s="6" t="s">
        <v>42</v>
      </c>
      <c r="F272" s="7" t="s">
        <v>85</v>
      </c>
      <c r="G272" s="10" t="s">
        <v>83</v>
      </c>
      <c r="H272" s="5" t="s">
        <v>84</v>
      </c>
      <c r="I272" s="5">
        <v>4</v>
      </c>
      <c r="J272" s="5">
        <v>10</v>
      </c>
      <c r="K272" s="6">
        <v>29000</v>
      </c>
      <c r="L272" s="5">
        <v>1000</v>
      </c>
      <c r="M272" s="5">
        <v>55</v>
      </c>
      <c r="N272" s="5">
        <v>31</v>
      </c>
      <c r="O272" s="6" t="s">
        <v>128</v>
      </c>
      <c r="P272" s="8"/>
      <c r="Q272" s="16">
        <v>5.7638888888888885E-2</v>
      </c>
      <c r="R272" s="16">
        <v>0.17672453703703703</v>
      </c>
      <c r="S272" s="6">
        <v>38577</v>
      </c>
      <c r="T272" s="16">
        <v>0.32570601851851849</v>
      </c>
      <c r="U272" s="16">
        <v>0.32576388888888891</v>
      </c>
      <c r="V272" s="6">
        <v>38606</v>
      </c>
      <c r="W272" s="6">
        <v>66</v>
      </c>
      <c r="X272" s="6">
        <v>66</v>
      </c>
      <c r="Y272" s="12">
        <v>0</v>
      </c>
      <c r="Z272" s="12">
        <v>29</v>
      </c>
      <c r="AA272" s="12">
        <v>29</v>
      </c>
      <c r="AB272" s="12">
        <v>0</v>
      </c>
      <c r="AC272" s="12">
        <v>0</v>
      </c>
      <c r="AD272" s="13">
        <v>0</v>
      </c>
      <c r="AE272" s="12">
        <v>0</v>
      </c>
      <c r="AF272" s="14">
        <v>0</v>
      </c>
      <c r="AG272" s="5">
        <v>0</v>
      </c>
      <c r="AH272" s="5">
        <v>0</v>
      </c>
      <c r="AI272" s="5">
        <v>0</v>
      </c>
      <c r="AJ272" s="5">
        <v>935.48</v>
      </c>
      <c r="AK272" s="5">
        <v>0</v>
      </c>
      <c r="AL272" s="5">
        <v>935.48</v>
      </c>
      <c r="AM272" s="8"/>
      <c r="AN272" s="8"/>
    </row>
    <row r="273" spans="1:40" ht="16" thickBot="1">
      <c r="A273" s="3">
        <v>272</v>
      </c>
      <c r="B273" s="19">
        <v>45942</v>
      </c>
      <c r="C273" s="5" t="s">
        <v>40</v>
      </c>
      <c r="D273" s="5" t="s">
        <v>41</v>
      </c>
      <c r="E273" s="6" t="s">
        <v>42</v>
      </c>
      <c r="F273" s="7" t="s">
        <v>87</v>
      </c>
      <c r="G273" s="10" t="s">
        <v>83</v>
      </c>
      <c r="H273" s="5" t="s">
        <v>84</v>
      </c>
      <c r="I273" s="5">
        <v>4</v>
      </c>
      <c r="J273" s="5">
        <v>10</v>
      </c>
      <c r="K273" s="6">
        <v>29000</v>
      </c>
      <c r="L273" s="5">
        <v>1000</v>
      </c>
      <c r="M273" s="5">
        <v>55</v>
      </c>
      <c r="N273" s="5">
        <v>31</v>
      </c>
      <c r="O273" s="6" t="s">
        <v>151</v>
      </c>
      <c r="P273" s="8"/>
      <c r="Q273" s="16">
        <v>0.11597222222222221</v>
      </c>
      <c r="R273" s="16">
        <v>0.17758101851851851</v>
      </c>
      <c r="S273" s="6">
        <v>3022</v>
      </c>
      <c r="T273" s="16">
        <v>0.33535879629629628</v>
      </c>
      <c r="U273" s="16">
        <v>0.3354166666666667</v>
      </c>
      <c r="V273" s="6">
        <v>3060</v>
      </c>
      <c r="W273" s="6">
        <v>60</v>
      </c>
      <c r="X273" s="6">
        <v>60</v>
      </c>
      <c r="Y273" s="12">
        <v>0</v>
      </c>
      <c r="Z273" s="12">
        <v>38</v>
      </c>
      <c r="AA273" s="12">
        <v>38</v>
      </c>
      <c r="AB273" s="12">
        <v>0</v>
      </c>
      <c r="AC273" s="12">
        <v>0</v>
      </c>
      <c r="AD273" s="13">
        <v>1</v>
      </c>
      <c r="AE273" s="12">
        <v>150</v>
      </c>
      <c r="AF273" s="14">
        <v>0</v>
      </c>
      <c r="AG273" s="5">
        <v>0</v>
      </c>
      <c r="AH273" s="5">
        <v>0</v>
      </c>
      <c r="AI273" s="5">
        <v>0</v>
      </c>
      <c r="AJ273" s="5">
        <v>1085.48</v>
      </c>
      <c r="AK273" s="5">
        <v>0</v>
      </c>
      <c r="AL273" s="5">
        <v>1085.48</v>
      </c>
      <c r="AM273" s="8"/>
      <c r="AN273" s="8"/>
    </row>
    <row r="274" spans="1:40" ht="16" thickBot="1">
      <c r="A274" s="3">
        <v>273</v>
      </c>
      <c r="B274" s="19">
        <v>45942</v>
      </c>
      <c r="C274" s="5" t="s">
        <v>40</v>
      </c>
      <c r="D274" s="5" t="s">
        <v>41</v>
      </c>
      <c r="E274" s="6" t="s">
        <v>42</v>
      </c>
      <c r="F274" s="7" t="s">
        <v>89</v>
      </c>
      <c r="G274" s="10" t="s">
        <v>83</v>
      </c>
      <c r="H274" s="5" t="s">
        <v>84</v>
      </c>
      <c r="I274" s="5">
        <v>4</v>
      </c>
      <c r="J274" s="5">
        <v>10</v>
      </c>
      <c r="K274" s="6">
        <v>29000</v>
      </c>
      <c r="L274" s="5">
        <v>1000</v>
      </c>
      <c r="M274" s="5">
        <v>55</v>
      </c>
      <c r="N274" s="5">
        <v>31</v>
      </c>
      <c r="O274" s="6" t="s">
        <v>168</v>
      </c>
      <c r="P274" s="8"/>
      <c r="Q274" s="16">
        <v>8.4027777777777771E-2</v>
      </c>
      <c r="R274" s="16">
        <v>0.16949074074074075</v>
      </c>
      <c r="S274" s="6">
        <v>139024</v>
      </c>
      <c r="T274" s="16">
        <v>0.34399305555555554</v>
      </c>
      <c r="U274" s="16">
        <v>0.34407407407407403</v>
      </c>
      <c r="V274" s="6">
        <v>139056</v>
      </c>
      <c r="W274" s="6">
        <v>70</v>
      </c>
      <c r="X274" s="6">
        <v>70</v>
      </c>
      <c r="Y274" s="12">
        <v>0</v>
      </c>
      <c r="Z274" s="12">
        <v>32</v>
      </c>
      <c r="AA274" s="12">
        <v>32</v>
      </c>
      <c r="AB274" s="12">
        <v>0</v>
      </c>
      <c r="AC274" s="12">
        <v>0</v>
      </c>
      <c r="AD274" s="13">
        <v>1</v>
      </c>
      <c r="AE274" s="12">
        <v>150</v>
      </c>
      <c r="AF274" s="14">
        <v>0</v>
      </c>
      <c r="AG274" s="5">
        <v>0</v>
      </c>
      <c r="AH274" s="5">
        <v>0</v>
      </c>
      <c r="AI274" s="5">
        <v>0</v>
      </c>
      <c r="AJ274" s="5">
        <v>1085.48</v>
      </c>
      <c r="AK274" s="5">
        <v>0</v>
      </c>
      <c r="AL274" s="5">
        <v>1085.48</v>
      </c>
      <c r="AM274" s="8"/>
      <c r="AN274" s="8"/>
    </row>
    <row r="275" spans="1:40" ht="16" thickBot="1">
      <c r="A275" s="3">
        <v>274</v>
      </c>
      <c r="B275" s="19">
        <v>45943</v>
      </c>
      <c r="C275" s="5" t="s">
        <v>40</v>
      </c>
      <c r="D275" s="5" t="s">
        <v>41</v>
      </c>
      <c r="E275" s="6" t="s">
        <v>42</v>
      </c>
      <c r="F275" s="7" t="s">
        <v>43</v>
      </c>
      <c r="G275" s="5" t="s">
        <v>44</v>
      </c>
      <c r="H275" s="5" t="s">
        <v>45</v>
      </c>
      <c r="I275" s="5">
        <v>4</v>
      </c>
      <c r="J275" s="5">
        <v>8</v>
      </c>
      <c r="K275" s="5">
        <v>25000</v>
      </c>
      <c r="L275" s="5">
        <v>1000</v>
      </c>
      <c r="M275" s="5">
        <v>55</v>
      </c>
      <c r="N275" s="5">
        <v>31</v>
      </c>
      <c r="O275" s="6" t="s">
        <v>46</v>
      </c>
      <c r="P275" s="8"/>
      <c r="Q275" s="16">
        <v>4.4444444444444446E-2</v>
      </c>
      <c r="R275" s="16">
        <v>0.1774189814814815</v>
      </c>
      <c r="S275" s="6">
        <v>56807</v>
      </c>
      <c r="T275" s="16">
        <v>0.29811342592592593</v>
      </c>
      <c r="U275" s="16">
        <v>0.29819444444444443</v>
      </c>
      <c r="V275" s="6">
        <v>56816</v>
      </c>
      <c r="W275" s="6">
        <v>50</v>
      </c>
      <c r="X275" s="6">
        <v>30</v>
      </c>
      <c r="Y275" s="12">
        <v>20</v>
      </c>
      <c r="Z275" s="12">
        <v>9</v>
      </c>
      <c r="AA275" s="12">
        <v>9</v>
      </c>
      <c r="AB275" s="12">
        <v>0</v>
      </c>
      <c r="AC275" s="12">
        <v>0</v>
      </c>
      <c r="AD275" s="13">
        <v>0</v>
      </c>
      <c r="AE275" s="12">
        <v>0</v>
      </c>
      <c r="AF275" s="14">
        <v>0</v>
      </c>
      <c r="AG275" s="5">
        <v>0</v>
      </c>
      <c r="AH275" s="5">
        <v>0</v>
      </c>
      <c r="AI275" s="5">
        <v>0</v>
      </c>
      <c r="AJ275" s="5">
        <v>806.45</v>
      </c>
      <c r="AK275" s="5">
        <v>0</v>
      </c>
      <c r="AL275" s="5">
        <v>806.45</v>
      </c>
      <c r="AM275" s="8"/>
      <c r="AN275" s="8"/>
    </row>
    <row r="276" spans="1:40" ht="16" thickBot="1">
      <c r="A276" s="3">
        <v>275</v>
      </c>
      <c r="B276" s="19">
        <v>45943</v>
      </c>
      <c r="C276" s="5" t="s">
        <v>40</v>
      </c>
      <c r="D276" s="5" t="s">
        <v>41</v>
      </c>
      <c r="E276" s="6" t="s">
        <v>42</v>
      </c>
      <c r="F276" s="7" t="s">
        <v>132</v>
      </c>
      <c r="G276" s="5" t="s">
        <v>44</v>
      </c>
      <c r="H276" s="5" t="s">
        <v>45</v>
      </c>
      <c r="I276" s="5">
        <v>4</v>
      </c>
      <c r="J276" s="5">
        <v>8</v>
      </c>
      <c r="K276" s="5">
        <v>25000</v>
      </c>
      <c r="L276" s="5">
        <v>1000</v>
      </c>
      <c r="M276" s="5">
        <v>55</v>
      </c>
      <c r="N276" s="5">
        <v>31</v>
      </c>
      <c r="O276" s="6" t="s">
        <v>169</v>
      </c>
      <c r="P276" s="8"/>
      <c r="Q276" s="16">
        <v>3.9583333333333331E-2</v>
      </c>
      <c r="R276" s="16">
        <v>0.18500000000000003</v>
      </c>
      <c r="S276" s="6">
        <v>110300</v>
      </c>
      <c r="T276" s="16">
        <v>0.29942129629629627</v>
      </c>
      <c r="U276" s="16">
        <v>0.29951388888888891</v>
      </c>
      <c r="V276" s="6">
        <v>110312</v>
      </c>
      <c r="W276" s="6">
        <v>24</v>
      </c>
      <c r="X276" s="6">
        <v>24</v>
      </c>
      <c r="Y276" s="12">
        <v>0</v>
      </c>
      <c r="Z276" s="12">
        <v>12</v>
      </c>
      <c r="AA276" s="12">
        <v>12</v>
      </c>
      <c r="AB276" s="12">
        <v>0</v>
      </c>
      <c r="AC276" s="12">
        <v>0</v>
      </c>
      <c r="AD276" s="13">
        <v>0</v>
      </c>
      <c r="AE276" s="12">
        <v>0</v>
      </c>
      <c r="AF276" s="14">
        <v>0</v>
      </c>
      <c r="AG276" s="5">
        <v>0</v>
      </c>
      <c r="AH276" s="5">
        <v>0</v>
      </c>
      <c r="AI276" s="5">
        <v>0</v>
      </c>
      <c r="AJ276" s="5">
        <v>806.45</v>
      </c>
      <c r="AK276" s="5">
        <v>0</v>
      </c>
      <c r="AL276" s="5">
        <v>806.45</v>
      </c>
      <c r="AM276" s="8"/>
      <c r="AN276" s="8"/>
    </row>
    <row r="277" spans="1:40" ht="16" thickBot="1">
      <c r="A277" s="3">
        <v>276</v>
      </c>
      <c r="B277" s="19">
        <v>45943</v>
      </c>
      <c r="C277" s="5" t="s">
        <v>40</v>
      </c>
      <c r="D277" s="5" t="s">
        <v>41</v>
      </c>
      <c r="E277" s="6" t="s">
        <v>42</v>
      </c>
      <c r="F277" s="7" t="s">
        <v>49</v>
      </c>
      <c r="G277" s="5" t="s">
        <v>44</v>
      </c>
      <c r="H277" s="5" t="s">
        <v>45</v>
      </c>
      <c r="I277" s="5">
        <v>6</v>
      </c>
      <c r="J277" s="5">
        <v>8</v>
      </c>
      <c r="K277" s="5">
        <v>33000</v>
      </c>
      <c r="L277" s="5">
        <v>2000</v>
      </c>
      <c r="M277" s="5">
        <v>55</v>
      </c>
      <c r="N277" s="5">
        <v>31</v>
      </c>
      <c r="O277" s="6" t="s">
        <v>50</v>
      </c>
      <c r="P277" s="8"/>
      <c r="Q277" s="16">
        <v>5.5555555555555552E-2</v>
      </c>
      <c r="R277" s="16">
        <v>0.17379629629629631</v>
      </c>
      <c r="S277" s="6">
        <v>99746</v>
      </c>
      <c r="T277" s="16">
        <v>0.32807870370370368</v>
      </c>
      <c r="U277" s="16">
        <v>0.32822916666666663</v>
      </c>
      <c r="V277" s="6">
        <v>99788</v>
      </c>
      <c r="W277" s="6">
        <v>84</v>
      </c>
      <c r="X277" s="6">
        <v>84</v>
      </c>
      <c r="Y277" s="12">
        <v>0</v>
      </c>
      <c r="Z277" s="12">
        <v>42</v>
      </c>
      <c r="AA277" s="12">
        <v>42</v>
      </c>
      <c r="AB277" s="12">
        <v>0</v>
      </c>
      <c r="AC277" s="12">
        <v>0</v>
      </c>
      <c r="AD277" s="13">
        <v>0</v>
      </c>
      <c r="AE277" s="12">
        <v>0</v>
      </c>
      <c r="AF277" s="14">
        <v>0</v>
      </c>
      <c r="AG277" s="5">
        <v>0</v>
      </c>
      <c r="AH277" s="5">
        <v>0</v>
      </c>
      <c r="AI277" s="5">
        <v>0</v>
      </c>
      <c r="AJ277" s="5">
        <v>1064.52</v>
      </c>
      <c r="AK277" s="5">
        <v>0</v>
      </c>
      <c r="AL277" s="5">
        <v>1064.52</v>
      </c>
      <c r="AM277" s="8"/>
      <c r="AN277" s="8"/>
    </row>
    <row r="278" spans="1:40" ht="16" thickBot="1">
      <c r="A278" s="3">
        <v>277</v>
      </c>
      <c r="B278" s="19">
        <v>45943</v>
      </c>
      <c r="C278" s="5" t="s">
        <v>40</v>
      </c>
      <c r="D278" s="5" t="s">
        <v>41</v>
      </c>
      <c r="E278" s="6" t="s">
        <v>42</v>
      </c>
      <c r="F278" s="7" t="s">
        <v>145</v>
      </c>
      <c r="G278" s="5" t="s">
        <v>44</v>
      </c>
      <c r="H278" s="5" t="s">
        <v>45</v>
      </c>
      <c r="I278" s="5">
        <v>4</v>
      </c>
      <c r="J278" s="5">
        <v>8</v>
      </c>
      <c r="K278" s="5">
        <v>25000</v>
      </c>
      <c r="L278" s="5">
        <v>1000</v>
      </c>
      <c r="M278" s="5">
        <v>55</v>
      </c>
      <c r="N278" s="5">
        <v>31</v>
      </c>
      <c r="O278" s="6" t="s">
        <v>127</v>
      </c>
      <c r="P278" s="8"/>
      <c r="Q278" s="16">
        <v>3.9583333333333331E-2</v>
      </c>
      <c r="R278" s="16">
        <v>0.18462962962962962</v>
      </c>
      <c r="S278" s="6">
        <v>37840</v>
      </c>
      <c r="T278" s="16">
        <v>0.28266203703703702</v>
      </c>
      <c r="U278" s="16">
        <v>0.28275462962962966</v>
      </c>
      <c r="V278" s="6">
        <v>37851</v>
      </c>
      <c r="W278" s="6">
        <v>50</v>
      </c>
      <c r="X278" s="6">
        <v>50</v>
      </c>
      <c r="Y278" s="12">
        <v>0</v>
      </c>
      <c r="Z278" s="12">
        <v>11</v>
      </c>
      <c r="AA278" s="12">
        <v>11</v>
      </c>
      <c r="AB278" s="12">
        <v>0</v>
      </c>
      <c r="AC278" s="12">
        <v>0</v>
      </c>
      <c r="AD278" s="13">
        <v>0</v>
      </c>
      <c r="AE278" s="12">
        <v>0</v>
      </c>
      <c r="AF278" s="14">
        <v>0</v>
      </c>
      <c r="AG278" s="5">
        <v>0</v>
      </c>
      <c r="AH278" s="5">
        <v>0</v>
      </c>
      <c r="AI278" s="5">
        <v>0</v>
      </c>
      <c r="AJ278" s="5">
        <v>806.45</v>
      </c>
      <c r="AK278" s="5">
        <v>0</v>
      </c>
      <c r="AL278" s="5">
        <v>806.45</v>
      </c>
      <c r="AM278" s="8"/>
      <c r="AN278" s="8"/>
    </row>
    <row r="279" spans="1:40" ht="16" thickBot="1">
      <c r="A279" s="3">
        <v>278</v>
      </c>
      <c r="B279" s="19">
        <v>45943</v>
      </c>
      <c r="C279" s="5" t="s">
        <v>40</v>
      </c>
      <c r="D279" s="5" t="s">
        <v>41</v>
      </c>
      <c r="E279" s="6" t="s">
        <v>42</v>
      </c>
      <c r="F279" s="7" t="s">
        <v>53</v>
      </c>
      <c r="G279" s="5" t="s">
        <v>44</v>
      </c>
      <c r="H279" s="5" t="s">
        <v>45</v>
      </c>
      <c r="I279" s="5">
        <v>4</v>
      </c>
      <c r="J279" s="5">
        <v>8</v>
      </c>
      <c r="K279" s="5">
        <v>25000</v>
      </c>
      <c r="L279" s="5">
        <v>1000</v>
      </c>
      <c r="M279" s="5">
        <v>55</v>
      </c>
      <c r="N279" s="5">
        <v>31</v>
      </c>
      <c r="O279" s="6" t="s">
        <v>52</v>
      </c>
      <c r="P279" s="8"/>
      <c r="Q279" s="16">
        <v>4.5833333333333337E-2</v>
      </c>
      <c r="R279" s="16">
        <v>0.17609953703703704</v>
      </c>
      <c r="S279" s="6">
        <v>11908</v>
      </c>
      <c r="T279" s="16">
        <v>0.31711805555555556</v>
      </c>
      <c r="U279" s="16">
        <v>0.31719907407407405</v>
      </c>
      <c r="V279" s="6">
        <v>11930</v>
      </c>
      <c r="W279" s="6">
        <v>52</v>
      </c>
      <c r="X279" s="6">
        <v>52</v>
      </c>
      <c r="Y279" s="12">
        <v>0</v>
      </c>
      <c r="Z279" s="12">
        <v>22</v>
      </c>
      <c r="AA279" s="12">
        <v>22</v>
      </c>
      <c r="AB279" s="12">
        <v>0</v>
      </c>
      <c r="AC279" s="12">
        <v>0</v>
      </c>
      <c r="AD279" s="13">
        <v>0</v>
      </c>
      <c r="AE279" s="12">
        <v>0</v>
      </c>
      <c r="AF279" s="14">
        <v>0</v>
      </c>
      <c r="AG279" s="5">
        <v>0</v>
      </c>
      <c r="AH279" s="5">
        <v>0</v>
      </c>
      <c r="AI279" s="5">
        <v>0</v>
      </c>
      <c r="AJ279" s="5">
        <v>806.45</v>
      </c>
      <c r="AK279" s="5">
        <v>0</v>
      </c>
      <c r="AL279" s="5">
        <v>806.45</v>
      </c>
      <c r="AM279" s="8"/>
      <c r="AN279" s="8"/>
    </row>
    <row r="280" spans="1:40" ht="16" thickBot="1">
      <c r="A280" s="3">
        <v>279</v>
      </c>
      <c r="B280" s="19">
        <v>45943</v>
      </c>
      <c r="C280" s="5" t="s">
        <v>40</v>
      </c>
      <c r="D280" s="5" t="s">
        <v>41</v>
      </c>
      <c r="E280" s="6" t="s">
        <v>42</v>
      </c>
      <c r="F280" s="7" t="s">
        <v>55</v>
      </c>
      <c r="G280" s="5" t="s">
        <v>44</v>
      </c>
      <c r="H280" s="5" t="s">
        <v>45</v>
      </c>
      <c r="I280" s="5">
        <v>4</v>
      </c>
      <c r="J280" s="5">
        <v>8</v>
      </c>
      <c r="K280" s="5">
        <v>25000</v>
      </c>
      <c r="L280" s="5">
        <v>1000</v>
      </c>
      <c r="M280" s="5">
        <v>55</v>
      </c>
      <c r="N280" s="5">
        <v>31</v>
      </c>
      <c r="O280" s="6" t="s">
        <v>56</v>
      </c>
      <c r="P280" s="8"/>
      <c r="Q280" s="16">
        <v>9.5833333333333326E-2</v>
      </c>
      <c r="R280" s="16">
        <v>0.17497685185185186</v>
      </c>
      <c r="S280" s="6">
        <v>145304</v>
      </c>
      <c r="T280" s="16">
        <v>0.29902777777777778</v>
      </c>
      <c r="U280" s="16">
        <v>0.2991435185185185</v>
      </c>
      <c r="V280" s="6">
        <v>145322</v>
      </c>
      <c r="W280" s="6">
        <v>31</v>
      </c>
      <c r="X280" s="6">
        <v>31</v>
      </c>
      <c r="Y280" s="12">
        <v>0</v>
      </c>
      <c r="Z280" s="12">
        <v>18</v>
      </c>
      <c r="AA280" s="12">
        <v>18</v>
      </c>
      <c r="AB280" s="12">
        <v>0</v>
      </c>
      <c r="AC280" s="12">
        <v>0</v>
      </c>
      <c r="AD280" s="13">
        <v>0</v>
      </c>
      <c r="AE280" s="12">
        <v>0</v>
      </c>
      <c r="AF280" s="14">
        <v>0</v>
      </c>
      <c r="AG280" s="5">
        <v>0</v>
      </c>
      <c r="AH280" s="5">
        <v>0</v>
      </c>
      <c r="AI280" s="5">
        <v>0</v>
      </c>
      <c r="AJ280" s="5">
        <v>806.45</v>
      </c>
      <c r="AK280" s="5">
        <v>0</v>
      </c>
      <c r="AL280" s="5">
        <v>806.45</v>
      </c>
      <c r="AM280" s="8"/>
      <c r="AN280" s="8"/>
    </row>
    <row r="281" spans="1:40" ht="16" thickBot="1">
      <c r="A281" s="3">
        <v>280</v>
      </c>
      <c r="B281" s="19">
        <v>45943</v>
      </c>
      <c r="C281" s="5" t="s">
        <v>40</v>
      </c>
      <c r="D281" s="5" t="s">
        <v>41</v>
      </c>
      <c r="E281" s="6" t="s">
        <v>42</v>
      </c>
      <c r="F281" s="7" t="s">
        <v>57</v>
      </c>
      <c r="G281" s="5" t="s">
        <v>44</v>
      </c>
      <c r="H281" s="5" t="s">
        <v>45</v>
      </c>
      <c r="I281" s="5">
        <v>4</v>
      </c>
      <c r="J281" s="5">
        <v>8</v>
      </c>
      <c r="K281" s="5">
        <v>25000</v>
      </c>
      <c r="L281" s="5">
        <v>1000</v>
      </c>
      <c r="M281" s="5">
        <v>55</v>
      </c>
      <c r="N281" s="5">
        <v>31</v>
      </c>
      <c r="O281" s="6" t="s">
        <v>102</v>
      </c>
      <c r="P281" s="8"/>
      <c r="Q281" s="16">
        <v>4.3055555555555562E-2</v>
      </c>
      <c r="R281" s="16">
        <v>0.17415509259259257</v>
      </c>
      <c r="S281" s="6">
        <v>143618</v>
      </c>
      <c r="T281" s="16">
        <v>0.34943287037037035</v>
      </c>
      <c r="U281" s="16">
        <v>0.34953703703703703</v>
      </c>
      <c r="V281" s="6">
        <v>143641</v>
      </c>
      <c r="W281" s="6">
        <v>55</v>
      </c>
      <c r="X281" s="6">
        <v>56</v>
      </c>
      <c r="Y281" s="12">
        <v>-1</v>
      </c>
      <c r="Z281" s="12">
        <v>23</v>
      </c>
      <c r="AA281" s="12">
        <v>23</v>
      </c>
      <c r="AB281" s="12">
        <v>0</v>
      </c>
      <c r="AC281" s="12">
        <v>0</v>
      </c>
      <c r="AD281" s="13">
        <v>1</v>
      </c>
      <c r="AE281" s="12">
        <v>150</v>
      </c>
      <c r="AF281" s="14">
        <v>0</v>
      </c>
      <c r="AG281" s="5">
        <v>0</v>
      </c>
      <c r="AH281" s="5">
        <v>0</v>
      </c>
      <c r="AI281" s="5">
        <v>0</v>
      </c>
      <c r="AJ281" s="5">
        <v>956.45</v>
      </c>
      <c r="AK281" s="5">
        <v>0</v>
      </c>
      <c r="AL281" s="5">
        <v>956.45</v>
      </c>
      <c r="AM281" s="8"/>
      <c r="AN281" s="8"/>
    </row>
    <row r="282" spans="1:40" ht="16" thickBot="1">
      <c r="A282" s="3">
        <v>281</v>
      </c>
      <c r="B282" s="19">
        <v>45943</v>
      </c>
      <c r="C282" s="5" t="s">
        <v>40</v>
      </c>
      <c r="D282" s="5" t="s">
        <v>41</v>
      </c>
      <c r="E282" s="6" t="s">
        <v>42</v>
      </c>
      <c r="F282" s="7" t="s">
        <v>60</v>
      </c>
      <c r="G282" s="5" t="s">
        <v>44</v>
      </c>
      <c r="H282" s="5" t="s">
        <v>45</v>
      </c>
      <c r="I282" s="5">
        <v>4</v>
      </c>
      <c r="J282" s="5">
        <v>8</v>
      </c>
      <c r="K282" s="5">
        <v>25000</v>
      </c>
      <c r="L282" s="5">
        <v>1000</v>
      </c>
      <c r="M282" s="5">
        <v>55</v>
      </c>
      <c r="N282" s="5">
        <v>31</v>
      </c>
      <c r="O282" s="6" t="s">
        <v>69</v>
      </c>
      <c r="P282" s="8"/>
      <c r="Q282" s="16">
        <v>4.5138888888888888E-2</v>
      </c>
      <c r="R282" s="16">
        <v>0.17475694444444445</v>
      </c>
      <c r="S282" s="6">
        <v>113078</v>
      </c>
      <c r="T282" s="16">
        <v>0.31121527777777774</v>
      </c>
      <c r="U282" s="16">
        <v>0.3112847222222222</v>
      </c>
      <c r="V282" s="6">
        <v>113094</v>
      </c>
      <c r="W282" s="6">
        <v>49</v>
      </c>
      <c r="X282" s="6">
        <v>49</v>
      </c>
      <c r="Y282" s="12">
        <v>0</v>
      </c>
      <c r="Z282" s="12">
        <v>16</v>
      </c>
      <c r="AA282" s="12">
        <v>16</v>
      </c>
      <c r="AB282" s="12">
        <v>0</v>
      </c>
      <c r="AC282" s="12">
        <v>0</v>
      </c>
      <c r="AD282" s="13">
        <v>0</v>
      </c>
      <c r="AE282" s="12">
        <v>0</v>
      </c>
      <c r="AF282" s="14">
        <v>0</v>
      </c>
      <c r="AG282" s="5">
        <v>0</v>
      </c>
      <c r="AH282" s="5">
        <v>0</v>
      </c>
      <c r="AI282" s="5">
        <v>0</v>
      </c>
      <c r="AJ282" s="5">
        <v>806.45</v>
      </c>
      <c r="AK282" s="5">
        <v>0</v>
      </c>
      <c r="AL282" s="5">
        <v>806.45</v>
      </c>
      <c r="AM282" s="8"/>
      <c r="AN282" s="8"/>
    </row>
    <row r="283" spans="1:40" ht="16" thickBot="1">
      <c r="A283" s="3">
        <v>282</v>
      </c>
      <c r="B283" s="19">
        <v>45943</v>
      </c>
      <c r="C283" s="5" t="s">
        <v>40</v>
      </c>
      <c r="D283" s="5" t="s">
        <v>41</v>
      </c>
      <c r="E283" s="6" t="s">
        <v>42</v>
      </c>
      <c r="F283" s="7" t="s">
        <v>97</v>
      </c>
      <c r="G283" s="5" t="s">
        <v>44</v>
      </c>
      <c r="H283" s="5" t="s">
        <v>45</v>
      </c>
      <c r="I283" s="5">
        <v>4</v>
      </c>
      <c r="J283" s="5">
        <v>8</v>
      </c>
      <c r="K283" s="5">
        <v>25000</v>
      </c>
      <c r="L283" s="5">
        <v>1000</v>
      </c>
      <c r="M283" s="5">
        <v>55</v>
      </c>
      <c r="N283" s="5">
        <v>31</v>
      </c>
      <c r="O283" s="6" t="s">
        <v>113</v>
      </c>
      <c r="P283" s="8"/>
      <c r="Q283" s="16">
        <v>5.8333333333333327E-2</v>
      </c>
      <c r="R283" s="16">
        <v>0.1859490740740741</v>
      </c>
      <c r="S283" s="6">
        <v>77929</v>
      </c>
      <c r="T283" s="16">
        <v>0.29458333333333336</v>
      </c>
      <c r="U283" s="16">
        <v>0.29469907407407409</v>
      </c>
      <c r="V283" s="6">
        <v>77938</v>
      </c>
      <c r="W283" s="6">
        <v>26</v>
      </c>
      <c r="X283" s="6">
        <v>26</v>
      </c>
      <c r="Y283" s="12">
        <v>0</v>
      </c>
      <c r="Z283" s="12">
        <v>9</v>
      </c>
      <c r="AA283" s="12">
        <v>9</v>
      </c>
      <c r="AB283" s="12">
        <v>0</v>
      </c>
      <c r="AC283" s="12">
        <v>0</v>
      </c>
      <c r="AD283" s="13">
        <v>0</v>
      </c>
      <c r="AE283" s="12">
        <v>0</v>
      </c>
      <c r="AF283" s="14">
        <v>0</v>
      </c>
      <c r="AG283" s="5">
        <v>0</v>
      </c>
      <c r="AH283" s="5">
        <v>0</v>
      </c>
      <c r="AI283" s="5">
        <v>0</v>
      </c>
      <c r="AJ283" s="5">
        <v>806.45</v>
      </c>
      <c r="AK283" s="5">
        <v>0</v>
      </c>
      <c r="AL283" s="5">
        <v>806.45</v>
      </c>
      <c r="AM283" s="8"/>
      <c r="AN283" s="8"/>
    </row>
    <row r="284" spans="1:40" ht="16" thickBot="1">
      <c r="A284" s="3">
        <v>283</v>
      </c>
      <c r="B284" s="19">
        <v>45943</v>
      </c>
      <c r="C284" s="5" t="s">
        <v>40</v>
      </c>
      <c r="D284" s="5" t="s">
        <v>41</v>
      </c>
      <c r="E284" s="6" t="s">
        <v>42</v>
      </c>
      <c r="F284" s="7" t="s">
        <v>62</v>
      </c>
      <c r="G284" s="5" t="s">
        <v>44</v>
      </c>
      <c r="H284" s="5" t="s">
        <v>45</v>
      </c>
      <c r="I284" s="5">
        <v>6</v>
      </c>
      <c r="J284" s="5">
        <v>8</v>
      </c>
      <c r="K284" s="5">
        <v>33000</v>
      </c>
      <c r="L284" s="5">
        <v>2000</v>
      </c>
      <c r="M284" s="5">
        <v>55</v>
      </c>
      <c r="N284" s="5">
        <v>31</v>
      </c>
      <c r="O284" s="6" t="s">
        <v>63</v>
      </c>
      <c r="P284" s="8"/>
      <c r="Q284" s="16">
        <v>0.11875000000000001</v>
      </c>
      <c r="R284" s="16">
        <v>0.17702546296296295</v>
      </c>
      <c r="S284" s="6">
        <v>47780</v>
      </c>
      <c r="T284" s="8"/>
      <c r="U284" s="8"/>
      <c r="V284" s="6">
        <v>47780</v>
      </c>
      <c r="W284" s="8"/>
      <c r="X284" s="6">
        <v>51</v>
      </c>
      <c r="Y284" s="12">
        <v>-51</v>
      </c>
      <c r="Z284" s="12">
        <v>0</v>
      </c>
      <c r="AA284" s="12">
        <v>0</v>
      </c>
      <c r="AB284" s="12">
        <v>0</v>
      </c>
      <c r="AC284" s="12">
        <v>0</v>
      </c>
      <c r="AD284" s="13">
        <v>0</v>
      </c>
      <c r="AE284" s="12">
        <v>0</v>
      </c>
      <c r="AF284" s="14">
        <v>0</v>
      </c>
      <c r="AG284" s="5">
        <v>0</v>
      </c>
      <c r="AH284" s="5">
        <v>0</v>
      </c>
      <c r="AI284" s="5">
        <v>0</v>
      </c>
      <c r="AJ284" s="5">
        <v>1064.52</v>
      </c>
      <c r="AK284" s="5">
        <v>0</v>
      </c>
      <c r="AL284" s="5">
        <v>1064.52</v>
      </c>
      <c r="AM284" s="8"/>
      <c r="AN284" s="8"/>
    </row>
    <row r="285" spans="1:40" ht="16" thickBot="1">
      <c r="A285" s="3">
        <v>284</v>
      </c>
      <c r="B285" s="19">
        <v>45943</v>
      </c>
      <c r="C285" s="5" t="s">
        <v>40</v>
      </c>
      <c r="D285" s="5" t="s">
        <v>41</v>
      </c>
      <c r="E285" s="6" t="s">
        <v>42</v>
      </c>
      <c r="F285" s="7" t="s">
        <v>99</v>
      </c>
      <c r="G285" s="5" t="s">
        <v>44</v>
      </c>
      <c r="H285" s="5" t="s">
        <v>45</v>
      </c>
      <c r="I285" s="5">
        <v>4</v>
      </c>
      <c r="J285" s="5">
        <v>8</v>
      </c>
      <c r="K285" s="5">
        <v>25000</v>
      </c>
      <c r="L285" s="5">
        <v>1000</v>
      </c>
      <c r="M285" s="5">
        <v>55</v>
      </c>
      <c r="N285" s="5">
        <v>31</v>
      </c>
      <c r="O285" s="6" t="s">
        <v>153</v>
      </c>
      <c r="P285" s="8"/>
      <c r="Q285" s="16">
        <v>4.7222222222222221E-2</v>
      </c>
      <c r="R285" s="16">
        <v>0.18283564814814815</v>
      </c>
      <c r="S285" s="6">
        <v>87452</v>
      </c>
      <c r="T285" s="8"/>
      <c r="U285" s="8"/>
      <c r="V285" s="6">
        <v>87452</v>
      </c>
      <c r="W285" s="8"/>
      <c r="X285" s="6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3">
        <v>0</v>
      </c>
      <c r="AE285" s="12">
        <v>0</v>
      </c>
      <c r="AF285" s="14">
        <v>0</v>
      </c>
      <c r="AG285" s="5">
        <v>0</v>
      </c>
      <c r="AH285" s="5">
        <v>0</v>
      </c>
      <c r="AI285" s="5">
        <v>0</v>
      </c>
      <c r="AJ285" s="5">
        <v>806.45</v>
      </c>
      <c r="AK285" s="5">
        <v>0</v>
      </c>
      <c r="AL285" s="5">
        <v>806.45</v>
      </c>
      <c r="AM285" s="8"/>
      <c r="AN285" s="8"/>
    </row>
    <row r="286" spans="1:40" ht="16" thickBot="1">
      <c r="A286" s="3">
        <v>285</v>
      </c>
      <c r="B286" s="19">
        <v>45943</v>
      </c>
      <c r="C286" s="5" t="s">
        <v>40</v>
      </c>
      <c r="D286" s="5" t="s">
        <v>41</v>
      </c>
      <c r="E286" s="6" t="s">
        <v>42</v>
      </c>
      <c r="F286" s="7" t="s">
        <v>101</v>
      </c>
      <c r="G286" s="5" t="s">
        <v>44</v>
      </c>
      <c r="H286" s="5" t="s">
        <v>45</v>
      </c>
      <c r="I286" s="5">
        <v>4</v>
      </c>
      <c r="J286" s="5">
        <v>8</v>
      </c>
      <c r="K286" s="5">
        <v>25000</v>
      </c>
      <c r="L286" s="5">
        <v>1000</v>
      </c>
      <c r="M286" s="5">
        <v>55</v>
      </c>
      <c r="N286" s="5">
        <v>31</v>
      </c>
      <c r="O286" s="6" t="s">
        <v>67</v>
      </c>
      <c r="P286" s="8"/>
      <c r="Q286" s="16">
        <v>0.10486111111111111</v>
      </c>
      <c r="R286" s="16">
        <v>0.18664351851851854</v>
      </c>
      <c r="S286" s="6">
        <v>118305</v>
      </c>
      <c r="T286" s="8"/>
      <c r="U286" s="8"/>
      <c r="V286" s="6">
        <v>118305</v>
      </c>
      <c r="W286" s="8"/>
      <c r="X286" s="6">
        <v>15</v>
      </c>
      <c r="Y286" s="12">
        <v>-15</v>
      </c>
      <c r="Z286" s="12">
        <v>0</v>
      </c>
      <c r="AA286" s="12">
        <v>0</v>
      </c>
      <c r="AB286" s="12">
        <v>0</v>
      </c>
      <c r="AC286" s="12">
        <v>0</v>
      </c>
      <c r="AD286" s="13">
        <v>0</v>
      </c>
      <c r="AE286" s="12">
        <v>0</v>
      </c>
      <c r="AF286" s="14">
        <v>0</v>
      </c>
      <c r="AG286" s="5">
        <v>0</v>
      </c>
      <c r="AH286" s="5">
        <v>0</v>
      </c>
      <c r="AI286" s="5">
        <v>0</v>
      </c>
      <c r="AJ286" s="5">
        <v>806.45</v>
      </c>
      <c r="AK286" s="5">
        <v>0</v>
      </c>
      <c r="AL286" s="5">
        <v>806.45</v>
      </c>
      <c r="AM286" s="8"/>
      <c r="AN286" s="8"/>
    </row>
    <row r="287" spans="1:40" ht="16" thickBot="1">
      <c r="A287" s="3">
        <v>286</v>
      </c>
      <c r="B287" s="19">
        <v>45943</v>
      </c>
      <c r="C287" s="5" t="s">
        <v>40</v>
      </c>
      <c r="D287" s="5" t="s">
        <v>41</v>
      </c>
      <c r="E287" s="6" t="s">
        <v>42</v>
      </c>
      <c r="F287" s="7" t="s">
        <v>68</v>
      </c>
      <c r="G287" s="5" t="s">
        <v>44</v>
      </c>
      <c r="H287" s="5" t="s">
        <v>45</v>
      </c>
      <c r="I287" s="5">
        <v>4</v>
      </c>
      <c r="J287" s="5">
        <v>8</v>
      </c>
      <c r="K287" s="5">
        <v>25000</v>
      </c>
      <c r="L287" s="5">
        <v>1000</v>
      </c>
      <c r="M287" s="5">
        <v>55</v>
      </c>
      <c r="N287" s="5">
        <v>31</v>
      </c>
      <c r="O287" s="6" t="s">
        <v>103</v>
      </c>
      <c r="P287" s="8"/>
      <c r="Q287" s="16">
        <v>4.4444444444444446E-2</v>
      </c>
      <c r="R287" s="16">
        <v>0.17456018518518521</v>
      </c>
      <c r="S287" s="6">
        <v>83623</v>
      </c>
      <c r="T287" s="16">
        <v>0.31146990740740738</v>
      </c>
      <c r="U287" s="16">
        <v>0.31152777777777779</v>
      </c>
      <c r="V287" s="6">
        <v>83641</v>
      </c>
      <c r="W287" s="6">
        <v>42</v>
      </c>
      <c r="X287" s="6">
        <v>42</v>
      </c>
      <c r="Y287" s="12">
        <v>0</v>
      </c>
      <c r="Z287" s="12">
        <v>18</v>
      </c>
      <c r="AA287" s="12">
        <v>18</v>
      </c>
      <c r="AB287" s="12">
        <v>0</v>
      </c>
      <c r="AC287" s="12">
        <v>0</v>
      </c>
      <c r="AD287" s="13">
        <v>0</v>
      </c>
      <c r="AE287" s="12">
        <v>0</v>
      </c>
      <c r="AF287" s="14">
        <v>0</v>
      </c>
      <c r="AG287" s="5">
        <v>0</v>
      </c>
      <c r="AH287" s="5">
        <v>0</v>
      </c>
      <c r="AI287" s="5">
        <v>0</v>
      </c>
      <c r="AJ287" s="5">
        <v>806.45</v>
      </c>
      <c r="AK287" s="5">
        <v>0</v>
      </c>
      <c r="AL287" s="5">
        <v>806.45</v>
      </c>
      <c r="AM287" s="8"/>
      <c r="AN287" s="8"/>
    </row>
    <row r="288" spans="1:40" ht="16" thickBot="1">
      <c r="A288" s="3">
        <v>287</v>
      </c>
      <c r="B288" s="19">
        <v>45943</v>
      </c>
      <c r="C288" s="5" t="s">
        <v>40</v>
      </c>
      <c r="D288" s="5" t="s">
        <v>41</v>
      </c>
      <c r="E288" s="6" t="s">
        <v>42</v>
      </c>
      <c r="F288" s="7" t="s">
        <v>72</v>
      </c>
      <c r="G288" s="5" t="s">
        <v>44</v>
      </c>
      <c r="H288" s="5" t="s">
        <v>45</v>
      </c>
      <c r="I288" s="5">
        <v>6</v>
      </c>
      <c r="J288" s="5">
        <v>8</v>
      </c>
      <c r="K288" s="5">
        <v>33000</v>
      </c>
      <c r="L288" s="5">
        <v>2000</v>
      </c>
      <c r="M288" s="5">
        <v>55</v>
      </c>
      <c r="N288" s="5">
        <v>31</v>
      </c>
      <c r="O288" s="6" t="s">
        <v>73</v>
      </c>
      <c r="P288" s="8"/>
      <c r="Q288" s="16">
        <v>5.0694444444444452E-2</v>
      </c>
      <c r="R288" s="16">
        <v>0.17685185185185184</v>
      </c>
      <c r="S288" s="6">
        <v>33319</v>
      </c>
      <c r="T288" s="16">
        <v>0.35604166666666665</v>
      </c>
      <c r="U288" s="16">
        <v>0.35609953703703701</v>
      </c>
      <c r="V288" s="6">
        <v>33400</v>
      </c>
      <c r="W288" s="6">
        <v>32</v>
      </c>
      <c r="X288" s="6">
        <v>32</v>
      </c>
      <c r="Y288" s="12">
        <v>0</v>
      </c>
      <c r="Z288" s="12">
        <v>81</v>
      </c>
      <c r="AA288" s="12">
        <v>81</v>
      </c>
      <c r="AB288" s="12">
        <v>0</v>
      </c>
      <c r="AC288" s="12">
        <v>0</v>
      </c>
      <c r="AD288" s="13">
        <v>0</v>
      </c>
      <c r="AE288" s="12">
        <v>0</v>
      </c>
      <c r="AF288" s="14">
        <v>0</v>
      </c>
      <c r="AG288" s="5">
        <v>0</v>
      </c>
      <c r="AH288" s="5">
        <v>0</v>
      </c>
      <c r="AI288" s="5">
        <v>0</v>
      </c>
      <c r="AJ288" s="5">
        <v>1064.52</v>
      </c>
      <c r="AK288" s="5">
        <v>0</v>
      </c>
      <c r="AL288" s="5">
        <v>1064.52</v>
      </c>
      <c r="AM288" s="8"/>
      <c r="AN288" s="8"/>
    </row>
    <row r="289" spans="1:40" ht="16" thickBot="1">
      <c r="A289" s="3">
        <v>288</v>
      </c>
      <c r="B289" s="19">
        <v>45943</v>
      </c>
      <c r="C289" s="5" t="s">
        <v>40</v>
      </c>
      <c r="D289" s="5" t="s">
        <v>41</v>
      </c>
      <c r="E289" s="6" t="s">
        <v>42</v>
      </c>
      <c r="F289" s="7" t="s">
        <v>74</v>
      </c>
      <c r="G289" s="5" t="s">
        <v>44</v>
      </c>
      <c r="H289" s="5" t="s">
        <v>45</v>
      </c>
      <c r="I289" s="5">
        <v>4</v>
      </c>
      <c r="J289" s="5">
        <v>8</v>
      </c>
      <c r="K289" s="5">
        <v>25000</v>
      </c>
      <c r="L289" s="5">
        <v>1000</v>
      </c>
      <c r="M289" s="5">
        <v>55</v>
      </c>
      <c r="N289" s="5">
        <v>31</v>
      </c>
      <c r="O289" s="6" t="s">
        <v>75</v>
      </c>
      <c r="P289" s="8"/>
      <c r="Q289" s="16">
        <v>4.5138888888888888E-2</v>
      </c>
      <c r="R289" s="16">
        <v>0.17629629629629628</v>
      </c>
      <c r="S289" s="6">
        <v>38384</v>
      </c>
      <c r="T289" s="16">
        <v>0.3153009259259259</v>
      </c>
      <c r="U289" s="16">
        <v>0.31540509259259258</v>
      </c>
      <c r="V289" s="6">
        <v>38399</v>
      </c>
      <c r="W289" s="6">
        <v>28</v>
      </c>
      <c r="X289" s="6">
        <v>38</v>
      </c>
      <c r="Y289" s="12">
        <v>-10</v>
      </c>
      <c r="Z289" s="12">
        <v>15</v>
      </c>
      <c r="AA289" s="12">
        <v>15</v>
      </c>
      <c r="AB289" s="12">
        <v>0</v>
      </c>
      <c r="AC289" s="12">
        <v>0</v>
      </c>
      <c r="AD289" s="13">
        <v>0</v>
      </c>
      <c r="AE289" s="12">
        <v>0</v>
      </c>
      <c r="AF289" s="14">
        <v>0</v>
      </c>
      <c r="AG289" s="5">
        <v>0</v>
      </c>
      <c r="AH289" s="5">
        <v>0</v>
      </c>
      <c r="AI289" s="5">
        <v>0</v>
      </c>
      <c r="AJ289" s="5">
        <v>806.45</v>
      </c>
      <c r="AK289" s="5">
        <v>0</v>
      </c>
      <c r="AL289" s="5">
        <v>806.45</v>
      </c>
      <c r="AM289" s="8"/>
      <c r="AN289" s="8"/>
    </row>
    <row r="290" spans="1:40" ht="16" thickBot="1">
      <c r="A290" s="3">
        <v>289</v>
      </c>
      <c r="B290" s="19">
        <v>45943</v>
      </c>
      <c r="C290" s="5" t="s">
        <v>40</v>
      </c>
      <c r="D290" s="5" t="s">
        <v>41</v>
      </c>
      <c r="E290" s="6" t="s">
        <v>42</v>
      </c>
      <c r="F290" s="7" t="s">
        <v>78</v>
      </c>
      <c r="G290" s="5" t="s">
        <v>44</v>
      </c>
      <c r="H290" s="5" t="s">
        <v>45</v>
      </c>
      <c r="I290" s="5">
        <v>4</v>
      </c>
      <c r="J290" s="5">
        <v>8</v>
      </c>
      <c r="K290" s="5">
        <v>25000</v>
      </c>
      <c r="L290" s="5">
        <v>1000</v>
      </c>
      <c r="M290" s="5">
        <v>55</v>
      </c>
      <c r="N290" s="5">
        <v>31</v>
      </c>
      <c r="O290" s="6" t="s">
        <v>79</v>
      </c>
      <c r="P290" s="8"/>
      <c r="Q290" s="16">
        <v>4.7222222222222221E-2</v>
      </c>
      <c r="R290" s="16">
        <v>0.18648148148148147</v>
      </c>
      <c r="S290" s="6">
        <v>7154</v>
      </c>
      <c r="T290" s="16">
        <v>0.34105324074074073</v>
      </c>
      <c r="U290" s="16">
        <v>0.34113425925925928</v>
      </c>
      <c r="V290" s="6">
        <v>7186</v>
      </c>
      <c r="W290" s="6">
        <v>40</v>
      </c>
      <c r="X290" s="6">
        <v>40</v>
      </c>
      <c r="Y290" s="12">
        <v>0</v>
      </c>
      <c r="Z290" s="12">
        <v>32</v>
      </c>
      <c r="AA290" s="12">
        <v>32</v>
      </c>
      <c r="AB290" s="12">
        <v>0</v>
      </c>
      <c r="AC290" s="12">
        <v>0</v>
      </c>
      <c r="AD290" s="13">
        <v>1</v>
      </c>
      <c r="AE290" s="12">
        <v>150</v>
      </c>
      <c r="AF290" s="14">
        <v>0</v>
      </c>
      <c r="AG290" s="5">
        <v>0</v>
      </c>
      <c r="AH290" s="5">
        <v>0</v>
      </c>
      <c r="AI290" s="5">
        <v>0</v>
      </c>
      <c r="AJ290" s="5">
        <v>956.45</v>
      </c>
      <c r="AK290" s="5">
        <v>0</v>
      </c>
      <c r="AL290" s="5">
        <v>956.45</v>
      </c>
      <c r="AM290" s="8"/>
      <c r="AN290" s="8"/>
    </row>
    <row r="291" spans="1:40" ht="16" thickBot="1">
      <c r="A291" s="3">
        <v>290</v>
      </c>
      <c r="B291" s="19">
        <v>45943</v>
      </c>
      <c r="C291" s="5" t="s">
        <v>40</v>
      </c>
      <c r="D291" s="5" t="s">
        <v>41</v>
      </c>
      <c r="E291" s="6" t="s">
        <v>42</v>
      </c>
      <c r="F291" s="7" t="s">
        <v>80</v>
      </c>
      <c r="G291" s="5" t="s">
        <v>44</v>
      </c>
      <c r="H291" s="5" t="s">
        <v>45</v>
      </c>
      <c r="I291" s="5">
        <v>4</v>
      </c>
      <c r="J291" s="5">
        <v>8</v>
      </c>
      <c r="K291" s="5">
        <v>25000</v>
      </c>
      <c r="L291" s="5">
        <v>1000</v>
      </c>
      <c r="M291" s="5">
        <v>55</v>
      </c>
      <c r="N291" s="5">
        <v>31</v>
      </c>
      <c r="O291" s="6" t="s">
        <v>170</v>
      </c>
      <c r="P291" s="8"/>
      <c r="Q291" s="16">
        <v>4.5138888888888888E-2</v>
      </c>
      <c r="R291" s="16">
        <v>0.17577546296296298</v>
      </c>
      <c r="S291" s="6">
        <v>4687</v>
      </c>
      <c r="T291" s="16">
        <v>0.31179398148148146</v>
      </c>
      <c r="U291" s="16">
        <v>0.3119675925925926</v>
      </c>
      <c r="V291" s="6">
        <v>4705</v>
      </c>
      <c r="W291" s="6">
        <v>42</v>
      </c>
      <c r="X291" s="6">
        <v>36</v>
      </c>
      <c r="Y291" s="12">
        <v>6</v>
      </c>
      <c r="Z291" s="12">
        <v>18</v>
      </c>
      <c r="AA291" s="12">
        <v>18</v>
      </c>
      <c r="AB291" s="12">
        <v>0</v>
      </c>
      <c r="AC291" s="12">
        <v>0</v>
      </c>
      <c r="AD291" s="13">
        <v>0</v>
      </c>
      <c r="AE291" s="12">
        <v>0</v>
      </c>
      <c r="AF291" s="14">
        <v>0</v>
      </c>
      <c r="AG291" s="5">
        <v>0</v>
      </c>
      <c r="AH291" s="5">
        <v>0</v>
      </c>
      <c r="AI291" s="5">
        <v>0</v>
      </c>
      <c r="AJ291" s="5">
        <v>806.45</v>
      </c>
      <c r="AK291" s="5">
        <v>0</v>
      </c>
      <c r="AL291" s="5">
        <v>806.45</v>
      </c>
      <c r="AM291" s="8"/>
      <c r="AN291" s="8"/>
    </row>
    <row r="292" spans="1:40" ht="16" thickBot="1">
      <c r="A292" s="3">
        <v>291</v>
      </c>
      <c r="B292" s="19">
        <v>45943</v>
      </c>
      <c r="C292" s="5" t="s">
        <v>40</v>
      </c>
      <c r="D292" s="5" t="s">
        <v>41</v>
      </c>
      <c r="E292" s="6" t="s">
        <v>42</v>
      </c>
      <c r="F292" s="7" t="s">
        <v>105</v>
      </c>
      <c r="G292" s="5" t="s">
        <v>44</v>
      </c>
      <c r="H292" s="5" t="s">
        <v>45</v>
      </c>
      <c r="I292" s="5">
        <v>4</v>
      </c>
      <c r="J292" s="5">
        <v>8</v>
      </c>
      <c r="K292" s="5">
        <v>25000</v>
      </c>
      <c r="L292" s="5">
        <v>1000</v>
      </c>
      <c r="M292" s="5">
        <v>55</v>
      </c>
      <c r="N292" s="5">
        <v>31</v>
      </c>
      <c r="O292" s="6" t="s">
        <v>115</v>
      </c>
      <c r="P292" s="8"/>
      <c r="Q292" s="16">
        <v>0.11666666666666665</v>
      </c>
      <c r="R292" s="16">
        <v>0.18013888888888888</v>
      </c>
      <c r="S292" s="6">
        <v>41381</v>
      </c>
      <c r="T292" s="16">
        <v>0.32906249999999998</v>
      </c>
      <c r="U292" s="16">
        <v>0.32927083333333335</v>
      </c>
      <c r="V292" s="6">
        <v>41395</v>
      </c>
      <c r="W292" s="6">
        <v>31</v>
      </c>
      <c r="X292" s="6">
        <v>31</v>
      </c>
      <c r="Y292" s="12">
        <v>0</v>
      </c>
      <c r="Z292" s="12">
        <v>14</v>
      </c>
      <c r="AA292" s="12">
        <v>14</v>
      </c>
      <c r="AB292" s="12">
        <v>0</v>
      </c>
      <c r="AC292" s="12">
        <v>0</v>
      </c>
      <c r="AD292" s="13">
        <v>0</v>
      </c>
      <c r="AE292" s="12">
        <v>0</v>
      </c>
      <c r="AF292" s="14">
        <v>0</v>
      </c>
      <c r="AG292" s="5">
        <v>0</v>
      </c>
      <c r="AH292" s="5">
        <v>0</v>
      </c>
      <c r="AI292" s="5">
        <v>0</v>
      </c>
      <c r="AJ292" s="5">
        <v>806.45</v>
      </c>
      <c r="AK292" s="5">
        <v>0</v>
      </c>
      <c r="AL292" s="5">
        <v>806.45</v>
      </c>
      <c r="AM292" s="8"/>
      <c r="AN292" s="8"/>
    </row>
    <row r="293" spans="1:40" ht="16" thickBot="1">
      <c r="A293" s="3">
        <v>292</v>
      </c>
      <c r="B293" s="19">
        <v>45943</v>
      </c>
      <c r="C293" s="5" t="s">
        <v>40</v>
      </c>
      <c r="D293" s="5" t="s">
        <v>41</v>
      </c>
      <c r="E293" s="6" t="s">
        <v>42</v>
      </c>
      <c r="F293" s="7" t="s">
        <v>82</v>
      </c>
      <c r="G293" s="10" t="s">
        <v>83</v>
      </c>
      <c r="H293" s="5" t="s">
        <v>84</v>
      </c>
      <c r="I293" s="5">
        <v>4</v>
      </c>
      <c r="J293" s="5">
        <v>10</v>
      </c>
      <c r="K293" s="6">
        <v>29000</v>
      </c>
      <c r="L293" s="5">
        <v>1000</v>
      </c>
      <c r="M293" s="5">
        <v>55</v>
      </c>
      <c r="N293" s="5">
        <v>31</v>
      </c>
      <c r="O293" s="6" t="s">
        <v>158</v>
      </c>
      <c r="P293" s="8"/>
      <c r="Q293" s="16">
        <v>0.11041666666666666</v>
      </c>
      <c r="R293" s="16">
        <v>0.18746527777777777</v>
      </c>
      <c r="S293" s="6">
        <v>32839</v>
      </c>
      <c r="T293" s="16">
        <v>0.35379629629629633</v>
      </c>
      <c r="U293" s="16">
        <v>0.35488425925925932</v>
      </c>
      <c r="V293" s="6">
        <v>32848</v>
      </c>
      <c r="W293" s="6">
        <v>43</v>
      </c>
      <c r="X293" s="6">
        <v>43</v>
      </c>
      <c r="Y293" s="12">
        <v>0</v>
      </c>
      <c r="Z293" s="12">
        <v>9</v>
      </c>
      <c r="AA293" s="12">
        <v>9</v>
      </c>
      <c r="AB293" s="12">
        <v>0</v>
      </c>
      <c r="AC293" s="12">
        <v>0</v>
      </c>
      <c r="AD293" s="13">
        <v>1</v>
      </c>
      <c r="AE293" s="12">
        <v>150</v>
      </c>
      <c r="AF293" s="14">
        <v>0</v>
      </c>
      <c r="AG293" s="5">
        <v>0</v>
      </c>
      <c r="AH293" s="5">
        <v>0</v>
      </c>
      <c r="AI293" s="5">
        <v>0</v>
      </c>
      <c r="AJ293" s="5">
        <v>1085.48</v>
      </c>
      <c r="AK293" s="5">
        <v>0</v>
      </c>
      <c r="AL293" s="5">
        <v>1085.48</v>
      </c>
      <c r="AM293" s="8"/>
      <c r="AN293" s="8"/>
    </row>
    <row r="294" spans="1:40" ht="16" thickBot="1">
      <c r="A294" s="3">
        <v>293</v>
      </c>
      <c r="B294" s="19">
        <v>45943</v>
      </c>
      <c r="C294" s="5" t="s">
        <v>40</v>
      </c>
      <c r="D294" s="5" t="s">
        <v>41</v>
      </c>
      <c r="E294" s="6" t="s">
        <v>42</v>
      </c>
      <c r="F294" s="7" t="s">
        <v>85</v>
      </c>
      <c r="G294" s="10" t="s">
        <v>83</v>
      </c>
      <c r="H294" s="5" t="s">
        <v>84</v>
      </c>
      <c r="I294" s="5">
        <v>4</v>
      </c>
      <c r="J294" s="5">
        <v>10</v>
      </c>
      <c r="K294" s="6">
        <v>29000</v>
      </c>
      <c r="L294" s="5">
        <v>1000</v>
      </c>
      <c r="M294" s="5">
        <v>55</v>
      </c>
      <c r="N294" s="5">
        <v>31</v>
      </c>
      <c r="O294" s="6" t="s">
        <v>130</v>
      </c>
      <c r="P294" s="8"/>
      <c r="Q294" s="16">
        <v>4.9305555555555554E-2</v>
      </c>
      <c r="R294" s="16">
        <v>0.18292824074074074</v>
      </c>
      <c r="S294" s="6">
        <v>38677</v>
      </c>
      <c r="T294" s="16">
        <v>0.35797453703703702</v>
      </c>
      <c r="U294" s="16">
        <v>0.35804398148148148</v>
      </c>
      <c r="V294" s="6">
        <v>38722</v>
      </c>
      <c r="W294" s="6">
        <v>30</v>
      </c>
      <c r="X294" s="6">
        <v>30</v>
      </c>
      <c r="Y294" s="12">
        <v>0</v>
      </c>
      <c r="Z294" s="12">
        <v>45</v>
      </c>
      <c r="AA294" s="12">
        <v>45</v>
      </c>
      <c r="AB294" s="12">
        <v>0</v>
      </c>
      <c r="AC294" s="12">
        <v>0</v>
      </c>
      <c r="AD294" s="13">
        <v>1</v>
      </c>
      <c r="AE294" s="12">
        <v>150</v>
      </c>
      <c r="AF294" s="14">
        <v>0</v>
      </c>
      <c r="AG294" s="5">
        <v>0</v>
      </c>
      <c r="AH294" s="5">
        <v>0</v>
      </c>
      <c r="AI294" s="5">
        <v>0</v>
      </c>
      <c r="AJ294" s="5">
        <v>1085.48</v>
      </c>
      <c r="AK294" s="5">
        <v>0</v>
      </c>
      <c r="AL294" s="5">
        <v>1085.48</v>
      </c>
      <c r="AM294" s="8"/>
      <c r="AN294" s="8"/>
    </row>
    <row r="295" spans="1:40" ht="16" thickBot="1">
      <c r="A295" s="3">
        <v>294</v>
      </c>
      <c r="B295" s="19">
        <v>45943</v>
      </c>
      <c r="C295" s="5" t="s">
        <v>40</v>
      </c>
      <c r="D295" s="5" t="s">
        <v>41</v>
      </c>
      <c r="E295" s="6" t="s">
        <v>42</v>
      </c>
      <c r="F295" s="7" t="s">
        <v>150</v>
      </c>
      <c r="G295" s="10" t="s">
        <v>83</v>
      </c>
      <c r="H295" s="5" t="s">
        <v>84</v>
      </c>
      <c r="I295" s="5">
        <v>4</v>
      </c>
      <c r="J295" s="5">
        <v>10</v>
      </c>
      <c r="K295" s="6">
        <v>29000</v>
      </c>
      <c r="L295" s="5">
        <v>1000</v>
      </c>
      <c r="M295" s="5">
        <v>55</v>
      </c>
      <c r="N295" s="5">
        <v>31</v>
      </c>
      <c r="O295" s="6" t="s">
        <v>125</v>
      </c>
      <c r="P295" s="8"/>
      <c r="Q295" s="16">
        <v>9.3055555555555558E-2</v>
      </c>
      <c r="R295" s="16">
        <v>0.1809375</v>
      </c>
      <c r="S295" s="6">
        <v>60420</v>
      </c>
      <c r="T295" s="16">
        <v>0.31212962962962965</v>
      </c>
      <c r="U295" s="16">
        <v>0.31222222222222223</v>
      </c>
      <c r="V295" s="6">
        <v>60453</v>
      </c>
      <c r="W295" s="6">
        <v>55</v>
      </c>
      <c r="X295" s="6">
        <v>55</v>
      </c>
      <c r="Y295" s="12">
        <v>0</v>
      </c>
      <c r="Z295" s="12">
        <v>33</v>
      </c>
      <c r="AA295" s="12">
        <v>33</v>
      </c>
      <c r="AB295" s="12">
        <v>0</v>
      </c>
      <c r="AC295" s="12">
        <v>0</v>
      </c>
      <c r="AD295" s="13">
        <v>0</v>
      </c>
      <c r="AE295" s="12">
        <v>0</v>
      </c>
      <c r="AF295" s="14">
        <v>0</v>
      </c>
      <c r="AG295" s="5">
        <v>0</v>
      </c>
      <c r="AH295" s="5">
        <v>0</v>
      </c>
      <c r="AI295" s="5">
        <v>0</v>
      </c>
      <c r="AJ295" s="5">
        <v>935.48</v>
      </c>
      <c r="AK295" s="5">
        <v>0</v>
      </c>
      <c r="AL295" s="5">
        <v>935.48</v>
      </c>
      <c r="AM295" s="8"/>
      <c r="AN295" s="8"/>
    </row>
    <row r="296" spans="1:40" ht="16" thickBot="1">
      <c r="A296" s="3">
        <v>295</v>
      </c>
      <c r="B296" s="19">
        <v>45943</v>
      </c>
      <c r="C296" s="5" t="s">
        <v>40</v>
      </c>
      <c r="D296" s="5" t="s">
        <v>41</v>
      </c>
      <c r="E296" s="6" t="s">
        <v>42</v>
      </c>
      <c r="F296" s="7" t="s">
        <v>87</v>
      </c>
      <c r="G296" s="10" t="s">
        <v>83</v>
      </c>
      <c r="H296" s="5" t="s">
        <v>84</v>
      </c>
      <c r="I296" s="5">
        <v>4</v>
      </c>
      <c r="J296" s="5">
        <v>10</v>
      </c>
      <c r="K296" s="6">
        <v>29000</v>
      </c>
      <c r="L296" s="5">
        <v>1000</v>
      </c>
      <c r="M296" s="5">
        <v>55</v>
      </c>
      <c r="N296" s="5">
        <v>31</v>
      </c>
      <c r="O296" s="6" t="s">
        <v>171</v>
      </c>
      <c r="P296" s="8"/>
      <c r="Q296" s="16">
        <v>0.12361111111111112</v>
      </c>
      <c r="R296" s="16">
        <v>0.17839120370370368</v>
      </c>
      <c r="S296" s="6">
        <v>3079</v>
      </c>
      <c r="T296" s="16">
        <v>0.36336805555555557</v>
      </c>
      <c r="U296" s="16">
        <v>0.36346064814814816</v>
      </c>
      <c r="V296" s="6">
        <v>3121</v>
      </c>
      <c r="W296" s="6">
        <v>65</v>
      </c>
      <c r="X296" s="6">
        <v>65</v>
      </c>
      <c r="Y296" s="12">
        <v>0</v>
      </c>
      <c r="Z296" s="12">
        <v>42</v>
      </c>
      <c r="AA296" s="12">
        <v>42</v>
      </c>
      <c r="AB296" s="12">
        <v>0</v>
      </c>
      <c r="AC296" s="12">
        <v>0</v>
      </c>
      <c r="AD296" s="13">
        <v>1</v>
      </c>
      <c r="AE296" s="12">
        <v>150</v>
      </c>
      <c r="AF296" s="14">
        <v>0</v>
      </c>
      <c r="AG296" s="5">
        <v>0</v>
      </c>
      <c r="AH296" s="5">
        <v>0</v>
      </c>
      <c r="AI296" s="5">
        <v>0</v>
      </c>
      <c r="AJ296" s="5">
        <v>1085.48</v>
      </c>
      <c r="AK296" s="5">
        <v>0</v>
      </c>
      <c r="AL296" s="5">
        <v>1085.48</v>
      </c>
      <c r="AM296" s="8"/>
      <c r="AN296" s="8"/>
    </row>
    <row r="297" spans="1:40" ht="16" thickBot="1">
      <c r="A297" s="3">
        <v>296</v>
      </c>
      <c r="B297" s="19">
        <v>45943</v>
      </c>
      <c r="C297" s="5" t="s">
        <v>40</v>
      </c>
      <c r="D297" s="5" t="s">
        <v>41</v>
      </c>
      <c r="E297" s="6" t="s">
        <v>42</v>
      </c>
      <c r="F297" s="7" t="s">
        <v>89</v>
      </c>
      <c r="G297" s="10" t="s">
        <v>83</v>
      </c>
      <c r="H297" s="5" t="s">
        <v>84</v>
      </c>
      <c r="I297" s="5">
        <v>4</v>
      </c>
      <c r="J297" s="5">
        <v>10</v>
      </c>
      <c r="K297" s="6">
        <v>29000</v>
      </c>
      <c r="L297" s="5">
        <v>1000</v>
      </c>
      <c r="M297" s="5">
        <v>55</v>
      </c>
      <c r="N297" s="5">
        <v>31</v>
      </c>
      <c r="O297" s="6" t="s">
        <v>107</v>
      </c>
      <c r="P297" s="8"/>
      <c r="Q297" s="16">
        <v>8.2638888888888887E-2</v>
      </c>
      <c r="R297" s="16">
        <v>0.18068287037037037</v>
      </c>
      <c r="S297" s="6">
        <v>139086</v>
      </c>
      <c r="T297" s="16">
        <v>0.31752314814814814</v>
      </c>
      <c r="U297" s="16">
        <v>0.31770833333333331</v>
      </c>
      <c r="V297" s="6">
        <v>139108</v>
      </c>
      <c r="W297" s="6">
        <v>39</v>
      </c>
      <c r="X297" s="6">
        <v>39</v>
      </c>
      <c r="Y297" s="12">
        <v>0</v>
      </c>
      <c r="Z297" s="12">
        <v>22</v>
      </c>
      <c r="AA297" s="12">
        <v>22</v>
      </c>
      <c r="AB297" s="12">
        <v>0</v>
      </c>
      <c r="AC297" s="12">
        <v>0</v>
      </c>
      <c r="AD297" s="13">
        <v>0</v>
      </c>
      <c r="AE297" s="12">
        <v>0</v>
      </c>
      <c r="AF297" s="14">
        <v>0</v>
      </c>
      <c r="AG297" s="5">
        <v>0</v>
      </c>
      <c r="AH297" s="5">
        <v>0</v>
      </c>
      <c r="AI297" s="5">
        <v>0</v>
      </c>
      <c r="AJ297" s="5">
        <v>935.48</v>
      </c>
      <c r="AK297" s="5">
        <v>0</v>
      </c>
      <c r="AL297" s="5">
        <v>935.48</v>
      </c>
      <c r="AM297" s="8"/>
      <c r="AN297" s="8"/>
    </row>
    <row r="298" spans="1:40" ht="16" thickBot="1">
      <c r="A298" s="3">
        <v>297</v>
      </c>
      <c r="B298" s="19">
        <v>45944</v>
      </c>
      <c r="C298" s="5" t="s">
        <v>40</v>
      </c>
      <c r="D298" s="5" t="s">
        <v>41</v>
      </c>
      <c r="E298" s="6" t="s">
        <v>42</v>
      </c>
      <c r="F298" s="7" t="s">
        <v>43</v>
      </c>
      <c r="G298" s="5" t="s">
        <v>44</v>
      </c>
      <c r="H298" s="5" t="s">
        <v>45</v>
      </c>
      <c r="I298" s="5">
        <v>4</v>
      </c>
      <c r="J298" s="5">
        <v>8</v>
      </c>
      <c r="K298" s="5">
        <v>25000</v>
      </c>
      <c r="L298" s="5">
        <v>1000</v>
      </c>
      <c r="M298" s="5">
        <v>55</v>
      </c>
      <c r="N298" s="5">
        <v>31</v>
      </c>
      <c r="O298" s="6" t="s">
        <v>46</v>
      </c>
      <c r="P298" s="8"/>
      <c r="Q298" s="16">
        <v>4.1666666666666664E-2</v>
      </c>
      <c r="R298" s="16">
        <v>0.16790509259259259</v>
      </c>
      <c r="S298" s="6">
        <v>56914</v>
      </c>
      <c r="T298" s="16">
        <v>0.29930555555555555</v>
      </c>
      <c r="U298" s="16">
        <v>0.29940972222222223</v>
      </c>
      <c r="V298" s="6">
        <v>56920</v>
      </c>
      <c r="W298" s="6">
        <v>45</v>
      </c>
      <c r="X298" s="6">
        <v>39</v>
      </c>
      <c r="Y298" s="12">
        <v>6</v>
      </c>
      <c r="Z298" s="12">
        <v>6</v>
      </c>
      <c r="AA298" s="12">
        <v>6</v>
      </c>
      <c r="AB298" s="12">
        <v>0</v>
      </c>
      <c r="AC298" s="12">
        <v>0</v>
      </c>
      <c r="AD298" s="13">
        <v>0</v>
      </c>
      <c r="AE298" s="12">
        <v>0</v>
      </c>
      <c r="AF298" s="14">
        <v>0</v>
      </c>
      <c r="AG298" s="5">
        <v>0</v>
      </c>
      <c r="AH298" s="5">
        <v>0</v>
      </c>
      <c r="AI298" s="5">
        <v>0</v>
      </c>
      <c r="AJ298" s="5">
        <v>806.45</v>
      </c>
      <c r="AK298" s="5">
        <v>0</v>
      </c>
      <c r="AL298" s="5">
        <v>806.45</v>
      </c>
      <c r="AM298" s="8"/>
      <c r="AN298" s="8"/>
    </row>
    <row r="299" spans="1:40" ht="16" thickBot="1">
      <c r="A299" s="3">
        <v>298</v>
      </c>
      <c r="B299" s="19">
        <v>45944</v>
      </c>
      <c r="C299" s="5" t="s">
        <v>40</v>
      </c>
      <c r="D299" s="5" t="s">
        <v>41</v>
      </c>
      <c r="E299" s="6" t="s">
        <v>42</v>
      </c>
      <c r="F299" s="7" t="s">
        <v>132</v>
      </c>
      <c r="G299" s="5" t="s">
        <v>44</v>
      </c>
      <c r="H299" s="5" t="s">
        <v>45</v>
      </c>
      <c r="I299" s="5">
        <v>4</v>
      </c>
      <c r="J299" s="5">
        <v>8</v>
      </c>
      <c r="K299" s="5">
        <v>25000</v>
      </c>
      <c r="L299" s="5">
        <v>1000</v>
      </c>
      <c r="M299" s="5">
        <v>55</v>
      </c>
      <c r="N299" s="5">
        <v>31</v>
      </c>
      <c r="O299" s="6" t="s">
        <v>172</v>
      </c>
      <c r="P299" s="8"/>
      <c r="Q299" s="16">
        <v>4.3750000000000004E-2</v>
      </c>
      <c r="R299" s="16">
        <v>0.17513888888888887</v>
      </c>
      <c r="S299" s="6">
        <v>110368</v>
      </c>
      <c r="T299" s="16">
        <v>0.30755787037037036</v>
      </c>
      <c r="U299" s="16">
        <v>0.30932870370370369</v>
      </c>
      <c r="V299" s="6">
        <v>110405</v>
      </c>
      <c r="W299" s="6">
        <v>38</v>
      </c>
      <c r="X299" s="6">
        <v>32</v>
      </c>
      <c r="Y299" s="12">
        <v>6</v>
      </c>
      <c r="Z299" s="12">
        <v>37</v>
      </c>
      <c r="AA299" s="12">
        <v>37</v>
      </c>
      <c r="AB299" s="12">
        <v>0</v>
      </c>
      <c r="AC299" s="12">
        <v>0</v>
      </c>
      <c r="AD299" s="13">
        <v>0</v>
      </c>
      <c r="AE299" s="12">
        <v>0</v>
      </c>
      <c r="AF299" s="14">
        <v>0</v>
      </c>
      <c r="AG299" s="5">
        <v>0</v>
      </c>
      <c r="AH299" s="5">
        <v>0</v>
      </c>
      <c r="AI299" s="5">
        <v>0</v>
      </c>
      <c r="AJ299" s="5">
        <v>806.45</v>
      </c>
      <c r="AK299" s="5">
        <v>0</v>
      </c>
      <c r="AL299" s="5">
        <v>806.45</v>
      </c>
      <c r="AM299" s="8"/>
      <c r="AN299" s="8"/>
    </row>
    <row r="300" spans="1:40" ht="16" thickBot="1">
      <c r="A300" s="3">
        <v>299</v>
      </c>
      <c r="B300" s="19">
        <v>45944</v>
      </c>
      <c r="C300" s="5" t="s">
        <v>40</v>
      </c>
      <c r="D300" s="5" t="s">
        <v>41</v>
      </c>
      <c r="E300" s="6" t="s">
        <v>42</v>
      </c>
      <c r="F300" s="7" t="s">
        <v>49</v>
      </c>
      <c r="G300" s="5" t="s">
        <v>44</v>
      </c>
      <c r="H300" s="5" t="s">
        <v>45</v>
      </c>
      <c r="I300" s="5">
        <v>6</v>
      </c>
      <c r="J300" s="5">
        <v>8</v>
      </c>
      <c r="K300" s="5">
        <v>33000</v>
      </c>
      <c r="L300" s="5">
        <v>2000</v>
      </c>
      <c r="M300" s="5">
        <v>55</v>
      </c>
      <c r="N300" s="5">
        <v>31</v>
      </c>
      <c r="O300" s="6" t="s">
        <v>91</v>
      </c>
      <c r="P300" s="8"/>
      <c r="Q300" s="16">
        <v>4.0972222222222222E-2</v>
      </c>
      <c r="R300" s="16">
        <v>0.17641203703703703</v>
      </c>
      <c r="S300" s="6">
        <v>99881</v>
      </c>
      <c r="T300" s="16">
        <v>0.33791666666666664</v>
      </c>
      <c r="U300" s="16">
        <v>0.33825231481481483</v>
      </c>
      <c r="V300" s="6">
        <v>99938</v>
      </c>
      <c r="W300" s="6">
        <v>70</v>
      </c>
      <c r="X300" s="6">
        <v>52</v>
      </c>
      <c r="Y300" s="12">
        <v>18</v>
      </c>
      <c r="Z300" s="12">
        <v>57</v>
      </c>
      <c r="AA300" s="12">
        <v>57</v>
      </c>
      <c r="AB300" s="12">
        <v>0</v>
      </c>
      <c r="AC300" s="12">
        <v>0</v>
      </c>
      <c r="AD300" s="13">
        <v>0</v>
      </c>
      <c r="AE300" s="12">
        <v>0</v>
      </c>
      <c r="AF300" s="14">
        <v>0</v>
      </c>
      <c r="AG300" s="5">
        <v>0</v>
      </c>
      <c r="AH300" s="5">
        <v>0</v>
      </c>
      <c r="AI300" s="5">
        <v>0</v>
      </c>
      <c r="AJ300" s="5">
        <v>1064.52</v>
      </c>
      <c r="AK300" s="5">
        <v>0</v>
      </c>
      <c r="AL300" s="5">
        <v>1064.52</v>
      </c>
      <c r="AM300" s="8"/>
      <c r="AN300" s="8"/>
    </row>
    <row r="301" spans="1:40" ht="16" thickBot="1">
      <c r="A301" s="3">
        <v>300</v>
      </c>
      <c r="B301" s="19">
        <v>45944</v>
      </c>
      <c r="C301" s="5" t="s">
        <v>40</v>
      </c>
      <c r="D301" s="5" t="s">
        <v>41</v>
      </c>
      <c r="E301" s="6" t="s">
        <v>42</v>
      </c>
      <c r="F301" s="7" t="s">
        <v>145</v>
      </c>
      <c r="G301" s="5" t="s">
        <v>44</v>
      </c>
      <c r="H301" s="5" t="s">
        <v>45</v>
      </c>
      <c r="I301" s="5">
        <v>4</v>
      </c>
      <c r="J301" s="5">
        <v>8</v>
      </c>
      <c r="K301" s="5">
        <v>25000</v>
      </c>
      <c r="L301" s="5">
        <v>1000</v>
      </c>
      <c r="M301" s="5">
        <v>55</v>
      </c>
      <c r="N301" s="5">
        <v>31</v>
      </c>
      <c r="O301" s="6" t="s">
        <v>127</v>
      </c>
      <c r="P301" s="8"/>
      <c r="Q301" s="16">
        <v>4.0972222222222222E-2</v>
      </c>
      <c r="R301" s="16">
        <v>0.17451388888888889</v>
      </c>
      <c r="S301" s="6">
        <v>37980</v>
      </c>
      <c r="T301" s="16">
        <v>0.30039351851851853</v>
      </c>
      <c r="U301" s="16">
        <v>0.30048611111111112</v>
      </c>
      <c r="V301" s="6">
        <v>37990</v>
      </c>
      <c r="W301" s="6">
        <v>53</v>
      </c>
      <c r="X301" s="6">
        <v>53</v>
      </c>
      <c r="Y301" s="12">
        <v>0</v>
      </c>
      <c r="Z301" s="12">
        <v>10</v>
      </c>
      <c r="AA301" s="12">
        <v>10</v>
      </c>
      <c r="AB301" s="12">
        <v>0</v>
      </c>
      <c r="AC301" s="12">
        <v>0</v>
      </c>
      <c r="AD301" s="13">
        <v>0</v>
      </c>
      <c r="AE301" s="12">
        <v>0</v>
      </c>
      <c r="AF301" s="14">
        <v>0</v>
      </c>
      <c r="AG301" s="5">
        <v>0</v>
      </c>
      <c r="AH301" s="5">
        <v>0</v>
      </c>
      <c r="AI301" s="5">
        <v>0</v>
      </c>
      <c r="AJ301" s="5">
        <v>806.45</v>
      </c>
      <c r="AK301" s="5">
        <v>0</v>
      </c>
      <c r="AL301" s="5">
        <v>806.45</v>
      </c>
      <c r="AM301" s="8"/>
      <c r="AN301" s="8"/>
    </row>
    <row r="302" spans="1:40" ht="16" thickBot="1">
      <c r="A302" s="3">
        <v>301</v>
      </c>
      <c r="B302" s="19">
        <v>45944</v>
      </c>
      <c r="C302" s="5" t="s">
        <v>40</v>
      </c>
      <c r="D302" s="5" t="s">
        <v>41</v>
      </c>
      <c r="E302" s="6" t="s">
        <v>42</v>
      </c>
      <c r="F302" s="7" t="s">
        <v>53</v>
      </c>
      <c r="G302" s="5" t="s">
        <v>44</v>
      </c>
      <c r="H302" s="5" t="s">
        <v>45</v>
      </c>
      <c r="I302" s="5">
        <v>4</v>
      </c>
      <c r="J302" s="5">
        <v>8</v>
      </c>
      <c r="K302" s="5">
        <v>25000</v>
      </c>
      <c r="L302" s="5">
        <v>1000</v>
      </c>
      <c r="M302" s="5">
        <v>55</v>
      </c>
      <c r="N302" s="5">
        <v>31</v>
      </c>
      <c r="O302" s="6" t="s">
        <v>81</v>
      </c>
      <c r="P302" s="8"/>
      <c r="Q302" s="16">
        <v>0.1013888888888889</v>
      </c>
      <c r="R302" s="16">
        <v>0.1732060185185185</v>
      </c>
      <c r="S302" s="6">
        <v>12089</v>
      </c>
      <c r="T302" s="16">
        <v>0.35187499999999999</v>
      </c>
      <c r="U302" s="16">
        <v>0.35206018518518517</v>
      </c>
      <c r="V302" s="6">
        <v>12107</v>
      </c>
      <c r="W302" s="6">
        <v>34</v>
      </c>
      <c r="X302" s="6">
        <v>42</v>
      </c>
      <c r="Y302" s="12">
        <v>-8</v>
      </c>
      <c r="Z302" s="12">
        <v>18</v>
      </c>
      <c r="AA302" s="12">
        <v>18</v>
      </c>
      <c r="AB302" s="12">
        <v>0</v>
      </c>
      <c r="AC302" s="12">
        <v>0</v>
      </c>
      <c r="AD302" s="13">
        <v>1</v>
      </c>
      <c r="AE302" s="12">
        <v>150</v>
      </c>
      <c r="AF302" s="14">
        <v>0</v>
      </c>
      <c r="AG302" s="5">
        <v>0</v>
      </c>
      <c r="AH302" s="5">
        <v>0</v>
      </c>
      <c r="AI302" s="5">
        <v>0</v>
      </c>
      <c r="AJ302" s="5">
        <v>956.45</v>
      </c>
      <c r="AK302" s="5">
        <v>0</v>
      </c>
      <c r="AL302" s="5">
        <v>956.45</v>
      </c>
      <c r="AM302" s="8"/>
      <c r="AN302" s="8"/>
    </row>
    <row r="303" spans="1:40" ht="16" thickBot="1">
      <c r="A303" s="3">
        <v>302</v>
      </c>
      <c r="B303" s="19">
        <v>45944</v>
      </c>
      <c r="C303" s="5" t="s">
        <v>40</v>
      </c>
      <c r="D303" s="5" t="s">
        <v>41</v>
      </c>
      <c r="E303" s="6" t="s">
        <v>42</v>
      </c>
      <c r="F303" s="7" t="s">
        <v>120</v>
      </c>
      <c r="G303" s="5" t="s">
        <v>44</v>
      </c>
      <c r="H303" s="5" t="s">
        <v>45</v>
      </c>
      <c r="I303" s="5">
        <v>4</v>
      </c>
      <c r="J303" s="5">
        <v>8</v>
      </c>
      <c r="K303" s="5">
        <v>25000</v>
      </c>
      <c r="L303" s="5">
        <v>1000</v>
      </c>
      <c r="M303" s="5">
        <v>55</v>
      </c>
      <c r="N303" s="5">
        <v>31</v>
      </c>
      <c r="O303" s="6" t="s">
        <v>173</v>
      </c>
      <c r="P303" s="8"/>
      <c r="Q303" s="16">
        <v>8.4027777777777771E-2</v>
      </c>
      <c r="R303" s="16">
        <v>0.1696064814814815</v>
      </c>
      <c r="S303" s="6">
        <v>15041</v>
      </c>
      <c r="T303" s="16">
        <v>0.34381944444444446</v>
      </c>
      <c r="U303" s="16">
        <v>0.34388888888888891</v>
      </c>
      <c r="V303" s="6">
        <v>15070</v>
      </c>
      <c r="W303" s="6">
        <v>37</v>
      </c>
      <c r="X303" s="6">
        <v>48</v>
      </c>
      <c r="Y303" s="12">
        <v>-11</v>
      </c>
      <c r="Z303" s="12">
        <v>29</v>
      </c>
      <c r="AA303" s="12">
        <v>29</v>
      </c>
      <c r="AB303" s="12">
        <v>0</v>
      </c>
      <c r="AC303" s="12">
        <v>0</v>
      </c>
      <c r="AD303" s="13">
        <v>1</v>
      </c>
      <c r="AE303" s="12">
        <v>150</v>
      </c>
      <c r="AF303" s="14">
        <v>0</v>
      </c>
      <c r="AG303" s="5">
        <v>0</v>
      </c>
      <c r="AH303" s="5">
        <v>0</v>
      </c>
      <c r="AI303" s="5">
        <v>0</v>
      </c>
      <c r="AJ303" s="5">
        <v>956.45</v>
      </c>
      <c r="AK303" s="5">
        <v>0</v>
      </c>
      <c r="AL303" s="5">
        <v>956.45</v>
      </c>
      <c r="AM303" s="8"/>
      <c r="AN303" s="8"/>
    </row>
    <row r="304" spans="1:40" ht="16" thickBot="1">
      <c r="A304" s="3">
        <v>303</v>
      </c>
      <c r="B304" s="19">
        <v>45944</v>
      </c>
      <c r="C304" s="5" t="s">
        <v>40</v>
      </c>
      <c r="D304" s="5" t="s">
        <v>41</v>
      </c>
      <c r="E304" s="6" t="s">
        <v>42</v>
      </c>
      <c r="F304" s="7" t="s">
        <v>57</v>
      </c>
      <c r="G304" s="5" t="s">
        <v>44</v>
      </c>
      <c r="H304" s="5" t="s">
        <v>45</v>
      </c>
      <c r="I304" s="5">
        <v>4</v>
      </c>
      <c r="J304" s="5">
        <v>8</v>
      </c>
      <c r="K304" s="5">
        <v>25000</v>
      </c>
      <c r="L304" s="5">
        <v>1000</v>
      </c>
      <c r="M304" s="5">
        <v>55</v>
      </c>
      <c r="N304" s="5">
        <v>31</v>
      </c>
      <c r="O304" s="6" t="s">
        <v>58</v>
      </c>
      <c r="P304" s="8"/>
      <c r="Q304" s="16">
        <v>6.1805555555555558E-2</v>
      </c>
      <c r="R304" s="16">
        <v>0.17381944444444444</v>
      </c>
      <c r="S304" s="6">
        <v>143846</v>
      </c>
      <c r="T304" s="16">
        <v>0.30068287037037039</v>
      </c>
      <c r="U304" s="16">
        <v>0.30078703703703702</v>
      </c>
      <c r="V304" s="6">
        <v>143872</v>
      </c>
      <c r="W304" s="6">
        <v>30</v>
      </c>
      <c r="X304" s="6">
        <v>55</v>
      </c>
      <c r="Y304" s="12">
        <v>-25</v>
      </c>
      <c r="Z304" s="12">
        <v>26</v>
      </c>
      <c r="AA304" s="12">
        <v>26</v>
      </c>
      <c r="AB304" s="12">
        <v>0</v>
      </c>
      <c r="AC304" s="12">
        <v>0</v>
      </c>
      <c r="AD304" s="13">
        <v>0</v>
      </c>
      <c r="AE304" s="12">
        <v>0</v>
      </c>
      <c r="AF304" s="14">
        <v>0</v>
      </c>
      <c r="AG304" s="5">
        <v>0</v>
      </c>
      <c r="AH304" s="5">
        <v>0</v>
      </c>
      <c r="AI304" s="5">
        <v>0</v>
      </c>
      <c r="AJ304" s="5">
        <v>806.45</v>
      </c>
      <c r="AK304" s="5">
        <v>0</v>
      </c>
      <c r="AL304" s="5">
        <v>806.45</v>
      </c>
      <c r="AM304" s="8"/>
      <c r="AN304" s="8"/>
    </row>
    <row r="305" spans="1:40" ht="16" thickBot="1">
      <c r="A305" s="3">
        <v>304</v>
      </c>
      <c r="B305" s="19">
        <v>45944</v>
      </c>
      <c r="C305" s="5" t="s">
        <v>40</v>
      </c>
      <c r="D305" s="5" t="s">
        <v>41</v>
      </c>
      <c r="E305" s="6" t="s">
        <v>42</v>
      </c>
      <c r="F305" s="7" t="s">
        <v>59</v>
      </c>
      <c r="G305" s="5" t="s">
        <v>44</v>
      </c>
      <c r="H305" s="5" t="s">
        <v>45</v>
      </c>
      <c r="I305" s="5">
        <v>4</v>
      </c>
      <c r="J305" s="5">
        <v>8</v>
      </c>
      <c r="K305" s="5">
        <v>25000</v>
      </c>
      <c r="L305" s="5">
        <v>1000</v>
      </c>
      <c r="M305" s="5">
        <v>55</v>
      </c>
      <c r="N305" s="5">
        <v>31</v>
      </c>
      <c r="O305" s="6" t="s">
        <v>138</v>
      </c>
      <c r="P305" s="8"/>
      <c r="Q305" s="16">
        <v>0.12916666666666668</v>
      </c>
      <c r="R305" s="16">
        <v>0.17281250000000001</v>
      </c>
      <c r="S305" s="6">
        <v>159206</v>
      </c>
      <c r="T305" s="16">
        <v>0.31621527777777775</v>
      </c>
      <c r="U305" s="16">
        <v>0.31648148148148147</v>
      </c>
      <c r="V305" s="6">
        <v>159234</v>
      </c>
      <c r="W305" s="6">
        <v>38</v>
      </c>
      <c r="X305" s="6">
        <v>33</v>
      </c>
      <c r="Y305" s="12">
        <v>5</v>
      </c>
      <c r="Z305" s="12">
        <v>28</v>
      </c>
      <c r="AA305" s="12">
        <v>28</v>
      </c>
      <c r="AB305" s="12">
        <v>0</v>
      </c>
      <c r="AC305" s="12">
        <v>0</v>
      </c>
      <c r="AD305" s="13">
        <v>0</v>
      </c>
      <c r="AE305" s="12">
        <v>0</v>
      </c>
      <c r="AF305" s="14">
        <v>0</v>
      </c>
      <c r="AG305" s="5">
        <v>0</v>
      </c>
      <c r="AH305" s="5">
        <v>0</v>
      </c>
      <c r="AI305" s="5">
        <v>0</v>
      </c>
      <c r="AJ305" s="5">
        <v>806.45</v>
      </c>
      <c r="AK305" s="5">
        <v>0</v>
      </c>
      <c r="AL305" s="5">
        <v>806.45</v>
      </c>
      <c r="AM305" s="8"/>
      <c r="AN305" s="8"/>
    </row>
    <row r="306" spans="1:40" ht="16" thickBot="1">
      <c r="A306" s="3">
        <v>305</v>
      </c>
      <c r="B306" s="19">
        <v>45944</v>
      </c>
      <c r="C306" s="5" t="s">
        <v>40</v>
      </c>
      <c r="D306" s="5" t="s">
        <v>41</v>
      </c>
      <c r="E306" s="6" t="s">
        <v>42</v>
      </c>
      <c r="F306" s="7" t="s">
        <v>60</v>
      </c>
      <c r="G306" s="5" t="s">
        <v>44</v>
      </c>
      <c r="H306" s="5" t="s">
        <v>45</v>
      </c>
      <c r="I306" s="5">
        <v>4</v>
      </c>
      <c r="J306" s="5">
        <v>8</v>
      </c>
      <c r="K306" s="5">
        <v>25000</v>
      </c>
      <c r="L306" s="5">
        <v>1000</v>
      </c>
      <c r="M306" s="5">
        <v>55</v>
      </c>
      <c r="N306" s="5">
        <v>31</v>
      </c>
      <c r="O306" s="6" t="s">
        <v>61</v>
      </c>
      <c r="P306" s="8"/>
      <c r="Q306" s="16">
        <v>4.4444444444444446E-2</v>
      </c>
      <c r="R306" s="16">
        <v>0.16827546296296295</v>
      </c>
      <c r="S306" s="6">
        <v>113141</v>
      </c>
      <c r="T306" s="16">
        <v>0.3087037037037037</v>
      </c>
      <c r="U306" s="16">
        <v>0.30883101851851852</v>
      </c>
      <c r="V306" s="6">
        <v>113156</v>
      </c>
      <c r="W306" s="6">
        <v>40</v>
      </c>
      <c r="X306" s="6">
        <v>49</v>
      </c>
      <c r="Y306" s="12">
        <v>-9</v>
      </c>
      <c r="Z306" s="12">
        <v>15</v>
      </c>
      <c r="AA306" s="12">
        <v>15</v>
      </c>
      <c r="AB306" s="12">
        <v>0</v>
      </c>
      <c r="AC306" s="12">
        <v>0</v>
      </c>
      <c r="AD306" s="13">
        <v>0</v>
      </c>
      <c r="AE306" s="12">
        <v>0</v>
      </c>
      <c r="AF306" s="14">
        <v>0</v>
      </c>
      <c r="AG306" s="5">
        <v>0</v>
      </c>
      <c r="AH306" s="5">
        <v>0</v>
      </c>
      <c r="AI306" s="5">
        <v>0</v>
      </c>
      <c r="AJ306" s="5">
        <v>806.45</v>
      </c>
      <c r="AK306" s="5">
        <v>0</v>
      </c>
      <c r="AL306" s="5">
        <v>806.45</v>
      </c>
      <c r="AM306" s="8"/>
      <c r="AN306" s="8"/>
    </row>
    <row r="307" spans="1:40" ht="16" thickBot="1">
      <c r="A307" s="3">
        <v>306</v>
      </c>
      <c r="B307" s="19">
        <v>45944</v>
      </c>
      <c r="C307" s="5" t="s">
        <v>40</v>
      </c>
      <c r="D307" s="5" t="s">
        <v>41</v>
      </c>
      <c r="E307" s="6" t="s">
        <v>42</v>
      </c>
      <c r="F307" s="7" t="s">
        <v>97</v>
      </c>
      <c r="G307" s="5" t="s">
        <v>44</v>
      </c>
      <c r="H307" s="5" t="s">
        <v>45</v>
      </c>
      <c r="I307" s="5">
        <v>4</v>
      </c>
      <c r="J307" s="5">
        <v>8</v>
      </c>
      <c r="K307" s="5">
        <v>25000</v>
      </c>
      <c r="L307" s="5">
        <v>1000</v>
      </c>
      <c r="M307" s="5">
        <v>55</v>
      </c>
      <c r="N307" s="5">
        <v>31</v>
      </c>
      <c r="O307" s="6" t="s">
        <v>118</v>
      </c>
      <c r="P307" s="8"/>
      <c r="Q307" s="16">
        <v>0.12430555555555556</v>
      </c>
      <c r="R307" s="16">
        <v>0.17542824074074073</v>
      </c>
      <c r="S307" s="6">
        <v>77995</v>
      </c>
      <c r="T307" s="16">
        <v>0.29998842592592595</v>
      </c>
      <c r="U307" s="16">
        <v>0.30008101851851848</v>
      </c>
      <c r="V307" s="6">
        <v>78022</v>
      </c>
      <c r="W307" s="6">
        <v>42</v>
      </c>
      <c r="X307" s="6">
        <v>42</v>
      </c>
      <c r="Y307" s="12">
        <v>0</v>
      </c>
      <c r="Z307" s="12">
        <v>27</v>
      </c>
      <c r="AA307" s="12">
        <v>27</v>
      </c>
      <c r="AB307" s="12">
        <v>0</v>
      </c>
      <c r="AC307" s="12">
        <v>0</v>
      </c>
      <c r="AD307" s="13">
        <v>0</v>
      </c>
      <c r="AE307" s="12">
        <v>0</v>
      </c>
      <c r="AF307" s="14">
        <v>0</v>
      </c>
      <c r="AG307" s="5">
        <v>0</v>
      </c>
      <c r="AH307" s="5">
        <v>0</v>
      </c>
      <c r="AI307" s="5">
        <v>0</v>
      </c>
      <c r="AJ307" s="5">
        <v>806.45</v>
      </c>
      <c r="AK307" s="5">
        <v>0</v>
      </c>
      <c r="AL307" s="5">
        <v>806.45</v>
      </c>
      <c r="AM307" s="8"/>
      <c r="AN307" s="8"/>
    </row>
    <row r="308" spans="1:40" ht="16" thickBot="1">
      <c r="A308" s="3">
        <v>307</v>
      </c>
      <c r="B308" s="19">
        <v>45944</v>
      </c>
      <c r="C308" s="5" t="s">
        <v>40</v>
      </c>
      <c r="D308" s="5" t="s">
        <v>41</v>
      </c>
      <c r="E308" s="6" t="s">
        <v>42</v>
      </c>
      <c r="F308" s="7" t="s">
        <v>62</v>
      </c>
      <c r="G308" s="5" t="s">
        <v>44</v>
      </c>
      <c r="H308" s="5" t="s">
        <v>45</v>
      </c>
      <c r="I308" s="5">
        <v>6</v>
      </c>
      <c r="J308" s="5">
        <v>8</v>
      </c>
      <c r="K308" s="5">
        <v>33000</v>
      </c>
      <c r="L308" s="5">
        <v>2000</v>
      </c>
      <c r="M308" s="5">
        <v>55</v>
      </c>
      <c r="N308" s="5">
        <v>31</v>
      </c>
      <c r="O308" s="6" t="s">
        <v>91</v>
      </c>
      <c r="P308" s="8"/>
      <c r="Q308" s="16">
        <v>0.1388888888888889</v>
      </c>
      <c r="R308" s="16">
        <v>0.19540509259259262</v>
      </c>
      <c r="S308" s="6">
        <v>47872</v>
      </c>
      <c r="T308" s="16">
        <v>0.35293981481481485</v>
      </c>
      <c r="U308" s="16">
        <v>0.35538194444444443</v>
      </c>
      <c r="V308" s="6">
        <v>47962</v>
      </c>
      <c r="W308" s="6">
        <v>0</v>
      </c>
      <c r="X308" s="6">
        <v>0</v>
      </c>
      <c r="Y308" s="12">
        <v>0</v>
      </c>
      <c r="Z308" s="12">
        <v>90</v>
      </c>
      <c r="AA308" s="12">
        <v>90</v>
      </c>
      <c r="AB308" s="12">
        <v>0</v>
      </c>
      <c r="AC308" s="12">
        <v>0</v>
      </c>
      <c r="AD308" s="13">
        <v>0</v>
      </c>
      <c r="AE308" s="12">
        <v>0</v>
      </c>
      <c r="AF308" s="14">
        <v>1</v>
      </c>
      <c r="AG308" s="5">
        <v>150</v>
      </c>
      <c r="AH308" s="5">
        <v>0</v>
      </c>
      <c r="AI308" s="5">
        <v>0</v>
      </c>
      <c r="AJ308" s="5">
        <v>1064.52</v>
      </c>
      <c r="AK308" s="5">
        <v>150</v>
      </c>
      <c r="AL308" s="5">
        <v>914.52</v>
      </c>
      <c r="AM308" s="8"/>
      <c r="AN308" s="8"/>
    </row>
    <row r="309" spans="1:40" ht="16" thickBot="1">
      <c r="A309" s="3">
        <v>308</v>
      </c>
      <c r="B309" s="19">
        <v>45944</v>
      </c>
      <c r="C309" s="5" t="s">
        <v>40</v>
      </c>
      <c r="D309" s="5" t="s">
        <v>41</v>
      </c>
      <c r="E309" s="6" t="s">
        <v>42</v>
      </c>
      <c r="F309" s="7" t="s">
        <v>101</v>
      </c>
      <c r="G309" s="5" t="s">
        <v>44</v>
      </c>
      <c r="H309" s="5" t="s">
        <v>45</v>
      </c>
      <c r="I309" s="5">
        <v>4</v>
      </c>
      <c r="J309" s="5">
        <v>8</v>
      </c>
      <c r="K309" s="5">
        <v>25000</v>
      </c>
      <c r="L309" s="5">
        <v>1000</v>
      </c>
      <c r="M309" s="5">
        <v>55</v>
      </c>
      <c r="N309" s="5">
        <v>31</v>
      </c>
      <c r="O309" s="6" t="s">
        <v>170</v>
      </c>
      <c r="P309" s="8"/>
      <c r="Q309" s="16">
        <v>0.12430555555555556</v>
      </c>
      <c r="R309" s="16">
        <v>0.18010416666666665</v>
      </c>
      <c r="S309" s="6">
        <v>18399</v>
      </c>
      <c r="T309" s="16">
        <v>0.35259259259259257</v>
      </c>
      <c r="U309" s="16">
        <v>0.35415509259259265</v>
      </c>
      <c r="V309" s="6">
        <v>18415</v>
      </c>
      <c r="W309" s="6">
        <v>0</v>
      </c>
      <c r="X309" s="6">
        <v>0</v>
      </c>
      <c r="Y309" s="12">
        <v>0</v>
      </c>
      <c r="Z309" s="12">
        <v>16</v>
      </c>
      <c r="AA309" s="12">
        <v>16</v>
      </c>
      <c r="AB309" s="12">
        <v>0</v>
      </c>
      <c r="AC309" s="12">
        <v>0</v>
      </c>
      <c r="AD309" s="13">
        <v>1</v>
      </c>
      <c r="AE309" s="12">
        <v>150</v>
      </c>
      <c r="AF309" s="14">
        <v>0</v>
      </c>
      <c r="AG309" s="5">
        <v>0</v>
      </c>
      <c r="AH309" s="5">
        <v>0</v>
      </c>
      <c r="AI309" s="5">
        <v>0</v>
      </c>
      <c r="AJ309" s="5">
        <v>956.45</v>
      </c>
      <c r="AK309" s="5">
        <v>0</v>
      </c>
      <c r="AL309" s="5">
        <v>956.45</v>
      </c>
      <c r="AM309" s="8"/>
      <c r="AN309" s="8"/>
    </row>
    <row r="310" spans="1:40" ht="16" thickBot="1">
      <c r="A310" s="3">
        <v>309</v>
      </c>
      <c r="B310" s="19">
        <v>45944</v>
      </c>
      <c r="C310" s="5" t="s">
        <v>40</v>
      </c>
      <c r="D310" s="5" t="s">
        <v>41</v>
      </c>
      <c r="E310" s="6" t="s">
        <v>42</v>
      </c>
      <c r="F310" s="7" t="s">
        <v>68</v>
      </c>
      <c r="G310" s="5" t="s">
        <v>44</v>
      </c>
      <c r="H310" s="5" t="s">
        <v>45</v>
      </c>
      <c r="I310" s="5">
        <v>4</v>
      </c>
      <c r="J310" s="5">
        <v>8</v>
      </c>
      <c r="K310" s="5">
        <v>25000</v>
      </c>
      <c r="L310" s="5">
        <v>1000</v>
      </c>
      <c r="M310" s="5">
        <v>55</v>
      </c>
      <c r="N310" s="5">
        <v>31</v>
      </c>
      <c r="O310" s="6" t="s">
        <v>52</v>
      </c>
      <c r="P310" s="8"/>
      <c r="Q310" s="16">
        <v>4.3750000000000004E-2</v>
      </c>
      <c r="R310" s="16">
        <v>0.16978009259259261</v>
      </c>
      <c r="S310" s="6">
        <v>83726</v>
      </c>
      <c r="T310" s="16">
        <v>0.30810185185185185</v>
      </c>
      <c r="U310" s="16">
        <v>0.30831018518518521</v>
      </c>
      <c r="V310" s="6">
        <v>83747</v>
      </c>
      <c r="W310" s="6">
        <v>38</v>
      </c>
      <c r="X310" s="6">
        <v>30</v>
      </c>
      <c r="Y310" s="12">
        <v>8</v>
      </c>
      <c r="Z310" s="12">
        <v>21</v>
      </c>
      <c r="AA310" s="12">
        <v>21</v>
      </c>
      <c r="AB310" s="12">
        <v>0</v>
      </c>
      <c r="AC310" s="12">
        <v>0</v>
      </c>
      <c r="AD310" s="13">
        <v>0</v>
      </c>
      <c r="AE310" s="12">
        <v>0</v>
      </c>
      <c r="AF310" s="14">
        <v>0</v>
      </c>
      <c r="AG310" s="5">
        <v>0</v>
      </c>
      <c r="AH310" s="5">
        <v>0</v>
      </c>
      <c r="AI310" s="5">
        <v>0</v>
      </c>
      <c r="AJ310" s="5">
        <v>806.45</v>
      </c>
      <c r="AK310" s="5">
        <v>0</v>
      </c>
      <c r="AL310" s="5">
        <v>806.45</v>
      </c>
      <c r="AM310" s="8"/>
      <c r="AN310" s="8"/>
    </row>
    <row r="311" spans="1:40" ht="16" thickBot="1">
      <c r="A311" s="3">
        <v>310</v>
      </c>
      <c r="B311" s="19">
        <v>45944</v>
      </c>
      <c r="C311" s="5" t="s">
        <v>40</v>
      </c>
      <c r="D311" s="5" t="s">
        <v>41</v>
      </c>
      <c r="E311" s="6" t="s">
        <v>42</v>
      </c>
      <c r="F311" s="7" t="s">
        <v>70</v>
      </c>
      <c r="G311" s="5" t="s">
        <v>44</v>
      </c>
      <c r="H311" s="5" t="s">
        <v>45</v>
      </c>
      <c r="I311" s="5">
        <v>4</v>
      </c>
      <c r="J311" s="5">
        <v>8</v>
      </c>
      <c r="K311" s="5">
        <v>25000</v>
      </c>
      <c r="L311" s="5">
        <v>1000</v>
      </c>
      <c r="M311" s="5">
        <v>55</v>
      </c>
      <c r="N311" s="5">
        <v>31</v>
      </c>
      <c r="O311" s="6" t="s">
        <v>174</v>
      </c>
      <c r="P311" s="8"/>
      <c r="Q311" s="16">
        <v>8.9583333333333334E-2</v>
      </c>
      <c r="R311" s="16">
        <v>0.17546296296296296</v>
      </c>
      <c r="S311" s="6">
        <v>36772</v>
      </c>
      <c r="T311" s="16">
        <v>0.30658564814814815</v>
      </c>
      <c r="U311" s="16">
        <v>0.30952546296296296</v>
      </c>
      <c r="V311" s="6">
        <v>36799</v>
      </c>
      <c r="W311" s="6">
        <v>35</v>
      </c>
      <c r="X311" s="6">
        <v>61</v>
      </c>
      <c r="Y311" s="12">
        <v>-26</v>
      </c>
      <c r="Z311" s="12">
        <v>27</v>
      </c>
      <c r="AA311" s="12">
        <v>27</v>
      </c>
      <c r="AB311" s="12">
        <v>0</v>
      </c>
      <c r="AC311" s="12">
        <v>0</v>
      </c>
      <c r="AD311" s="13">
        <v>0</v>
      </c>
      <c r="AE311" s="12">
        <v>0</v>
      </c>
      <c r="AF311" s="14">
        <v>0</v>
      </c>
      <c r="AG311" s="5">
        <v>0</v>
      </c>
      <c r="AH311" s="5">
        <v>0</v>
      </c>
      <c r="AI311" s="5">
        <v>0</v>
      </c>
      <c r="AJ311" s="5">
        <v>806.45</v>
      </c>
      <c r="AK311" s="5">
        <v>0</v>
      </c>
      <c r="AL311" s="5">
        <v>806.45</v>
      </c>
      <c r="AM311" s="8"/>
      <c r="AN311" s="8"/>
    </row>
    <row r="312" spans="1:40" ht="16" thickBot="1">
      <c r="A312" s="3">
        <v>311</v>
      </c>
      <c r="B312" s="19">
        <v>45944</v>
      </c>
      <c r="C312" s="5" t="s">
        <v>40</v>
      </c>
      <c r="D312" s="5" t="s">
        <v>41</v>
      </c>
      <c r="E312" s="6" t="s">
        <v>42</v>
      </c>
      <c r="F312" s="7" t="s">
        <v>72</v>
      </c>
      <c r="G312" s="5" t="s">
        <v>44</v>
      </c>
      <c r="H312" s="5" t="s">
        <v>45</v>
      </c>
      <c r="I312" s="5">
        <v>6</v>
      </c>
      <c r="J312" s="5">
        <v>8</v>
      </c>
      <c r="K312" s="5">
        <v>33000</v>
      </c>
      <c r="L312" s="5">
        <v>2000</v>
      </c>
      <c r="M312" s="5">
        <v>55</v>
      </c>
      <c r="N312" s="5">
        <v>31</v>
      </c>
      <c r="O312" s="6" t="s">
        <v>73</v>
      </c>
      <c r="P312" s="8"/>
      <c r="Q312" s="16">
        <v>8.6805555555555566E-2</v>
      </c>
      <c r="R312" s="16">
        <v>0.17358796296296297</v>
      </c>
      <c r="S312" s="6">
        <v>33476</v>
      </c>
      <c r="T312" s="16">
        <v>0.30170138888888892</v>
      </c>
      <c r="U312" s="16">
        <v>0.30179398148148145</v>
      </c>
      <c r="V312" s="6">
        <v>33552</v>
      </c>
      <c r="W312" s="6">
        <v>32</v>
      </c>
      <c r="X312" s="6">
        <v>33</v>
      </c>
      <c r="Y312" s="12">
        <v>-1</v>
      </c>
      <c r="Z312" s="12">
        <v>76</v>
      </c>
      <c r="AA312" s="12">
        <v>76</v>
      </c>
      <c r="AB312" s="12">
        <v>0</v>
      </c>
      <c r="AC312" s="12">
        <v>0</v>
      </c>
      <c r="AD312" s="13">
        <v>0</v>
      </c>
      <c r="AE312" s="12">
        <v>0</v>
      </c>
      <c r="AF312" s="14">
        <v>0</v>
      </c>
      <c r="AG312" s="5">
        <v>0</v>
      </c>
      <c r="AH312" s="5">
        <v>0</v>
      </c>
      <c r="AI312" s="5">
        <v>0</v>
      </c>
      <c r="AJ312" s="5">
        <v>1064.52</v>
      </c>
      <c r="AK312" s="5">
        <v>0</v>
      </c>
      <c r="AL312" s="5">
        <v>1064.52</v>
      </c>
      <c r="AM312" s="8"/>
      <c r="AN312" s="8"/>
    </row>
    <row r="313" spans="1:40" ht="16" thickBot="1">
      <c r="A313" s="3">
        <v>312</v>
      </c>
      <c r="B313" s="19">
        <v>45944</v>
      </c>
      <c r="C313" s="5" t="s">
        <v>40</v>
      </c>
      <c r="D313" s="5" t="s">
        <v>41</v>
      </c>
      <c r="E313" s="6" t="s">
        <v>42</v>
      </c>
      <c r="F313" s="7" t="s">
        <v>74</v>
      </c>
      <c r="G313" s="5" t="s">
        <v>44</v>
      </c>
      <c r="H313" s="5" t="s">
        <v>45</v>
      </c>
      <c r="I313" s="5">
        <v>4</v>
      </c>
      <c r="J313" s="5">
        <v>8</v>
      </c>
      <c r="K313" s="5">
        <v>25000</v>
      </c>
      <c r="L313" s="5">
        <v>1000</v>
      </c>
      <c r="M313" s="5">
        <v>55</v>
      </c>
      <c r="N313" s="5">
        <v>31</v>
      </c>
      <c r="O313" s="6" t="s">
        <v>75</v>
      </c>
      <c r="P313" s="8"/>
      <c r="Q313" s="16">
        <v>4.4444444444444446E-2</v>
      </c>
      <c r="R313" s="16">
        <v>0.17228009259259258</v>
      </c>
      <c r="S313" s="6">
        <v>38517</v>
      </c>
      <c r="T313" s="16">
        <v>0.30780092592592595</v>
      </c>
      <c r="U313" s="16">
        <v>0.30792824074074071</v>
      </c>
      <c r="V313" s="6">
        <v>38533</v>
      </c>
      <c r="W313" s="6">
        <v>40</v>
      </c>
      <c r="X313" s="6">
        <v>37</v>
      </c>
      <c r="Y313" s="12">
        <v>3</v>
      </c>
      <c r="Z313" s="12">
        <v>16</v>
      </c>
      <c r="AA313" s="12">
        <v>16</v>
      </c>
      <c r="AB313" s="12">
        <v>0</v>
      </c>
      <c r="AC313" s="12">
        <v>0</v>
      </c>
      <c r="AD313" s="13">
        <v>0</v>
      </c>
      <c r="AE313" s="12">
        <v>0</v>
      </c>
      <c r="AF313" s="14">
        <v>0</v>
      </c>
      <c r="AG313" s="5">
        <v>0</v>
      </c>
      <c r="AH313" s="5">
        <v>0</v>
      </c>
      <c r="AI313" s="5">
        <v>0</v>
      </c>
      <c r="AJ313" s="5">
        <v>806.45</v>
      </c>
      <c r="AK313" s="5">
        <v>0</v>
      </c>
      <c r="AL313" s="5">
        <v>806.45</v>
      </c>
      <c r="AM313" s="8"/>
      <c r="AN313" s="8"/>
    </row>
    <row r="314" spans="1:40" ht="16" thickBot="1">
      <c r="A314" s="3">
        <v>313</v>
      </c>
      <c r="B314" s="19">
        <v>45944</v>
      </c>
      <c r="C314" s="5" t="s">
        <v>40</v>
      </c>
      <c r="D314" s="5" t="s">
        <v>41</v>
      </c>
      <c r="E314" s="6" t="s">
        <v>42</v>
      </c>
      <c r="F314" s="7" t="s">
        <v>78</v>
      </c>
      <c r="G314" s="5" t="s">
        <v>44</v>
      </c>
      <c r="H314" s="5" t="s">
        <v>45</v>
      </c>
      <c r="I314" s="5">
        <v>4</v>
      </c>
      <c r="J314" s="5">
        <v>8</v>
      </c>
      <c r="K314" s="5">
        <v>25000</v>
      </c>
      <c r="L314" s="5">
        <v>1000</v>
      </c>
      <c r="M314" s="5">
        <v>55</v>
      </c>
      <c r="N314" s="5">
        <v>31</v>
      </c>
      <c r="O314" s="6" t="s">
        <v>67</v>
      </c>
      <c r="P314" s="8"/>
      <c r="Q314" s="16">
        <v>0.11805555555555557</v>
      </c>
      <c r="R314" s="16">
        <v>0.17041666666666666</v>
      </c>
      <c r="S314" s="6">
        <v>7299</v>
      </c>
      <c r="T314" s="16">
        <v>0.42321759259259256</v>
      </c>
      <c r="U314" s="16">
        <v>0.4233912037037037</v>
      </c>
      <c r="V314" s="6">
        <v>7325</v>
      </c>
      <c r="W314" s="6">
        <v>1</v>
      </c>
      <c r="X314" s="6">
        <v>13</v>
      </c>
      <c r="Y314" s="12">
        <v>-12</v>
      </c>
      <c r="Z314" s="12">
        <v>26</v>
      </c>
      <c r="AA314" s="12">
        <v>26</v>
      </c>
      <c r="AB314" s="12">
        <v>0</v>
      </c>
      <c r="AC314" s="12">
        <v>0</v>
      </c>
      <c r="AD314" s="13">
        <v>3</v>
      </c>
      <c r="AE314" s="12">
        <v>450</v>
      </c>
      <c r="AF314" s="14">
        <v>0</v>
      </c>
      <c r="AG314" s="5">
        <v>0</v>
      </c>
      <c r="AH314" s="5">
        <v>0</v>
      </c>
      <c r="AI314" s="5">
        <v>0</v>
      </c>
      <c r="AJ314" s="5">
        <v>1256.45</v>
      </c>
      <c r="AK314" s="5">
        <v>0</v>
      </c>
      <c r="AL314" s="5">
        <v>1256.45</v>
      </c>
      <c r="AM314" s="8"/>
      <c r="AN314" s="8"/>
    </row>
    <row r="315" spans="1:40" ht="16" thickBot="1">
      <c r="A315" s="3">
        <v>314</v>
      </c>
      <c r="B315" s="19">
        <v>45944</v>
      </c>
      <c r="C315" s="5" t="s">
        <v>40</v>
      </c>
      <c r="D315" s="5" t="s">
        <v>41</v>
      </c>
      <c r="E315" s="6" t="s">
        <v>42</v>
      </c>
      <c r="F315" s="7" t="s">
        <v>80</v>
      </c>
      <c r="G315" s="5" t="s">
        <v>44</v>
      </c>
      <c r="H315" s="5" t="s">
        <v>45</v>
      </c>
      <c r="I315" s="5">
        <v>4</v>
      </c>
      <c r="J315" s="5">
        <v>8</v>
      </c>
      <c r="K315" s="5">
        <v>25000</v>
      </c>
      <c r="L315" s="5">
        <v>1000</v>
      </c>
      <c r="M315" s="5">
        <v>55</v>
      </c>
      <c r="N315" s="5">
        <v>31</v>
      </c>
      <c r="O315" s="6" t="s">
        <v>96</v>
      </c>
      <c r="P315" s="8"/>
      <c r="Q315" s="16">
        <v>4.4444444444444446E-2</v>
      </c>
      <c r="R315" s="16">
        <v>0.17087962962962963</v>
      </c>
      <c r="S315" s="6">
        <v>4791</v>
      </c>
      <c r="T315" s="16">
        <v>0.30844907407407407</v>
      </c>
      <c r="U315" s="16">
        <v>0.30855324074074075</v>
      </c>
      <c r="V315" s="6">
        <v>4815</v>
      </c>
      <c r="W315" s="6">
        <v>36</v>
      </c>
      <c r="X315" s="6">
        <v>48</v>
      </c>
      <c r="Y315" s="12">
        <v>-12</v>
      </c>
      <c r="Z315" s="12">
        <v>24</v>
      </c>
      <c r="AA315" s="12">
        <v>24</v>
      </c>
      <c r="AB315" s="12">
        <v>0</v>
      </c>
      <c r="AC315" s="12">
        <v>0</v>
      </c>
      <c r="AD315" s="13">
        <v>0</v>
      </c>
      <c r="AE315" s="12">
        <v>0</v>
      </c>
      <c r="AF315" s="14">
        <v>0</v>
      </c>
      <c r="AG315" s="5">
        <v>0</v>
      </c>
      <c r="AH315" s="5">
        <v>0</v>
      </c>
      <c r="AI315" s="5">
        <v>0</v>
      </c>
      <c r="AJ315" s="5">
        <v>806.45</v>
      </c>
      <c r="AK315" s="5">
        <v>0</v>
      </c>
      <c r="AL315" s="5">
        <v>806.45</v>
      </c>
      <c r="AM315" s="8"/>
      <c r="AN315" s="8"/>
    </row>
    <row r="316" spans="1:40" ht="16" thickBot="1">
      <c r="A316" s="3">
        <v>315</v>
      </c>
      <c r="B316" s="19">
        <v>45944</v>
      </c>
      <c r="C316" s="5" t="s">
        <v>40</v>
      </c>
      <c r="D316" s="5" t="s">
        <v>41</v>
      </c>
      <c r="E316" s="6" t="s">
        <v>42</v>
      </c>
      <c r="F316" s="7" t="s">
        <v>82</v>
      </c>
      <c r="G316" s="10" t="s">
        <v>83</v>
      </c>
      <c r="H316" s="5" t="s">
        <v>84</v>
      </c>
      <c r="I316" s="5">
        <v>4</v>
      </c>
      <c r="J316" s="5">
        <v>10</v>
      </c>
      <c r="K316" s="6">
        <v>29000</v>
      </c>
      <c r="L316" s="5">
        <v>1000</v>
      </c>
      <c r="M316" s="5">
        <v>55</v>
      </c>
      <c r="N316" s="5">
        <v>31</v>
      </c>
      <c r="O316" s="6" t="s">
        <v>162</v>
      </c>
      <c r="P316" s="8"/>
      <c r="Q316" s="16">
        <v>0.11458333333333333</v>
      </c>
      <c r="R316" s="16">
        <v>0.17363425925925927</v>
      </c>
      <c r="S316" s="6">
        <v>32867</v>
      </c>
      <c r="T316" s="16">
        <v>0.34638888888888886</v>
      </c>
      <c r="U316" s="16">
        <v>0.35162037037037036</v>
      </c>
      <c r="V316" s="6">
        <v>32880</v>
      </c>
      <c r="W316" s="6">
        <v>40</v>
      </c>
      <c r="X316" s="6">
        <v>38</v>
      </c>
      <c r="Y316" s="12">
        <v>2</v>
      </c>
      <c r="Z316" s="12">
        <v>13</v>
      </c>
      <c r="AA316" s="12">
        <v>13</v>
      </c>
      <c r="AB316" s="12">
        <v>0</v>
      </c>
      <c r="AC316" s="12">
        <v>0</v>
      </c>
      <c r="AD316" s="13">
        <v>1</v>
      </c>
      <c r="AE316" s="12">
        <v>150</v>
      </c>
      <c r="AF316" s="14">
        <v>0</v>
      </c>
      <c r="AG316" s="5">
        <v>0</v>
      </c>
      <c r="AH316" s="5">
        <v>0</v>
      </c>
      <c r="AI316" s="5">
        <v>0</v>
      </c>
      <c r="AJ316" s="5">
        <v>1085.48</v>
      </c>
      <c r="AK316" s="5">
        <v>0</v>
      </c>
      <c r="AL316" s="5">
        <v>1085.48</v>
      </c>
      <c r="AM316" s="8"/>
      <c r="AN316" s="8"/>
    </row>
    <row r="317" spans="1:40" ht="16" thickBot="1">
      <c r="A317" s="3">
        <v>316</v>
      </c>
      <c r="B317" s="19">
        <v>45944</v>
      </c>
      <c r="C317" s="5" t="s">
        <v>40</v>
      </c>
      <c r="D317" s="5" t="s">
        <v>41</v>
      </c>
      <c r="E317" s="6" t="s">
        <v>42</v>
      </c>
      <c r="F317" s="7" t="s">
        <v>85</v>
      </c>
      <c r="G317" s="10" t="s">
        <v>83</v>
      </c>
      <c r="H317" s="5" t="s">
        <v>84</v>
      </c>
      <c r="I317" s="5">
        <v>4</v>
      </c>
      <c r="J317" s="5">
        <v>10</v>
      </c>
      <c r="K317" s="6">
        <v>29000</v>
      </c>
      <c r="L317" s="5">
        <v>1000</v>
      </c>
      <c r="M317" s="5">
        <v>55</v>
      </c>
      <c r="N317" s="5">
        <v>31</v>
      </c>
      <c r="O317" s="6" t="s">
        <v>121</v>
      </c>
      <c r="P317" s="8"/>
      <c r="Q317" s="16">
        <v>8.3333333333333329E-2</v>
      </c>
      <c r="R317" s="16">
        <v>0.17063657407407407</v>
      </c>
      <c r="S317" s="6">
        <v>38789</v>
      </c>
      <c r="T317" s="16">
        <v>0.32552083333333331</v>
      </c>
      <c r="U317" s="16">
        <v>0.32924768518518516</v>
      </c>
      <c r="V317" s="6">
        <v>38817</v>
      </c>
      <c r="W317" s="6">
        <v>53</v>
      </c>
      <c r="X317" s="6">
        <v>51</v>
      </c>
      <c r="Y317" s="12">
        <v>2</v>
      </c>
      <c r="Z317" s="12">
        <v>28</v>
      </c>
      <c r="AA317" s="12">
        <v>28</v>
      </c>
      <c r="AB317" s="12">
        <v>0</v>
      </c>
      <c r="AC317" s="12">
        <v>0</v>
      </c>
      <c r="AD317" s="13">
        <v>0</v>
      </c>
      <c r="AE317" s="12">
        <v>0</v>
      </c>
      <c r="AF317" s="14">
        <v>0</v>
      </c>
      <c r="AG317" s="5">
        <v>0</v>
      </c>
      <c r="AH317" s="5">
        <v>0</v>
      </c>
      <c r="AI317" s="5">
        <v>0</v>
      </c>
      <c r="AJ317" s="5">
        <v>935.48</v>
      </c>
      <c r="AK317" s="5">
        <v>0</v>
      </c>
      <c r="AL317" s="5">
        <v>935.48</v>
      </c>
      <c r="AM317" s="8"/>
      <c r="AN317" s="8"/>
    </row>
    <row r="318" spans="1:40" ht="16" thickBot="1">
      <c r="A318" s="3">
        <v>317</v>
      </c>
      <c r="B318" s="19">
        <v>45944</v>
      </c>
      <c r="C318" s="5" t="s">
        <v>40</v>
      </c>
      <c r="D318" s="5" t="s">
        <v>41</v>
      </c>
      <c r="E318" s="6" t="s">
        <v>42</v>
      </c>
      <c r="F318" s="7" t="s">
        <v>150</v>
      </c>
      <c r="G318" s="10" t="s">
        <v>83</v>
      </c>
      <c r="H318" s="5" t="s">
        <v>84</v>
      </c>
      <c r="I318" s="5">
        <v>4</v>
      </c>
      <c r="J318" s="5">
        <v>10</v>
      </c>
      <c r="K318" s="6">
        <v>29000</v>
      </c>
      <c r="L318" s="5">
        <v>1000</v>
      </c>
      <c r="M318" s="5">
        <v>55</v>
      </c>
      <c r="N318" s="5">
        <v>31</v>
      </c>
      <c r="O318" s="6" t="s">
        <v>175</v>
      </c>
      <c r="P318" s="8"/>
      <c r="Q318" s="16">
        <v>0.11041666666666666</v>
      </c>
      <c r="R318" s="16">
        <v>0.1771527777777778</v>
      </c>
      <c r="S318" s="6">
        <v>60537</v>
      </c>
      <c r="T318" s="16">
        <v>0.29881944444444447</v>
      </c>
      <c r="U318" s="16">
        <v>0.29903935185185188</v>
      </c>
      <c r="V318" s="6">
        <v>60572</v>
      </c>
      <c r="W318" s="6">
        <v>75</v>
      </c>
      <c r="X318" s="6">
        <v>88</v>
      </c>
      <c r="Y318" s="12">
        <v>-13</v>
      </c>
      <c r="Z318" s="12">
        <v>35</v>
      </c>
      <c r="AA318" s="12">
        <v>35</v>
      </c>
      <c r="AB318" s="12">
        <v>0</v>
      </c>
      <c r="AC318" s="12">
        <v>0</v>
      </c>
      <c r="AD318" s="13">
        <v>0</v>
      </c>
      <c r="AE318" s="12">
        <v>0</v>
      </c>
      <c r="AF318" s="14">
        <v>0</v>
      </c>
      <c r="AG318" s="5">
        <v>0</v>
      </c>
      <c r="AH318" s="5">
        <v>0</v>
      </c>
      <c r="AI318" s="5">
        <v>0</v>
      </c>
      <c r="AJ318" s="5">
        <v>935.48</v>
      </c>
      <c r="AK318" s="5">
        <v>0</v>
      </c>
      <c r="AL318" s="5">
        <v>935.48</v>
      </c>
      <c r="AM318" s="8"/>
      <c r="AN318" s="8"/>
    </row>
    <row r="319" spans="1:40" ht="16" thickBot="1">
      <c r="A319" s="3">
        <v>318</v>
      </c>
      <c r="B319" s="19">
        <v>45944</v>
      </c>
      <c r="C319" s="5" t="s">
        <v>40</v>
      </c>
      <c r="D319" s="5" t="s">
        <v>41</v>
      </c>
      <c r="E319" s="6" t="s">
        <v>42</v>
      </c>
      <c r="F319" s="7" t="s">
        <v>87</v>
      </c>
      <c r="G319" s="10" t="s">
        <v>83</v>
      </c>
      <c r="H319" s="5" t="s">
        <v>84</v>
      </c>
      <c r="I319" s="5">
        <v>4</v>
      </c>
      <c r="J319" s="5">
        <v>10</v>
      </c>
      <c r="K319" s="6">
        <v>29000</v>
      </c>
      <c r="L319" s="5">
        <v>1000</v>
      </c>
      <c r="M319" s="5">
        <v>55</v>
      </c>
      <c r="N319" s="5">
        <v>31</v>
      </c>
      <c r="O319" s="6" t="s">
        <v>90</v>
      </c>
      <c r="P319" s="8"/>
      <c r="Q319" s="16">
        <v>0.11944444444444445</v>
      </c>
      <c r="R319" s="16">
        <v>0.1741898148148148</v>
      </c>
      <c r="S319" s="6">
        <v>3141</v>
      </c>
      <c r="T319" s="16">
        <v>0.30283564814814817</v>
      </c>
      <c r="U319" s="16">
        <v>0.3029513888888889</v>
      </c>
      <c r="V319" s="6">
        <v>3169</v>
      </c>
      <c r="W319" s="6">
        <v>58</v>
      </c>
      <c r="X319" s="6">
        <v>58</v>
      </c>
      <c r="Y319" s="12">
        <v>0</v>
      </c>
      <c r="Z319" s="12">
        <v>28</v>
      </c>
      <c r="AA319" s="12">
        <v>28</v>
      </c>
      <c r="AB319" s="12">
        <v>0</v>
      </c>
      <c r="AC319" s="12">
        <v>0</v>
      </c>
      <c r="AD319" s="13">
        <v>0</v>
      </c>
      <c r="AE319" s="12">
        <v>0</v>
      </c>
      <c r="AF319" s="14">
        <v>0</v>
      </c>
      <c r="AG319" s="5">
        <v>0</v>
      </c>
      <c r="AH319" s="5">
        <v>0</v>
      </c>
      <c r="AI319" s="5">
        <v>0</v>
      </c>
      <c r="AJ319" s="5">
        <v>935.48</v>
      </c>
      <c r="AK319" s="5">
        <v>0</v>
      </c>
      <c r="AL319" s="5">
        <v>935.48</v>
      </c>
      <c r="AM319" s="8"/>
      <c r="AN319" s="8"/>
    </row>
    <row r="320" spans="1:40" ht="16" thickBot="1">
      <c r="A320" s="3">
        <v>319</v>
      </c>
      <c r="B320" s="19">
        <v>45944</v>
      </c>
      <c r="C320" s="5" t="s">
        <v>40</v>
      </c>
      <c r="D320" s="5" t="s">
        <v>41</v>
      </c>
      <c r="E320" s="6" t="s">
        <v>42</v>
      </c>
      <c r="F320" s="7" t="s">
        <v>89</v>
      </c>
      <c r="G320" s="10" t="s">
        <v>83</v>
      </c>
      <c r="H320" s="5" t="s">
        <v>84</v>
      </c>
      <c r="I320" s="5">
        <v>4</v>
      </c>
      <c r="J320" s="5">
        <v>10</v>
      </c>
      <c r="K320" s="6">
        <v>29000</v>
      </c>
      <c r="L320" s="5">
        <v>1000</v>
      </c>
      <c r="M320" s="5">
        <v>55</v>
      </c>
      <c r="N320" s="5">
        <v>31</v>
      </c>
      <c r="O320" s="6" t="s">
        <v>153</v>
      </c>
      <c r="P320" s="8"/>
      <c r="Q320" s="16">
        <v>8.6111111111111124E-2</v>
      </c>
      <c r="R320" s="16">
        <v>0.17381944444444444</v>
      </c>
      <c r="S320" s="6">
        <v>139138</v>
      </c>
      <c r="T320" s="16">
        <v>0.32689814814814816</v>
      </c>
      <c r="U320" s="16">
        <v>0.32708333333333334</v>
      </c>
      <c r="V320" s="6">
        <v>139171</v>
      </c>
      <c r="W320" s="6">
        <v>34</v>
      </c>
      <c r="X320" s="6">
        <v>43</v>
      </c>
      <c r="Y320" s="12">
        <v>-9</v>
      </c>
      <c r="Z320" s="12">
        <v>33</v>
      </c>
      <c r="AA320" s="12">
        <v>33</v>
      </c>
      <c r="AB320" s="12">
        <v>0</v>
      </c>
      <c r="AC320" s="12">
        <v>0</v>
      </c>
      <c r="AD320" s="13">
        <v>0</v>
      </c>
      <c r="AE320" s="12">
        <v>0</v>
      </c>
      <c r="AF320" s="14">
        <v>0</v>
      </c>
      <c r="AG320" s="5">
        <v>0</v>
      </c>
      <c r="AH320" s="5">
        <v>0</v>
      </c>
      <c r="AI320" s="5">
        <v>0</v>
      </c>
      <c r="AJ320" s="5">
        <v>935.48</v>
      </c>
      <c r="AK320" s="5">
        <v>0</v>
      </c>
      <c r="AL320" s="5">
        <v>935.48</v>
      </c>
      <c r="AM320" s="8"/>
      <c r="AN320" s="8"/>
    </row>
    <row r="321" spans="1:40" ht="16" thickBot="1">
      <c r="A321" s="3">
        <v>320</v>
      </c>
      <c r="B321" s="19">
        <v>45945</v>
      </c>
      <c r="C321" s="5" t="s">
        <v>40</v>
      </c>
      <c r="D321" s="5" t="s">
        <v>41</v>
      </c>
      <c r="E321" s="6" t="s">
        <v>42</v>
      </c>
      <c r="F321" s="7" t="s">
        <v>43</v>
      </c>
      <c r="G321" s="5" t="s">
        <v>44</v>
      </c>
      <c r="H321" s="5" t="s">
        <v>45</v>
      </c>
      <c r="I321" s="5">
        <v>4</v>
      </c>
      <c r="J321" s="5">
        <v>8</v>
      </c>
      <c r="K321" s="5">
        <v>25000</v>
      </c>
      <c r="L321" s="5">
        <v>1000</v>
      </c>
      <c r="M321" s="5">
        <v>55</v>
      </c>
      <c r="N321" s="5">
        <v>31</v>
      </c>
      <c r="O321" s="6" t="s">
        <v>46</v>
      </c>
      <c r="P321" s="8"/>
      <c r="Q321" s="16">
        <v>4.3750000000000004E-2</v>
      </c>
      <c r="R321" s="16">
        <v>0.18425925925925926</v>
      </c>
      <c r="S321" s="6">
        <v>57057</v>
      </c>
      <c r="T321" s="16">
        <v>0.29162037037037036</v>
      </c>
      <c r="U321" s="16">
        <v>0.29180555555555554</v>
      </c>
      <c r="V321" s="6">
        <v>57063</v>
      </c>
      <c r="W321" s="6">
        <v>40</v>
      </c>
      <c r="X321" s="6">
        <v>40</v>
      </c>
      <c r="Y321" s="12">
        <v>0</v>
      </c>
      <c r="Z321" s="12">
        <v>6</v>
      </c>
      <c r="AA321" s="12">
        <v>6</v>
      </c>
      <c r="AB321" s="12">
        <v>0</v>
      </c>
      <c r="AC321" s="12">
        <v>0</v>
      </c>
      <c r="AD321" s="13">
        <v>0</v>
      </c>
      <c r="AE321" s="12">
        <v>0</v>
      </c>
      <c r="AF321" s="14">
        <v>0</v>
      </c>
      <c r="AG321" s="5">
        <v>0</v>
      </c>
      <c r="AH321" s="5">
        <v>0</v>
      </c>
      <c r="AI321" s="5">
        <v>0</v>
      </c>
      <c r="AJ321" s="5">
        <v>806.45</v>
      </c>
      <c r="AK321" s="5">
        <v>0</v>
      </c>
      <c r="AL321" s="5">
        <v>806.45</v>
      </c>
      <c r="AM321" s="8"/>
      <c r="AN321" s="8"/>
    </row>
    <row r="322" spans="1:40" ht="16" thickBot="1">
      <c r="A322" s="3">
        <v>321</v>
      </c>
      <c r="B322" s="19">
        <v>45945</v>
      </c>
      <c r="C322" s="5" t="s">
        <v>40</v>
      </c>
      <c r="D322" s="5" t="s">
        <v>41</v>
      </c>
      <c r="E322" s="6" t="s">
        <v>42</v>
      </c>
      <c r="F322" s="7" t="s">
        <v>132</v>
      </c>
      <c r="G322" s="5" t="s">
        <v>44</v>
      </c>
      <c r="H322" s="5" t="s">
        <v>45</v>
      </c>
      <c r="I322" s="5">
        <v>4</v>
      </c>
      <c r="J322" s="5">
        <v>8</v>
      </c>
      <c r="K322" s="5">
        <v>25000</v>
      </c>
      <c r="L322" s="5">
        <v>1000</v>
      </c>
      <c r="M322" s="5">
        <v>55</v>
      </c>
      <c r="N322" s="5">
        <v>31</v>
      </c>
      <c r="O322" s="6" t="s">
        <v>133</v>
      </c>
      <c r="P322" s="8"/>
      <c r="Q322" s="16">
        <v>5.1388888888888894E-2</v>
      </c>
      <c r="R322" s="16">
        <v>0.18246527777777777</v>
      </c>
      <c r="S322" s="6">
        <v>110452</v>
      </c>
      <c r="T322" s="16">
        <v>0.29486111111111107</v>
      </c>
      <c r="U322" s="16">
        <v>0.29515046296296293</v>
      </c>
      <c r="V322" s="6">
        <v>110464</v>
      </c>
      <c r="W322" s="6">
        <v>29</v>
      </c>
      <c r="X322" s="6">
        <v>29</v>
      </c>
      <c r="Y322" s="12">
        <v>0</v>
      </c>
      <c r="Z322" s="12">
        <v>12</v>
      </c>
      <c r="AA322" s="12">
        <v>12</v>
      </c>
      <c r="AB322" s="12">
        <v>0</v>
      </c>
      <c r="AC322" s="12">
        <v>0</v>
      </c>
      <c r="AD322" s="13">
        <v>0</v>
      </c>
      <c r="AE322" s="12">
        <v>0</v>
      </c>
      <c r="AF322" s="14">
        <v>0</v>
      </c>
      <c r="AG322" s="5">
        <v>0</v>
      </c>
      <c r="AH322" s="5">
        <v>0</v>
      </c>
      <c r="AI322" s="5">
        <v>0</v>
      </c>
      <c r="AJ322" s="5">
        <v>806.45</v>
      </c>
      <c r="AK322" s="5">
        <v>0</v>
      </c>
      <c r="AL322" s="5">
        <v>806.45</v>
      </c>
      <c r="AM322" s="8"/>
      <c r="AN322" s="8"/>
    </row>
    <row r="323" spans="1:40" ht="16" thickBot="1">
      <c r="A323" s="3">
        <v>322</v>
      </c>
      <c r="B323" s="19">
        <v>45945</v>
      </c>
      <c r="C323" s="5" t="s">
        <v>40</v>
      </c>
      <c r="D323" s="5" t="s">
        <v>41</v>
      </c>
      <c r="E323" s="6" t="s">
        <v>42</v>
      </c>
      <c r="F323" s="7" t="s">
        <v>49</v>
      </c>
      <c r="G323" s="5" t="s">
        <v>44</v>
      </c>
      <c r="H323" s="5" t="s">
        <v>45</v>
      </c>
      <c r="I323" s="5">
        <v>6</v>
      </c>
      <c r="J323" s="5">
        <v>8</v>
      </c>
      <c r="K323" s="5">
        <v>33000</v>
      </c>
      <c r="L323" s="5">
        <v>2000</v>
      </c>
      <c r="M323" s="5">
        <v>55</v>
      </c>
      <c r="N323" s="5">
        <v>31</v>
      </c>
      <c r="O323" s="6" t="s">
        <v>50</v>
      </c>
      <c r="P323" s="8"/>
      <c r="Q323" s="16">
        <v>4.6527777777777779E-2</v>
      </c>
      <c r="R323" s="16">
        <v>0.18267361111111111</v>
      </c>
      <c r="S323" s="6">
        <v>100044</v>
      </c>
      <c r="T323" s="8"/>
      <c r="U323" s="8"/>
      <c r="V323" s="6">
        <v>100044</v>
      </c>
      <c r="W323" s="8"/>
      <c r="X323" s="6">
        <v>83</v>
      </c>
      <c r="Y323" s="12">
        <v>-83</v>
      </c>
      <c r="Z323" s="12">
        <v>0</v>
      </c>
      <c r="AA323" s="12">
        <v>0</v>
      </c>
      <c r="AB323" s="12">
        <v>0</v>
      </c>
      <c r="AC323" s="12">
        <v>0</v>
      </c>
      <c r="AD323" s="13">
        <v>0</v>
      </c>
      <c r="AE323" s="12">
        <v>0</v>
      </c>
      <c r="AF323" s="14">
        <v>0</v>
      </c>
      <c r="AG323" s="5">
        <v>0</v>
      </c>
      <c r="AH323" s="5">
        <v>0</v>
      </c>
      <c r="AI323" s="5">
        <v>0</v>
      </c>
      <c r="AJ323" s="5">
        <v>1064.52</v>
      </c>
      <c r="AK323" s="5">
        <v>0</v>
      </c>
      <c r="AL323" s="5">
        <v>1064.52</v>
      </c>
      <c r="AM323" s="8"/>
      <c r="AN323" s="8"/>
    </row>
    <row r="324" spans="1:40" ht="16" thickBot="1">
      <c r="A324" s="3">
        <v>323</v>
      </c>
      <c r="B324" s="19">
        <v>45945</v>
      </c>
      <c r="C324" s="5" t="s">
        <v>40</v>
      </c>
      <c r="D324" s="5" t="s">
        <v>41</v>
      </c>
      <c r="E324" s="6" t="s">
        <v>42</v>
      </c>
      <c r="F324" s="7" t="s">
        <v>51</v>
      </c>
      <c r="G324" s="5" t="s">
        <v>44</v>
      </c>
      <c r="H324" s="5" t="s">
        <v>45</v>
      </c>
      <c r="I324" s="5">
        <v>4</v>
      </c>
      <c r="J324" s="5">
        <v>8</v>
      </c>
      <c r="K324" s="5">
        <v>25000</v>
      </c>
      <c r="L324" s="5">
        <v>1000</v>
      </c>
      <c r="M324" s="5">
        <v>55</v>
      </c>
      <c r="N324" s="5">
        <v>31</v>
      </c>
      <c r="O324" s="6" t="s">
        <v>90</v>
      </c>
      <c r="P324" s="8"/>
      <c r="Q324" s="16">
        <v>0.13055555555555556</v>
      </c>
      <c r="R324" s="16">
        <v>0.18633101851851852</v>
      </c>
      <c r="S324" s="6">
        <v>83995</v>
      </c>
      <c r="T324" s="16">
        <v>0.32780092592592591</v>
      </c>
      <c r="U324" s="16">
        <v>0.33103009259259258</v>
      </c>
      <c r="V324" s="6">
        <v>84027</v>
      </c>
      <c r="W324" s="6">
        <v>60</v>
      </c>
      <c r="X324" s="6">
        <v>60</v>
      </c>
      <c r="Y324" s="12">
        <v>0</v>
      </c>
      <c r="Z324" s="12">
        <v>32</v>
      </c>
      <c r="AA324" s="12">
        <v>32</v>
      </c>
      <c r="AB324" s="12">
        <v>0</v>
      </c>
      <c r="AC324" s="12">
        <v>0</v>
      </c>
      <c r="AD324" s="13">
        <v>0</v>
      </c>
      <c r="AE324" s="12">
        <v>0</v>
      </c>
      <c r="AF324" s="14">
        <v>0</v>
      </c>
      <c r="AG324" s="5">
        <v>0</v>
      </c>
      <c r="AH324" s="5">
        <v>0</v>
      </c>
      <c r="AI324" s="5">
        <v>0</v>
      </c>
      <c r="AJ324" s="5">
        <v>806.45</v>
      </c>
      <c r="AK324" s="5">
        <v>0</v>
      </c>
      <c r="AL324" s="5">
        <v>806.45</v>
      </c>
      <c r="AM324" s="8"/>
      <c r="AN324" s="8"/>
    </row>
    <row r="325" spans="1:40" ht="16" thickBot="1">
      <c r="A325" s="3">
        <v>324</v>
      </c>
      <c r="B325" s="19">
        <v>45945</v>
      </c>
      <c r="C325" s="5" t="s">
        <v>40</v>
      </c>
      <c r="D325" s="5" t="s">
        <v>41</v>
      </c>
      <c r="E325" s="6" t="s">
        <v>42</v>
      </c>
      <c r="F325" s="7" t="s">
        <v>145</v>
      </c>
      <c r="G325" s="5" t="s">
        <v>44</v>
      </c>
      <c r="H325" s="5" t="s">
        <v>45</v>
      </c>
      <c r="I325" s="5">
        <v>4</v>
      </c>
      <c r="J325" s="5">
        <v>8</v>
      </c>
      <c r="K325" s="5">
        <v>25000</v>
      </c>
      <c r="L325" s="5">
        <v>1000</v>
      </c>
      <c r="M325" s="5">
        <v>55</v>
      </c>
      <c r="N325" s="5">
        <v>31</v>
      </c>
      <c r="O325" s="6" t="s">
        <v>124</v>
      </c>
      <c r="P325" s="8"/>
      <c r="Q325" s="16">
        <v>4.5138888888888888E-2</v>
      </c>
      <c r="R325" s="16">
        <v>0.17513888888888887</v>
      </c>
      <c r="S325" s="6">
        <v>38097</v>
      </c>
      <c r="T325" s="16">
        <v>0.3230555555555556</v>
      </c>
      <c r="U325" s="16">
        <v>0.32317129629629632</v>
      </c>
      <c r="V325" s="6">
        <v>38121</v>
      </c>
      <c r="W325" s="6">
        <v>36</v>
      </c>
      <c r="X325" s="6">
        <v>39</v>
      </c>
      <c r="Y325" s="12">
        <v>-3</v>
      </c>
      <c r="Z325" s="12">
        <v>24</v>
      </c>
      <c r="AA325" s="12">
        <v>24</v>
      </c>
      <c r="AB325" s="12">
        <v>0</v>
      </c>
      <c r="AC325" s="12">
        <v>0</v>
      </c>
      <c r="AD325" s="13">
        <v>0</v>
      </c>
      <c r="AE325" s="12">
        <v>0</v>
      </c>
      <c r="AF325" s="14">
        <v>0</v>
      </c>
      <c r="AG325" s="5">
        <v>0</v>
      </c>
      <c r="AH325" s="5">
        <v>0</v>
      </c>
      <c r="AI325" s="5">
        <v>0</v>
      </c>
      <c r="AJ325" s="5">
        <v>806.45</v>
      </c>
      <c r="AK325" s="5">
        <v>0</v>
      </c>
      <c r="AL325" s="5">
        <v>806.45</v>
      </c>
      <c r="AM325" s="8"/>
      <c r="AN325" s="8"/>
    </row>
    <row r="326" spans="1:40" ht="16" thickBot="1">
      <c r="A326" s="3">
        <v>325</v>
      </c>
      <c r="B326" s="19">
        <v>45945</v>
      </c>
      <c r="C326" s="5" t="s">
        <v>40</v>
      </c>
      <c r="D326" s="5" t="s">
        <v>41</v>
      </c>
      <c r="E326" s="6" t="s">
        <v>42</v>
      </c>
      <c r="F326" s="7" t="s">
        <v>53</v>
      </c>
      <c r="G326" s="5" t="s">
        <v>44</v>
      </c>
      <c r="H326" s="5" t="s">
        <v>45</v>
      </c>
      <c r="I326" s="5">
        <v>4</v>
      </c>
      <c r="J326" s="5">
        <v>8</v>
      </c>
      <c r="K326" s="5">
        <v>25000</v>
      </c>
      <c r="L326" s="5">
        <v>1000</v>
      </c>
      <c r="M326" s="5">
        <v>55</v>
      </c>
      <c r="N326" s="5">
        <v>31</v>
      </c>
      <c r="O326" s="6" t="s">
        <v>46</v>
      </c>
      <c r="P326" s="8"/>
      <c r="Q326" s="16">
        <v>0.12430555555555556</v>
      </c>
      <c r="R326" s="16">
        <v>0.29439814814814813</v>
      </c>
      <c r="S326" s="6">
        <v>12249</v>
      </c>
      <c r="T326" s="16">
        <v>0.29527777777777781</v>
      </c>
      <c r="U326" s="16">
        <v>0.29534722222222221</v>
      </c>
      <c r="V326" s="6">
        <v>12249</v>
      </c>
      <c r="W326" s="6">
        <v>0</v>
      </c>
      <c r="X326" s="6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3">
        <v>0</v>
      </c>
      <c r="AE326" s="12">
        <v>0</v>
      </c>
      <c r="AF326" s="14">
        <v>0</v>
      </c>
      <c r="AG326" s="5">
        <v>0</v>
      </c>
      <c r="AH326" s="5">
        <v>0</v>
      </c>
      <c r="AI326" s="5">
        <v>0</v>
      </c>
      <c r="AJ326" s="5">
        <v>806.45</v>
      </c>
      <c r="AK326" s="5">
        <v>0</v>
      </c>
      <c r="AL326" s="5">
        <v>806.45</v>
      </c>
      <c r="AM326" s="8"/>
      <c r="AN326" s="8"/>
    </row>
    <row r="327" spans="1:40" ht="16" thickBot="1">
      <c r="A327" s="3">
        <v>326</v>
      </c>
      <c r="B327" s="19">
        <v>45945</v>
      </c>
      <c r="C327" s="5" t="s">
        <v>40</v>
      </c>
      <c r="D327" s="5" t="s">
        <v>41</v>
      </c>
      <c r="E327" s="6" t="s">
        <v>42</v>
      </c>
      <c r="F327" s="7" t="s">
        <v>55</v>
      </c>
      <c r="G327" s="5" t="s">
        <v>44</v>
      </c>
      <c r="H327" s="5" t="s">
        <v>45</v>
      </c>
      <c r="I327" s="5">
        <v>4</v>
      </c>
      <c r="J327" s="5">
        <v>8</v>
      </c>
      <c r="K327" s="5">
        <v>25000</v>
      </c>
      <c r="L327" s="5">
        <v>1000</v>
      </c>
      <c r="M327" s="5">
        <v>55</v>
      </c>
      <c r="N327" s="5">
        <v>31</v>
      </c>
      <c r="O327" s="6" t="s">
        <v>56</v>
      </c>
      <c r="P327" s="8"/>
      <c r="Q327" s="16">
        <v>0.10833333333333334</v>
      </c>
      <c r="R327" s="16">
        <v>0.18155092592592592</v>
      </c>
      <c r="S327" s="6">
        <v>145327</v>
      </c>
      <c r="T327" s="16">
        <v>0.32618055555555553</v>
      </c>
      <c r="U327" s="16">
        <v>0.3263078703703704</v>
      </c>
      <c r="V327" s="6">
        <v>145345</v>
      </c>
      <c r="W327" s="6">
        <v>31</v>
      </c>
      <c r="X327" s="6">
        <v>31</v>
      </c>
      <c r="Y327" s="12">
        <v>0</v>
      </c>
      <c r="Z327" s="12">
        <v>18</v>
      </c>
      <c r="AA327" s="12">
        <v>18</v>
      </c>
      <c r="AB327" s="12">
        <v>0</v>
      </c>
      <c r="AC327" s="12">
        <v>0</v>
      </c>
      <c r="AD327" s="13">
        <v>0</v>
      </c>
      <c r="AE327" s="12">
        <v>0</v>
      </c>
      <c r="AF327" s="14">
        <v>0</v>
      </c>
      <c r="AG327" s="5">
        <v>0</v>
      </c>
      <c r="AH327" s="5">
        <v>0</v>
      </c>
      <c r="AI327" s="5">
        <v>0</v>
      </c>
      <c r="AJ327" s="5">
        <v>806.45</v>
      </c>
      <c r="AK327" s="5">
        <v>0</v>
      </c>
      <c r="AL327" s="5">
        <v>806.45</v>
      </c>
      <c r="AM327" s="8"/>
      <c r="AN327" s="8"/>
    </row>
    <row r="328" spans="1:40" ht="16" thickBot="1">
      <c r="A328" s="3">
        <v>327</v>
      </c>
      <c r="B328" s="19">
        <v>45945</v>
      </c>
      <c r="C328" s="5" t="s">
        <v>40</v>
      </c>
      <c r="D328" s="5" t="s">
        <v>41</v>
      </c>
      <c r="E328" s="6" t="s">
        <v>42</v>
      </c>
      <c r="F328" s="7" t="s">
        <v>176</v>
      </c>
      <c r="G328" s="5" t="s">
        <v>44</v>
      </c>
      <c r="H328" s="5" t="s">
        <v>45</v>
      </c>
      <c r="I328" s="5">
        <v>4</v>
      </c>
      <c r="J328" s="5">
        <v>8</v>
      </c>
      <c r="K328" s="5">
        <v>25000</v>
      </c>
      <c r="L328" s="5">
        <v>1000</v>
      </c>
      <c r="M328" s="5">
        <v>55</v>
      </c>
      <c r="N328" s="5">
        <v>31</v>
      </c>
      <c r="O328" s="6" t="s">
        <v>155</v>
      </c>
      <c r="P328" s="8"/>
      <c r="Q328" s="16">
        <v>8.9583333333333334E-2</v>
      </c>
      <c r="R328" s="16">
        <v>0.1861689814814815</v>
      </c>
      <c r="S328" s="6">
        <v>165301</v>
      </c>
      <c r="T328" s="16">
        <v>0.35563657407407406</v>
      </c>
      <c r="U328" s="16">
        <v>0.35615740740740742</v>
      </c>
      <c r="V328" s="6">
        <v>165320</v>
      </c>
      <c r="W328" s="6">
        <v>38</v>
      </c>
      <c r="X328" s="6">
        <v>33</v>
      </c>
      <c r="Y328" s="12">
        <v>5</v>
      </c>
      <c r="Z328" s="12">
        <v>19</v>
      </c>
      <c r="AA328" s="12">
        <v>19</v>
      </c>
      <c r="AB328" s="12">
        <v>0</v>
      </c>
      <c r="AC328" s="12">
        <v>0</v>
      </c>
      <c r="AD328" s="13">
        <v>1</v>
      </c>
      <c r="AE328" s="12">
        <v>150</v>
      </c>
      <c r="AF328" s="14">
        <v>0</v>
      </c>
      <c r="AG328" s="5">
        <v>0</v>
      </c>
      <c r="AH328" s="5">
        <v>0</v>
      </c>
      <c r="AI328" s="5">
        <v>0</v>
      </c>
      <c r="AJ328" s="5">
        <v>956.45</v>
      </c>
      <c r="AK328" s="5">
        <v>0</v>
      </c>
      <c r="AL328" s="5">
        <v>956.45</v>
      </c>
      <c r="AM328" s="8"/>
      <c r="AN328" s="8"/>
    </row>
    <row r="329" spans="1:40" ht="16" thickBot="1">
      <c r="A329" s="3">
        <v>328</v>
      </c>
      <c r="B329" s="19">
        <v>45945</v>
      </c>
      <c r="C329" s="5" t="s">
        <v>40</v>
      </c>
      <c r="D329" s="5" t="s">
        <v>41</v>
      </c>
      <c r="E329" s="6" t="s">
        <v>42</v>
      </c>
      <c r="F329" s="7" t="s">
        <v>57</v>
      </c>
      <c r="G329" s="5" t="s">
        <v>44</v>
      </c>
      <c r="H329" s="5" t="s">
        <v>45</v>
      </c>
      <c r="I329" s="5">
        <v>4</v>
      </c>
      <c r="J329" s="5">
        <v>8</v>
      </c>
      <c r="K329" s="5">
        <v>25000</v>
      </c>
      <c r="L329" s="5">
        <v>1000</v>
      </c>
      <c r="M329" s="5">
        <v>55</v>
      </c>
      <c r="N329" s="5">
        <v>31</v>
      </c>
      <c r="O329" s="6" t="s">
        <v>58</v>
      </c>
      <c r="P329" s="8"/>
      <c r="Q329" s="16">
        <v>0.12152777777777778</v>
      </c>
      <c r="R329" s="16">
        <v>0.19362268518518519</v>
      </c>
      <c r="S329" s="6">
        <v>143972</v>
      </c>
      <c r="T329" s="16">
        <v>0.35543981481481479</v>
      </c>
      <c r="U329" s="16">
        <v>0.35631944444444441</v>
      </c>
      <c r="V329" s="6">
        <v>143998</v>
      </c>
      <c r="W329" s="6">
        <v>39</v>
      </c>
      <c r="X329" s="6">
        <v>48</v>
      </c>
      <c r="Y329" s="12">
        <v>-9</v>
      </c>
      <c r="Z329" s="12">
        <v>26</v>
      </c>
      <c r="AA329" s="12">
        <v>26</v>
      </c>
      <c r="AB329" s="12">
        <v>0</v>
      </c>
      <c r="AC329" s="12">
        <v>0</v>
      </c>
      <c r="AD329" s="13">
        <v>1</v>
      </c>
      <c r="AE329" s="12">
        <v>150</v>
      </c>
      <c r="AF329" s="14">
        <v>0</v>
      </c>
      <c r="AG329" s="5">
        <v>0</v>
      </c>
      <c r="AH329" s="5">
        <v>0</v>
      </c>
      <c r="AI329" s="5">
        <v>0</v>
      </c>
      <c r="AJ329" s="5">
        <v>956.45</v>
      </c>
      <c r="AK329" s="5">
        <v>0</v>
      </c>
      <c r="AL329" s="5">
        <v>956.45</v>
      </c>
      <c r="AM329" s="8"/>
      <c r="AN329" s="8"/>
    </row>
    <row r="330" spans="1:40" ht="16" thickBot="1">
      <c r="A330" s="3">
        <v>329</v>
      </c>
      <c r="B330" s="19">
        <v>45945</v>
      </c>
      <c r="C330" s="5" t="s">
        <v>40</v>
      </c>
      <c r="D330" s="5" t="s">
        <v>41</v>
      </c>
      <c r="E330" s="6" t="s">
        <v>42</v>
      </c>
      <c r="F330" s="7" t="s">
        <v>59</v>
      </c>
      <c r="G330" s="5" t="s">
        <v>44</v>
      </c>
      <c r="H330" s="5" t="s">
        <v>45</v>
      </c>
      <c r="I330" s="5">
        <v>4</v>
      </c>
      <c r="J330" s="5">
        <v>8</v>
      </c>
      <c r="K330" s="5">
        <v>25000</v>
      </c>
      <c r="L330" s="5">
        <v>1000</v>
      </c>
      <c r="M330" s="5">
        <v>55</v>
      </c>
      <c r="N330" s="5">
        <v>31</v>
      </c>
      <c r="O330" s="6" t="s">
        <v>138</v>
      </c>
      <c r="P330" s="8"/>
      <c r="Q330" s="16">
        <v>6.0416666666666667E-2</v>
      </c>
      <c r="R330" s="16">
        <v>0.17864583333333331</v>
      </c>
      <c r="S330" s="6">
        <v>159336</v>
      </c>
      <c r="T330" s="16">
        <v>0.37202546296296296</v>
      </c>
      <c r="U330" s="16">
        <v>0.37214120370370374</v>
      </c>
      <c r="V330" s="6">
        <v>159359</v>
      </c>
      <c r="W330" s="6">
        <v>38</v>
      </c>
      <c r="X330" s="6">
        <v>38</v>
      </c>
      <c r="Y330" s="12">
        <v>0</v>
      </c>
      <c r="Z330" s="12">
        <v>23</v>
      </c>
      <c r="AA330" s="12">
        <v>23</v>
      </c>
      <c r="AB330" s="12">
        <v>0</v>
      </c>
      <c r="AC330" s="12">
        <v>0</v>
      </c>
      <c r="AD330" s="13">
        <v>1</v>
      </c>
      <c r="AE330" s="12">
        <v>150</v>
      </c>
      <c r="AF330" s="14">
        <v>0</v>
      </c>
      <c r="AG330" s="5">
        <v>0</v>
      </c>
      <c r="AH330" s="5">
        <v>0</v>
      </c>
      <c r="AI330" s="5">
        <v>0</v>
      </c>
      <c r="AJ330" s="5">
        <v>956.45</v>
      </c>
      <c r="AK330" s="5">
        <v>0</v>
      </c>
      <c r="AL330" s="5">
        <v>956.45</v>
      </c>
      <c r="AM330" s="8"/>
      <c r="AN330" s="8"/>
    </row>
    <row r="331" spans="1:40" ht="16" thickBot="1">
      <c r="A331" s="3">
        <v>330</v>
      </c>
      <c r="B331" s="19">
        <v>45945</v>
      </c>
      <c r="C331" s="5" t="s">
        <v>40</v>
      </c>
      <c r="D331" s="5" t="s">
        <v>41</v>
      </c>
      <c r="E331" s="6" t="s">
        <v>42</v>
      </c>
      <c r="F331" s="7" t="s">
        <v>60</v>
      </c>
      <c r="G331" s="5" t="s">
        <v>44</v>
      </c>
      <c r="H331" s="5" t="s">
        <v>45</v>
      </c>
      <c r="I331" s="5">
        <v>4</v>
      </c>
      <c r="J331" s="5">
        <v>8</v>
      </c>
      <c r="K331" s="5">
        <v>25000</v>
      </c>
      <c r="L331" s="5">
        <v>1000</v>
      </c>
      <c r="M331" s="5">
        <v>55</v>
      </c>
      <c r="N331" s="5">
        <v>31</v>
      </c>
      <c r="O331" s="6" t="s">
        <v>88</v>
      </c>
      <c r="P331" s="8"/>
      <c r="Q331" s="16">
        <v>4.7222222222222221E-2</v>
      </c>
      <c r="R331" s="16">
        <v>0.19719907407407408</v>
      </c>
      <c r="S331" s="6">
        <v>113247</v>
      </c>
      <c r="T331" s="16">
        <v>0.33068287037037036</v>
      </c>
      <c r="U331" s="16">
        <v>0.33076388888888891</v>
      </c>
      <c r="V331" s="6">
        <v>113265</v>
      </c>
      <c r="W331" s="6">
        <v>37</v>
      </c>
      <c r="X331" s="6">
        <v>39</v>
      </c>
      <c r="Y331" s="12">
        <v>-2</v>
      </c>
      <c r="Z331" s="12">
        <v>18</v>
      </c>
      <c r="AA331" s="12">
        <v>18</v>
      </c>
      <c r="AB331" s="12">
        <v>0</v>
      </c>
      <c r="AC331" s="12">
        <v>0</v>
      </c>
      <c r="AD331" s="13">
        <v>0</v>
      </c>
      <c r="AE331" s="12">
        <v>0</v>
      </c>
      <c r="AF331" s="14">
        <v>0</v>
      </c>
      <c r="AG331" s="5">
        <v>0</v>
      </c>
      <c r="AH331" s="5">
        <v>0</v>
      </c>
      <c r="AI331" s="5">
        <v>0</v>
      </c>
      <c r="AJ331" s="5">
        <v>806.45</v>
      </c>
      <c r="AK331" s="5">
        <v>0</v>
      </c>
      <c r="AL331" s="5">
        <v>806.45</v>
      </c>
      <c r="AM331" s="8"/>
      <c r="AN331" s="8"/>
    </row>
    <row r="332" spans="1:40" ht="16" thickBot="1">
      <c r="A332" s="3">
        <v>331</v>
      </c>
      <c r="B332" s="19">
        <v>45945</v>
      </c>
      <c r="C332" s="5" t="s">
        <v>40</v>
      </c>
      <c r="D332" s="5" t="s">
        <v>41</v>
      </c>
      <c r="E332" s="6" t="s">
        <v>42</v>
      </c>
      <c r="F332" s="7" t="s">
        <v>97</v>
      </c>
      <c r="G332" s="5" t="s">
        <v>44</v>
      </c>
      <c r="H332" s="5" t="s">
        <v>45</v>
      </c>
      <c r="I332" s="5">
        <v>4</v>
      </c>
      <c r="J332" s="5">
        <v>8</v>
      </c>
      <c r="K332" s="5">
        <v>25000</v>
      </c>
      <c r="L332" s="5">
        <v>1000</v>
      </c>
      <c r="M332" s="5">
        <v>55</v>
      </c>
      <c r="N332" s="5">
        <v>31</v>
      </c>
      <c r="O332" s="6" t="s">
        <v>171</v>
      </c>
      <c r="P332" s="8"/>
      <c r="Q332" s="16">
        <v>0.12361111111111112</v>
      </c>
      <c r="R332" s="16">
        <v>0.18761574074074075</v>
      </c>
      <c r="S332" s="6">
        <v>78145</v>
      </c>
      <c r="T332" s="16">
        <v>0.37178240740740742</v>
      </c>
      <c r="U332" s="16">
        <v>0.37187500000000001</v>
      </c>
      <c r="V332" s="6">
        <v>78174</v>
      </c>
      <c r="W332" s="6">
        <v>57</v>
      </c>
      <c r="X332" s="6">
        <v>57</v>
      </c>
      <c r="Y332" s="12">
        <v>0</v>
      </c>
      <c r="Z332" s="12">
        <v>29</v>
      </c>
      <c r="AA332" s="12">
        <v>29</v>
      </c>
      <c r="AB332" s="12">
        <v>0</v>
      </c>
      <c r="AC332" s="12">
        <v>0</v>
      </c>
      <c r="AD332" s="13">
        <v>1</v>
      </c>
      <c r="AE332" s="12">
        <v>150</v>
      </c>
      <c r="AF332" s="14">
        <v>0</v>
      </c>
      <c r="AG332" s="5">
        <v>0</v>
      </c>
      <c r="AH332" s="5">
        <v>0</v>
      </c>
      <c r="AI332" s="5">
        <v>0</v>
      </c>
      <c r="AJ332" s="5">
        <v>956.45</v>
      </c>
      <c r="AK332" s="5">
        <v>0</v>
      </c>
      <c r="AL332" s="5">
        <v>956.45</v>
      </c>
      <c r="AM332" s="8"/>
      <c r="AN332" s="8"/>
    </row>
    <row r="333" spans="1:40" ht="16" thickBot="1">
      <c r="A333" s="3">
        <v>332</v>
      </c>
      <c r="B333" s="19">
        <v>45945</v>
      </c>
      <c r="C333" s="5" t="s">
        <v>40</v>
      </c>
      <c r="D333" s="5" t="s">
        <v>41</v>
      </c>
      <c r="E333" s="6" t="s">
        <v>42</v>
      </c>
      <c r="F333" s="7" t="s">
        <v>177</v>
      </c>
      <c r="G333" s="5" t="s">
        <v>44</v>
      </c>
      <c r="H333" s="5" t="s">
        <v>45</v>
      </c>
      <c r="I333" s="5">
        <v>4</v>
      </c>
      <c r="J333" s="5">
        <v>8</v>
      </c>
      <c r="K333" s="5">
        <v>25000</v>
      </c>
      <c r="L333" s="5">
        <v>1000</v>
      </c>
      <c r="M333" s="5">
        <v>55</v>
      </c>
      <c r="N333" s="5">
        <v>31</v>
      </c>
      <c r="O333" s="6" t="s">
        <v>61</v>
      </c>
      <c r="P333" s="8"/>
      <c r="Q333" s="16">
        <v>8.1250000000000003E-2</v>
      </c>
      <c r="R333" s="16">
        <v>0.18070601851851853</v>
      </c>
      <c r="S333" s="6">
        <v>88848</v>
      </c>
      <c r="T333" s="16">
        <v>0.33355324074074072</v>
      </c>
      <c r="U333" s="16">
        <v>0.33364583333333336</v>
      </c>
      <c r="V333" s="6">
        <v>88863</v>
      </c>
      <c r="W333" s="6">
        <v>45</v>
      </c>
      <c r="X333" s="6">
        <v>45</v>
      </c>
      <c r="Y333" s="12">
        <v>0</v>
      </c>
      <c r="Z333" s="12">
        <v>15</v>
      </c>
      <c r="AA333" s="12">
        <v>15</v>
      </c>
      <c r="AB333" s="12">
        <v>0</v>
      </c>
      <c r="AC333" s="12">
        <v>0</v>
      </c>
      <c r="AD333" s="13">
        <v>0</v>
      </c>
      <c r="AE333" s="12">
        <v>0</v>
      </c>
      <c r="AF333" s="14">
        <v>0</v>
      </c>
      <c r="AG333" s="5">
        <v>0</v>
      </c>
      <c r="AH333" s="5">
        <v>0</v>
      </c>
      <c r="AI333" s="5">
        <v>0</v>
      </c>
      <c r="AJ333" s="5">
        <v>806.45</v>
      </c>
      <c r="AK333" s="5">
        <v>0</v>
      </c>
      <c r="AL333" s="5">
        <v>806.45</v>
      </c>
      <c r="AM333" s="8"/>
      <c r="AN333" s="8"/>
    </row>
    <row r="334" spans="1:40" ht="16" thickBot="1">
      <c r="A334" s="3">
        <v>333</v>
      </c>
      <c r="B334" s="19">
        <v>45945</v>
      </c>
      <c r="C334" s="5" t="s">
        <v>40</v>
      </c>
      <c r="D334" s="5" t="s">
        <v>41</v>
      </c>
      <c r="E334" s="6" t="s">
        <v>42</v>
      </c>
      <c r="F334" s="7" t="s">
        <v>99</v>
      </c>
      <c r="G334" s="5" t="s">
        <v>44</v>
      </c>
      <c r="H334" s="5" t="s">
        <v>45</v>
      </c>
      <c r="I334" s="5">
        <v>4</v>
      </c>
      <c r="J334" s="5">
        <v>8</v>
      </c>
      <c r="K334" s="5">
        <v>25000</v>
      </c>
      <c r="L334" s="5">
        <v>1000</v>
      </c>
      <c r="M334" s="5">
        <v>55</v>
      </c>
      <c r="N334" s="5">
        <v>31</v>
      </c>
      <c r="O334" s="6" t="s">
        <v>148</v>
      </c>
      <c r="P334" s="8"/>
      <c r="Q334" s="16">
        <v>4.5833333333333337E-2</v>
      </c>
      <c r="R334" s="16">
        <v>0.18237268518518521</v>
      </c>
      <c r="S334" s="6">
        <v>87569</v>
      </c>
      <c r="T334" s="16">
        <v>0.34030092592592592</v>
      </c>
      <c r="U334" s="16">
        <v>0.34037037037037038</v>
      </c>
      <c r="V334" s="6">
        <v>87587</v>
      </c>
      <c r="W334" s="6">
        <v>29</v>
      </c>
      <c r="X334" s="6">
        <v>29</v>
      </c>
      <c r="Y334" s="12">
        <v>0</v>
      </c>
      <c r="Z334" s="12">
        <v>18</v>
      </c>
      <c r="AA334" s="12">
        <v>18</v>
      </c>
      <c r="AB334" s="12">
        <v>0</v>
      </c>
      <c r="AC334" s="12">
        <v>0</v>
      </c>
      <c r="AD334" s="13">
        <v>1</v>
      </c>
      <c r="AE334" s="12">
        <v>150</v>
      </c>
      <c r="AF334" s="14">
        <v>0</v>
      </c>
      <c r="AG334" s="5">
        <v>0</v>
      </c>
      <c r="AH334" s="5">
        <v>0</v>
      </c>
      <c r="AI334" s="5">
        <v>0</v>
      </c>
      <c r="AJ334" s="5">
        <v>956.45</v>
      </c>
      <c r="AK334" s="5">
        <v>0</v>
      </c>
      <c r="AL334" s="5">
        <v>956.45</v>
      </c>
      <c r="AM334" s="8"/>
      <c r="AN334" s="8"/>
    </row>
    <row r="335" spans="1:40" ht="16" thickBot="1">
      <c r="A335" s="3">
        <v>334</v>
      </c>
      <c r="B335" s="19">
        <v>45945</v>
      </c>
      <c r="C335" s="5" t="s">
        <v>40</v>
      </c>
      <c r="D335" s="5" t="s">
        <v>41</v>
      </c>
      <c r="E335" s="6" t="s">
        <v>42</v>
      </c>
      <c r="F335" s="7" t="s">
        <v>178</v>
      </c>
      <c r="G335" s="5" t="s">
        <v>44</v>
      </c>
      <c r="H335" s="5" t="s">
        <v>45</v>
      </c>
      <c r="I335" s="5">
        <v>4</v>
      </c>
      <c r="J335" s="5">
        <v>8</v>
      </c>
      <c r="K335" s="5">
        <v>25000</v>
      </c>
      <c r="L335" s="5">
        <v>1000</v>
      </c>
      <c r="M335" s="5">
        <v>55</v>
      </c>
      <c r="N335" s="5">
        <v>31</v>
      </c>
      <c r="O335" s="6" t="s">
        <v>172</v>
      </c>
      <c r="P335" s="8"/>
      <c r="Q335" s="16">
        <v>9.1666666666666674E-2</v>
      </c>
      <c r="R335" s="16">
        <v>0.17635416666666667</v>
      </c>
      <c r="S335" s="6">
        <v>44503</v>
      </c>
      <c r="T335" s="16">
        <v>0.29939814814814814</v>
      </c>
      <c r="U335" s="16">
        <v>0.29949074074074072</v>
      </c>
      <c r="V335" s="6">
        <v>44540</v>
      </c>
      <c r="W335" s="6">
        <v>32</v>
      </c>
      <c r="X335" s="6">
        <v>32</v>
      </c>
      <c r="Y335" s="12">
        <v>0</v>
      </c>
      <c r="Z335" s="12">
        <v>37</v>
      </c>
      <c r="AA335" s="12">
        <v>37</v>
      </c>
      <c r="AB335" s="12">
        <v>0</v>
      </c>
      <c r="AC335" s="12">
        <v>0</v>
      </c>
      <c r="AD335" s="13">
        <v>0</v>
      </c>
      <c r="AE335" s="12">
        <v>0</v>
      </c>
      <c r="AF335" s="14">
        <v>0</v>
      </c>
      <c r="AG335" s="5">
        <v>0</v>
      </c>
      <c r="AH335" s="5">
        <v>0</v>
      </c>
      <c r="AI335" s="5">
        <v>0</v>
      </c>
      <c r="AJ335" s="5">
        <v>806.45</v>
      </c>
      <c r="AK335" s="5">
        <v>0</v>
      </c>
      <c r="AL335" s="5">
        <v>806.45</v>
      </c>
      <c r="AM335" s="8"/>
      <c r="AN335" s="8"/>
    </row>
    <row r="336" spans="1:40" ht="16" thickBot="1">
      <c r="A336" s="3">
        <v>335</v>
      </c>
      <c r="B336" s="19">
        <v>45945</v>
      </c>
      <c r="C336" s="5" t="s">
        <v>40</v>
      </c>
      <c r="D336" s="5" t="s">
        <v>41</v>
      </c>
      <c r="E336" s="6" t="s">
        <v>42</v>
      </c>
      <c r="F336" s="7" t="s">
        <v>68</v>
      </c>
      <c r="G336" s="5" t="s">
        <v>44</v>
      </c>
      <c r="H336" s="5" t="s">
        <v>45</v>
      </c>
      <c r="I336" s="5">
        <v>4</v>
      </c>
      <c r="J336" s="5">
        <v>8</v>
      </c>
      <c r="K336" s="5">
        <v>25000</v>
      </c>
      <c r="L336" s="5">
        <v>1000</v>
      </c>
      <c r="M336" s="5">
        <v>55</v>
      </c>
      <c r="N336" s="5">
        <v>31</v>
      </c>
      <c r="O336" s="6" t="s">
        <v>170</v>
      </c>
      <c r="P336" s="8"/>
      <c r="Q336" s="16">
        <v>4.5138888888888888E-2</v>
      </c>
      <c r="R336" s="16">
        <v>0.18255787037037038</v>
      </c>
      <c r="S336" s="6">
        <v>83845</v>
      </c>
      <c r="T336" s="16">
        <v>0.32643518518518516</v>
      </c>
      <c r="U336" s="16">
        <v>0.32653935185185184</v>
      </c>
      <c r="V336" s="6">
        <v>83862</v>
      </c>
      <c r="W336" s="6">
        <v>35</v>
      </c>
      <c r="X336" s="6">
        <v>35</v>
      </c>
      <c r="Y336" s="12">
        <v>0</v>
      </c>
      <c r="Z336" s="12">
        <v>17</v>
      </c>
      <c r="AA336" s="12">
        <v>17</v>
      </c>
      <c r="AB336" s="12">
        <v>0</v>
      </c>
      <c r="AC336" s="12">
        <v>0</v>
      </c>
      <c r="AD336" s="13">
        <v>0</v>
      </c>
      <c r="AE336" s="12">
        <v>0</v>
      </c>
      <c r="AF336" s="14">
        <v>0</v>
      </c>
      <c r="AG336" s="5">
        <v>0</v>
      </c>
      <c r="AH336" s="5">
        <v>0</v>
      </c>
      <c r="AI336" s="5">
        <v>0</v>
      </c>
      <c r="AJ336" s="5">
        <v>806.45</v>
      </c>
      <c r="AK336" s="5">
        <v>0</v>
      </c>
      <c r="AL336" s="5">
        <v>806.45</v>
      </c>
      <c r="AM336" s="8"/>
      <c r="AN336" s="8"/>
    </row>
    <row r="337" spans="1:40" ht="16" thickBot="1">
      <c r="A337" s="3">
        <v>336</v>
      </c>
      <c r="B337" s="19">
        <v>45945</v>
      </c>
      <c r="C337" s="5" t="s">
        <v>40</v>
      </c>
      <c r="D337" s="5" t="s">
        <v>41</v>
      </c>
      <c r="E337" s="6" t="s">
        <v>42</v>
      </c>
      <c r="F337" s="7" t="s">
        <v>70</v>
      </c>
      <c r="G337" s="5" t="s">
        <v>44</v>
      </c>
      <c r="H337" s="5" t="s">
        <v>45</v>
      </c>
      <c r="I337" s="5">
        <v>4</v>
      </c>
      <c r="J337" s="5">
        <v>8</v>
      </c>
      <c r="K337" s="5">
        <v>25000</v>
      </c>
      <c r="L337" s="5">
        <v>1000</v>
      </c>
      <c r="M337" s="5">
        <v>55</v>
      </c>
      <c r="N337" s="5">
        <v>31</v>
      </c>
      <c r="O337" s="6" t="s">
        <v>146</v>
      </c>
      <c r="P337" s="8"/>
      <c r="Q337" s="16">
        <v>9.0972222222222218E-2</v>
      </c>
      <c r="R337" s="16">
        <v>0.18568287037037037</v>
      </c>
      <c r="S337" s="6">
        <v>36852</v>
      </c>
      <c r="T337" s="16">
        <v>0.32482638888888887</v>
      </c>
      <c r="U337" s="16">
        <v>0.32494212962962959</v>
      </c>
      <c r="V337" s="6">
        <v>36883</v>
      </c>
      <c r="W337" s="6">
        <v>41</v>
      </c>
      <c r="X337" s="6">
        <v>41</v>
      </c>
      <c r="Y337" s="12">
        <v>0</v>
      </c>
      <c r="Z337" s="12">
        <v>31</v>
      </c>
      <c r="AA337" s="12">
        <v>31</v>
      </c>
      <c r="AB337" s="12">
        <v>0</v>
      </c>
      <c r="AC337" s="12">
        <v>0</v>
      </c>
      <c r="AD337" s="13">
        <v>0</v>
      </c>
      <c r="AE337" s="12">
        <v>0</v>
      </c>
      <c r="AF337" s="14">
        <v>0</v>
      </c>
      <c r="AG337" s="5">
        <v>0</v>
      </c>
      <c r="AH337" s="5">
        <v>0</v>
      </c>
      <c r="AI337" s="5">
        <v>0</v>
      </c>
      <c r="AJ337" s="5">
        <v>806.45</v>
      </c>
      <c r="AK337" s="5">
        <v>0</v>
      </c>
      <c r="AL337" s="5">
        <v>806.45</v>
      </c>
      <c r="AM337" s="8"/>
      <c r="AN337" s="8"/>
    </row>
    <row r="338" spans="1:40" ht="16" thickBot="1">
      <c r="A338" s="3">
        <v>337</v>
      </c>
      <c r="B338" s="19">
        <v>45945</v>
      </c>
      <c r="C338" s="5" t="s">
        <v>40</v>
      </c>
      <c r="D338" s="5" t="s">
        <v>41</v>
      </c>
      <c r="E338" s="6" t="s">
        <v>42</v>
      </c>
      <c r="F338" s="7" t="s">
        <v>72</v>
      </c>
      <c r="G338" s="5" t="s">
        <v>44</v>
      </c>
      <c r="H338" s="5" t="s">
        <v>45</v>
      </c>
      <c r="I338" s="5">
        <v>6</v>
      </c>
      <c r="J338" s="5">
        <v>8</v>
      </c>
      <c r="K338" s="5">
        <v>33000</v>
      </c>
      <c r="L338" s="5">
        <v>2000</v>
      </c>
      <c r="M338" s="5">
        <v>55</v>
      </c>
      <c r="N338" s="5">
        <v>31</v>
      </c>
      <c r="O338" s="6" t="s">
        <v>73</v>
      </c>
      <c r="P338" s="8"/>
      <c r="Q338" s="16">
        <v>0.13402777777777777</v>
      </c>
      <c r="R338" s="16">
        <v>0.18708333333333335</v>
      </c>
      <c r="S338" s="6">
        <v>33623</v>
      </c>
      <c r="T338" s="16">
        <v>0.40065972222222218</v>
      </c>
      <c r="U338" s="16">
        <v>0.4009375</v>
      </c>
      <c r="V338" s="6">
        <v>33698</v>
      </c>
      <c r="W338" s="6">
        <v>50</v>
      </c>
      <c r="X338" s="6">
        <v>45</v>
      </c>
      <c r="Y338" s="12">
        <v>5</v>
      </c>
      <c r="Z338" s="12">
        <v>75</v>
      </c>
      <c r="AA338" s="12">
        <v>75</v>
      </c>
      <c r="AB338" s="12">
        <v>0</v>
      </c>
      <c r="AC338" s="12">
        <v>0</v>
      </c>
      <c r="AD338" s="13">
        <v>1</v>
      </c>
      <c r="AE338" s="12">
        <v>150</v>
      </c>
      <c r="AF338" s="14">
        <v>1</v>
      </c>
      <c r="AG338" s="5">
        <v>150</v>
      </c>
      <c r="AH338" s="5">
        <v>0</v>
      </c>
      <c r="AI338" s="5">
        <v>0</v>
      </c>
      <c r="AJ338" s="5">
        <v>1214.52</v>
      </c>
      <c r="AK338" s="5">
        <v>150</v>
      </c>
      <c r="AL338" s="5">
        <v>1064.52</v>
      </c>
      <c r="AM338" s="8"/>
      <c r="AN338" s="8"/>
    </row>
    <row r="339" spans="1:40" ht="16" thickBot="1">
      <c r="A339" s="3">
        <v>338</v>
      </c>
      <c r="B339" s="19">
        <v>45945</v>
      </c>
      <c r="C339" s="5" t="s">
        <v>40</v>
      </c>
      <c r="D339" s="5" t="s">
        <v>41</v>
      </c>
      <c r="E339" s="6" t="s">
        <v>42</v>
      </c>
      <c r="F339" s="7" t="s">
        <v>74</v>
      </c>
      <c r="G339" s="5" t="s">
        <v>44</v>
      </c>
      <c r="H339" s="5" t="s">
        <v>45</v>
      </c>
      <c r="I339" s="5">
        <v>4</v>
      </c>
      <c r="J339" s="5">
        <v>8</v>
      </c>
      <c r="K339" s="5">
        <v>25000</v>
      </c>
      <c r="L339" s="5">
        <v>1000</v>
      </c>
      <c r="M339" s="5">
        <v>55</v>
      </c>
      <c r="N339" s="5">
        <v>31</v>
      </c>
      <c r="O339" s="6" t="s">
        <v>75</v>
      </c>
      <c r="P339" s="8"/>
      <c r="Q339" s="16">
        <v>4.4444444444444446E-2</v>
      </c>
      <c r="R339" s="16">
        <v>0.18592592592592594</v>
      </c>
      <c r="S339" s="6">
        <v>38653</v>
      </c>
      <c r="T339" s="16">
        <v>0.32880787037037035</v>
      </c>
      <c r="U339" s="16">
        <v>0.32898148148148149</v>
      </c>
      <c r="V339" s="6">
        <v>38675</v>
      </c>
      <c r="W339" s="6">
        <v>39</v>
      </c>
      <c r="X339" s="6">
        <v>39</v>
      </c>
      <c r="Y339" s="12">
        <v>0</v>
      </c>
      <c r="Z339" s="12">
        <v>22</v>
      </c>
      <c r="AA339" s="12">
        <v>22</v>
      </c>
      <c r="AB339" s="12">
        <v>0</v>
      </c>
      <c r="AC339" s="12">
        <v>0</v>
      </c>
      <c r="AD339" s="13">
        <v>0</v>
      </c>
      <c r="AE339" s="12">
        <v>0</v>
      </c>
      <c r="AF339" s="14">
        <v>0</v>
      </c>
      <c r="AG339" s="5">
        <v>0</v>
      </c>
      <c r="AH339" s="5">
        <v>0</v>
      </c>
      <c r="AI339" s="5">
        <v>0</v>
      </c>
      <c r="AJ339" s="5">
        <v>806.45</v>
      </c>
      <c r="AK339" s="5">
        <v>0</v>
      </c>
      <c r="AL339" s="5">
        <v>806.45</v>
      </c>
      <c r="AM339" s="8"/>
      <c r="AN339" s="8"/>
    </row>
    <row r="340" spans="1:40" ht="16" thickBot="1">
      <c r="A340" s="3">
        <v>339</v>
      </c>
      <c r="B340" s="19">
        <v>45945</v>
      </c>
      <c r="C340" s="5" t="s">
        <v>40</v>
      </c>
      <c r="D340" s="5" t="s">
        <v>41</v>
      </c>
      <c r="E340" s="6" t="s">
        <v>42</v>
      </c>
      <c r="F340" s="7" t="s">
        <v>78</v>
      </c>
      <c r="G340" s="5" t="s">
        <v>44</v>
      </c>
      <c r="H340" s="5" t="s">
        <v>45</v>
      </c>
      <c r="I340" s="5">
        <v>4</v>
      </c>
      <c r="J340" s="5">
        <v>8</v>
      </c>
      <c r="K340" s="5">
        <v>25000</v>
      </c>
      <c r="L340" s="5">
        <v>1000</v>
      </c>
      <c r="M340" s="5">
        <v>55</v>
      </c>
      <c r="N340" s="5">
        <v>31</v>
      </c>
      <c r="O340" s="6" t="s">
        <v>79</v>
      </c>
      <c r="P340" s="8"/>
      <c r="Q340" s="16">
        <v>4.4444444444444446E-2</v>
      </c>
      <c r="R340" s="16">
        <v>0.18162037037037038</v>
      </c>
      <c r="S340" s="6">
        <v>7362</v>
      </c>
      <c r="T340" s="16">
        <v>0.32282407407407404</v>
      </c>
      <c r="U340" s="16">
        <v>0.32290509259259259</v>
      </c>
      <c r="V340" s="6">
        <v>7399</v>
      </c>
      <c r="W340" s="6">
        <v>29</v>
      </c>
      <c r="X340" s="6">
        <v>38</v>
      </c>
      <c r="Y340" s="12">
        <v>-9</v>
      </c>
      <c r="Z340" s="12">
        <v>37</v>
      </c>
      <c r="AA340" s="12">
        <v>37</v>
      </c>
      <c r="AB340" s="12">
        <v>0</v>
      </c>
      <c r="AC340" s="12">
        <v>0</v>
      </c>
      <c r="AD340" s="13">
        <v>0</v>
      </c>
      <c r="AE340" s="12">
        <v>0</v>
      </c>
      <c r="AF340" s="14">
        <v>0</v>
      </c>
      <c r="AG340" s="5">
        <v>0</v>
      </c>
      <c r="AH340" s="5">
        <v>0</v>
      </c>
      <c r="AI340" s="5">
        <v>0</v>
      </c>
      <c r="AJ340" s="5">
        <v>806.45</v>
      </c>
      <c r="AK340" s="5">
        <v>0</v>
      </c>
      <c r="AL340" s="5">
        <v>806.45</v>
      </c>
      <c r="AM340" s="8"/>
      <c r="AN340" s="8"/>
    </row>
    <row r="341" spans="1:40" ht="16" thickBot="1">
      <c r="A341" s="3">
        <v>340</v>
      </c>
      <c r="B341" s="19">
        <v>45945</v>
      </c>
      <c r="C341" s="5" t="s">
        <v>40</v>
      </c>
      <c r="D341" s="5" t="s">
        <v>41</v>
      </c>
      <c r="E341" s="6" t="s">
        <v>42</v>
      </c>
      <c r="F341" s="7" t="s">
        <v>80</v>
      </c>
      <c r="G341" s="5" t="s">
        <v>44</v>
      </c>
      <c r="H341" s="5" t="s">
        <v>45</v>
      </c>
      <c r="I341" s="5">
        <v>4</v>
      </c>
      <c r="J341" s="5">
        <v>8</v>
      </c>
      <c r="K341" s="5">
        <v>25000</v>
      </c>
      <c r="L341" s="5">
        <v>1000</v>
      </c>
      <c r="M341" s="5">
        <v>55</v>
      </c>
      <c r="N341" s="5">
        <v>31</v>
      </c>
      <c r="O341" s="6" t="s">
        <v>69</v>
      </c>
      <c r="P341" s="8"/>
      <c r="Q341" s="16">
        <v>4.6527777777777779E-2</v>
      </c>
      <c r="R341" s="16">
        <v>0.18275462962962963</v>
      </c>
      <c r="S341" s="6">
        <v>4946</v>
      </c>
      <c r="T341" s="16">
        <v>0.34196759259259263</v>
      </c>
      <c r="U341" s="16">
        <v>0.34206018518518522</v>
      </c>
      <c r="V341" s="6">
        <v>4962</v>
      </c>
      <c r="W341" s="6">
        <v>52</v>
      </c>
      <c r="X341" s="6">
        <v>52</v>
      </c>
      <c r="Y341" s="12">
        <v>0</v>
      </c>
      <c r="Z341" s="12">
        <v>16</v>
      </c>
      <c r="AA341" s="12">
        <v>16</v>
      </c>
      <c r="AB341" s="12">
        <v>0</v>
      </c>
      <c r="AC341" s="12">
        <v>0</v>
      </c>
      <c r="AD341" s="13">
        <v>1</v>
      </c>
      <c r="AE341" s="12">
        <v>150</v>
      </c>
      <c r="AF341" s="14">
        <v>0</v>
      </c>
      <c r="AG341" s="5">
        <v>0</v>
      </c>
      <c r="AH341" s="5">
        <v>0</v>
      </c>
      <c r="AI341" s="5">
        <v>0</v>
      </c>
      <c r="AJ341" s="5">
        <v>956.45</v>
      </c>
      <c r="AK341" s="5">
        <v>0</v>
      </c>
      <c r="AL341" s="5">
        <v>956.45</v>
      </c>
      <c r="AM341" s="8"/>
      <c r="AN341" s="8"/>
    </row>
    <row r="342" spans="1:40" ht="16" thickBot="1">
      <c r="A342" s="3">
        <v>341</v>
      </c>
      <c r="B342" s="19">
        <v>45945</v>
      </c>
      <c r="C342" s="5" t="s">
        <v>40</v>
      </c>
      <c r="D342" s="5" t="s">
        <v>41</v>
      </c>
      <c r="E342" s="6" t="s">
        <v>42</v>
      </c>
      <c r="F342" s="7" t="s">
        <v>105</v>
      </c>
      <c r="G342" s="5" t="s">
        <v>44</v>
      </c>
      <c r="H342" s="5" t="s">
        <v>45</v>
      </c>
      <c r="I342" s="5">
        <v>4</v>
      </c>
      <c r="J342" s="5">
        <v>8</v>
      </c>
      <c r="K342" s="5">
        <v>25000</v>
      </c>
      <c r="L342" s="5">
        <v>1000</v>
      </c>
      <c r="M342" s="5">
        <v>55</v>
      </c>
      <c r="N342" s="5">
        <v>31</v>
      </c>
      <c r="O342" s="6" t="s">
        <v>139</v>
      </c>
      <c r="P342" s="8"/>
      <c r="Q342" s="16">
        <v>0.10625</v>
      </c>
      <c r="R342" s="16">
        <v>0.18733796296296298</v>
      </c>
      <c r="S342" s="6">
        <v>41451</v>
      </c>
      <c r="T342" s="16">
        <v>0.30454861111111114</v>
      </c>
      <c r="U342" s="16">
        <v>0.30478009259259259</v>
      </c>
      <c r="V342" s="6">
        <v>41481</v>
      </c>
      <c r="W342" s="6">
        <v>46</v>
      </c>
      <c r="X342" s="6">
        <v>67</v>
      </c>
      <c r="Y342" s="12">
        <v>-21</v>
      </c>
      <c r="Z342" s="12">
        <v>30</v>
      </c>
      <c r="AA342" s="12">
        <v>30</v>
      </c>
      <c r="AB342" s="12">
        <v>0</v>
      </c>
      <c r="AC342" s="12">
        <v>0</v>
      </c>
      <c r="AD342" s="13">
        <v>0</v>
      </c>
      <c r="AE342" s="12">
        <v>0</v>
      </c>
      <c r="AF342" s="14">
        <v>0</v>
      </c>
      <c r="AG342" s="5">
        <v>0</v>
      </c>
      <c r="AH342" s="5">
        <v>0</v>
      </c>
      <c r="AI342" s="5">
        <v>0</v>
      </c>
      <c r="AJ342" s="5">
        <v>806.45</v>
      </c>
      <c r="AK342" s="5">
        <v>0</v>
      </c>
      <c r="AL342" s="5">
        <v>806.45</v>
      </c>
      <c r="AM342" s="8"/>
      <c r="AN342" s="8"/>
    </row>
    <row r="343" spans="1:40" ht="16" thickBot="1">
      <c r="A343" s="3">
        <v>342</v>
      </c>
      <c r="B343" s="19">
        <v>45945</v>
      </c>
      <c r="C343" s="5" t="s">
        <v>40</v>
      </c>
      <c r="D343" s="5" t="s">
        <v>41</v>
      </c>
      <c r="E343" s="6" t="s">
        <v>42</v>
      </c>
      <c r="F343" s="7" t="s">
        <v>85</v>
      </c>
      <c r="G343" s="10" t="s">
        <v>83</v>
      </c>
      <c r="H343" s="5" t="s">
        <v>84</v>
      </c>
      <c r="I343" s="5">
        <v>4</v>
      </c>
      <c r="J343" s="5">
        <v>10</v>
      </c>
      <c r="K343" s="6">
        <v>29000</v>
      </c>
      <c r="L343" s="5">
        <v>1000</v>
      </c>
      <c r="M343" s="5">
        <v>55</v>
      </c>
      <c r="N343" s="5">
        <v>31</v>
      </c>
      <c r="O343" s="6" t="s">
        <v>69</v>
      </c>
      <c r="P343" s="8"/>
      <c r="Q343" s="16">
        <v>7.013888888888889E-2</v>
      </c>
      <c r="R343" s="16">
        <v>0.29267361111111112</v>
      </c>
      <c r="S343" s="6">
        <v>38887</v>
      </c>
      <c r="T343" s="16">
        <v>0.3117476851851852</v>
      </c>
      <c r="U343" s="16">
        <v>0.31186342592592592</v>
      </c>
      <c r="V343" s="6">
        <v>38902</v>
      </c>
      <c r="W343" s="6">
        <v>0</v>
      </c>
      <c r="X343" s="6">
        <v>0</v>
      </c>
      <c r="Y343" s="12">
        <v>0</v>
      </c>
      <c r="Z343" s="12">
        <v>15</v>
      </c>
      <c r="AA343" s="12">
        <v>15</v>
      </c>
      <c r="AB343" s="12">
        <v>0</v>
      </c>
      <c r="AC343" s="12">
        <v>0</v>
      </c>
      <c r="AD343" s="13">
        <v>0</v>
      </c>
      <c r="AE343" s="12">
        <v>0</v>
      </c>
      <c r="AF343" s="14">
        <v>0</v>
      </c>
      <c r="AG343" s="5">
        <v>0</v>
      </c>
      <c r="AH343" s="5">
        <v>0</v>
      </c>
      <c r="AI343" s="5">
        <v>0</v>
      </c>
      <c r="AJ343" s="5">
        <v>935.48</v>
      </c>
      <c r="AK343" s="5">
        <v>0</v>
      </c>
      <c r="AL343" s="5">
        <v>935.48</v>
      </c>
      <c r="AM343" s="8"/>
      <c r="AN343" s="8"/>
    </row>
    <row r="344" spans="1:40" ht="16" thickBot="1">
      <c r="A344" s="3">
        <v>343</v>
      </c>
      <c r="B344" s="19">
        <v>45945</v>
      </c>
      <c r="C344" s="5" t="s">
        <v>40</v>
      </c>
      <c r="D344" s="5" t="s">
        <v>41</v>
      </c>
      <c r="E344" s="6" t="s">
        <v>42</v>
      </c>
      <c r="F344" s="7" t="s">
        <v>150</v>
      </c>
      <c r="G344" s="10" t="s">
        <v>83</v>
      </c>
      <c r="H344" s="5" t="s">
        <v>84</v>
      </c>
      <c r="I344" s="5">
        <v>4</v>
      </c>
      <c r="J344" s="5">
        <v>10</v>
      </c>
      <c r="K344" s="6">
        <v>29000</v>
      </c>
      <c r="L344" s="5">
        <v>1000</v>
      </c>
      <c r="M344" s="5">
        <v>55</v>
      </c>
      <c r="N344" s="5">
        <v>31</v>
      </c>
      <c r="O344" s="6" t="s">
        <v>179</v>
      </c>
      <c r="P344" s="8"/>
      <c r="Q344" s="16">
        <v>0.10486111111111111</v>
      </c>
      <c r="R344" s="16">
        <v>0.18975694444444446</v>
      </c>
      <c r="S344" s="6">
        <v>60641</v>
      </c>
      <c r="T344" s="16">
        <v>0.35592592592592592</v>
      </c>
      <c r="U344" s="16">
        <v>0.35603009259259261</v>
      </c>
      <c r="V344" s="6">
        <v>60667</v>
      </c>
      <c r="W344" s="6">
        <v>49</v>
      </c>
      <c r="X344" s="6">
        <v>49</v>
      </c>
      <c r="Y344" s="12">
        <v>0</v>
      </c>
      <c r="Z344" s="12">
        <v>26</v>
      </c>
      <c r="AA344" s="12">
        <v>26</v>
      </c>
      <c r="AB344" s="12">
        <v>0</v>
      </c>
      <c r="AC344" s="12">
        <v>0</v>
      </c>
      <c r="AD344" s="13">
        <v>1</v>
      </c>
      <c r="AE344" s="12">
        <v>150</v>
      </c>
      <c r="AF344" s="14">
        <v>0</v>
      </c>
      <c r="AG344" s="5">
        <v>0</v>
      </c>
      <c r="AH344" s="5">
        <v>0</v>
      </c>
      <c r="AI344" s="5">
        <v>0</v>
      </c>
      <c r="AJ344" s="5">
        <v>1085.48</v>
      </c>
      <c r="AK344" s="5">
        <v>0</v>
      </c>
      <c r="AL344" s="5">
        <v>1085.48</v>
      </c>
      <c r="AM344" s="8"/>
      <c r="AN344" s="8"/>
    </row>
    <row r="345" spans="1:40" ht="16" thickBot="1">
      <c r="A345" s="3">
        <v>344</v>
      </c>
      <c r="B345" s="19">
        <v>45945</v>
      </c>
      <c r="C345" s="5" t="s">
        <v>40</v>
      </c>
      <c r="D345" s="5" t="s">
        <v>41</v>
      </c>
      <c r="E345" s="6" t="s">
        <v>42</v>
      </c>
      <c r="F345" s="7" t="s">
        <v>87</v>
      </c>
      <c r="G345" s="10" t="s">
        <v>83</v>
      </c>
      <c r="H345" s="5" t="s">
        <v>84</v>
      </c>
      <c r="I345" s="5">
        <v>4</v>
      </c>
      <c r="J345" s="5">
        <v>10</v>
      </c>
      <c r="K345" s="6">
        <v>29000</v>
      </c>
      <c r="L345" s="5">
        <v>1000</v>
      </c>
      <c r="M345" s="5">
        <v>55</v>
      </c>
      <c r="N345" s="5">
        <v>31</v>
      </c>
      <c r="O345" s="6" t="s">
        <v>180</v>
      </c>
      <c r="P345" s="8"/>
      <c r="Q345" s="16">
        <v>0.10555555555555556</v>
      </c>
      <c r="R345" s="16">
        <v>0.18833333333333332</v>
      </c>
      <c r="S345" s="6">
        <v>3189</v>
      </c>
      <c r="T345" s="16">
        <v>0.31516203703703705</v>
      </c>
      <c r="U345" s="16">
        <v>0.31525462962962963</v>
      </c>
      <c r="V345" s="6">
        <v>3226</v>
      </c>
      <c r="W345" s="6">
        <v>75</v>
      </c>
      <c r="X345" s="6">
        <v>75</v>
      </c>
      <c r="Y345" s="12">
        <v>0</v>
      </c>
      <c r="Z345" s="12">
        <v>37</v>
      </c>
      <c r="AA345" s="12">
        <v>37</v>
      </c>
      <c r="AB345" s="12">
        <v>0</v>
      </c>
      <c r="AC345" s="12">
        <v>0</v>
      </c>
      <c r="AD345" s="13">
        <v>0</v>
      </c>
      <c r="AE345" s="12">
        <v>0</v>
      </c>
      <c r="AF345" s="14">
        <v>0</v>
      </c>
      <c r="AG345" s="5">
        <v>0</v>
      </c>
      <c r="AH345" s="5">
        <v>0</v>
      </c>
      <c r="AI345" s="5">
        <v>0</v>
      </c>
      <c r="AJ345" s="5">
        <v>935.48</v>
      </c>
      <c r="AK345" s="5">
        <v>0</v>
      </c>
      <c r="AL345" s="5">
        <v>935.48</v>
      </c>
      <c r="AM345" s="8"/>
      <c r="AN345" s="8"/>
    </row>
    <row r="346" spans="1:40" ht="16" thickBot="1">
      <c r="A346" s="3">
        <v>345</v>
      </c>
      <c r="B346" s="19">
        <v>45945</v>
      </c>
      <c r="C346" s="5" t="s">
        <v>40</v>
      </c>
      <c r="D346" s="5" t="s">
        <v>41</v>
      </c>
      <c r="E346" s="6" t="s">
        <v>42</v>
      </c>
      <c r="F346" s="7" t="s">
        <v>89</v>
      </c>
      <c r="G346" s="10" t="s">
        <v>83</v>
      </c>
      <c r="H346" s="5" t="s">
        <v>84</v>
      </c>
      <c r="I346" s="5">
        <v>4</v>
      </c>
      <c r="J346" s="5">
        <v>10</v>
      </c>
      <c r="K346" s="6">
        <v>29000</v>
      </c>
      <c r="L346" s="5">
        <v>1000</v>
      </c>
      <c r="M346" s="5">
        <v>55</v>
      </c>
      <c r="N346" s="5">
        <v>31</v>
      </c>
      <c r="O346" s="6" t="s">
        <v>181</v>
      </c>
      <c r="P346" s="8"/>
      <c r="Q346" s="16">
        <v>8.6805555555555566E-2</v>
      </c>
      <c r="R346" s="16">
        <v>0.18614583333333334</v>
      </c>
      <c r="S346" s="6">
        <v>139202</v>
      </c>
      <c r="T346" s="16">
        <v>0.31039351851851854</v>
      </c>
      <c r="U346" s="16">
        <v>0.31059027777777776</v>
      </c>
      <c r="V346" s="6">
        <v>139226</v>
      </c>
      <c r="W346" s="6">
        <v>50</v>
      </c>
      <c r="X346" s="6">
        <v>61</v>
      </c>
      <c r="Y346" s="12">
        <v>-11</v>
      </c>
      <c r="Z346" s="12">
        <v>24</v>
      </c>
      <c r="AA346" s="12">
        <v>24</v>
      </c>
      <c r="AB346" s="12">
        <v>0</v>
      </c>
      <c r="AC346" s="12">
        <v>0</v>
      </c>
      <c r="AD346" s="13">
        <v>0</v>
      </c>
      <c r="AE346" s="12">
        <v>0</v>
      </c>
      <c r="AF346" s="14">
        <v>0</v>
      </c>
      <c r="AG346" s="5">
        <v>0</v>
      </c>
      <c r="AH346" s="5">
        <v>0</v>
      </c>
      <c r="AI346" s="5">
        <v>0</v>
      </c>
      <c r="AJ346" s="5">
        <v>935.48</v>
      </c>
      <c r="AK346" s="5">
        <v>0</v>
      </c>
      <c r="AL346" s="5">
        <v>935.48</v>
      </c>
      <c r="AM346" s="8"/>
      <c r="AN346" s="8"/>
    </row>
    <row r="347" spans="1:40" ht="16" thickBot="1">
      <c r="A347" s="3">
        <v>346</v>
      </c>
      <c r="B347" s="19">
        <v>45945</v>
      </c>
      <c r="C347" s="5" t="s">
        <v>40</v>
      </c>
      <c r="D347" s="5" t="s">
        <v>41</v>
      </c>
      <c r="E347" s="6" t="s">
        <v>42</v>
      </c>
      <c r="F347" s="7" t="s">
        <v>182</v>
      </c>
      <c r="G347" s="5" t="s">
        <v>44</v>
      </c>
      <c r="H347" s="5" t="s">
        <v>45</v>
      </c>
      <c r="I347" s="5">
        <v>4</v>
      </c>
      <c r="J347" s="5">
        <v>8</v>
      </c>
      <c r="K347" s="5">
        <v>25000</v>
      </c>
      <c r="L347" s="5">
        <v>1000</v>
      </c>
      <c r="M347" s="5">
        <v>55</v>
      </c>
      <c r="N347" s="5">
        <v>31</v>
      </c>
      <c r="O347" s="6" t="s">
        <v>152</v>
      </c>
      <c r="P347" s="8"/>
      <c r="Q347" s="16">
        <v>4.8611111111111112E-2</v>
      </c>
      <c r="R347" s="16">
        <v>0.18076388888888886</v>
      </c>
      <c r="S347" s="6">
        <v>115383</v>
      </c>
      <c r="T347" s="16">
        <v>0.31393518518518521</v>
      </c>
      <c r="U347" s="16">
        <v>0.31417824074074074</v>
      </c>
      <c r="V347" s="6">
        <v>115407</v>
      </c>
      <c r="W347" s="6">
        <v>55</v>
      </c>
      <c r="X347" s="6">
        <v>55</v>
      </c>
      <c r="Y347" s="12">
        <v>0</v>
      </c>
      <c r="Z347" s="12">
        <v>24</v>
      </c>
      <c r="AA347" s="12">
        <v>24</v>
      </c>
      <c r="AB347" s="12">
        <v>0</v>
      </c>
      <c r="AC347" s="12">
        <v>0</v>
      </c>
      <c r="AD347" s="13">
        <v>0</v>
      </c>
      <c r="AE347" s="12">
        <v>0</v>
      </c>
      <c r="AF347" s="14">
        <v>0</v>
      </c>
      <c r="AG347" s="5">
        <v>0</v>
      </c>
      <c r="AH347" s="5">
        <v>0</v>
      </c>
      <c r="AI347" s="5">
        <v>0</v>
      </c>
      <c r="AJ347" s="5">
        <v>806.45</v>
      </c>
      <c r="AK347" s="5">
        <v>0</v>
      </c>
      <c r="AL347" s="5">
        <v>806.45</v>
      </c>
      <c r="AM347" s="8"/>
      <c r="AN347" s="8"/>
    </row>
    <row r="348" spans="1:40" ht="16" thickBot="1">
      <c r="A348" s="3">
        <v>347</v>
      </c>
      <c r="B348" s="19">
        <v>45946</v>
      </c>
      <c r="C348" s="5" t="s">
        <v>40</v>
      </c>
      <c r="D348" s="5" t="s">
        <v>41</v>
      </c>
      <c r="E348" s="6" t="s">
        <v>42</v>
      </c>
      <c r="F348" s="7" t="s">
        <v>43</v>
      </c>
      <c r="G348" s="5" t="s">
        <v>44</v>
      </c>
      <c r="H348" s="5" t="s">
        <v>45</v>
      </c>
      <c r="I348" s="5">
        <v>4</v>
      </c>
      <c r="J348" s="5">
        <v>8</v>
      </c>
      <c r="K348" s="5">
        <v>25000</v>
      </c>
      <c r="L348" s="5">
        <v>1000</v>
      </c>
      <c r="M348" s="5">
        <v>55</v>
      </c>
      <c r="N348" s="5">
        <v>31</v>
      </c>
      <c r="O348" s="17" t="s">
        <v>46</v>
      </c>
      <c r="P348" s="8"/>
      <c r="Q348" s="18">
        <v>5.2777777777777778E-2</v>
      </c>
      <c r="R348" s="18">
        <v>0.15737268518518518</v>
      </c>
      <c r="S348" s="17">
        <v>57221</v>
      </c>
      <c r="T348" s="18">
        <v>0.29237268518518517</v>
      </c>
      <c r="U348" s="18">
        <v>0.29252314814814812</v>
      </c>
      <c r="V348" s="17">
        <v>57229</v>
      </c>
      <c r="W348" s="17">
        <v>40</v>
      </c>
      <c r="X348" s="17">
        <v>41</v>
      </c>
      <c r="Y348" s="12">
        <v>-1</v>
      </c>
      <c r="Z348" s="12">
        <v>8</v>
      </c>
      <c r="AA348" s="12">
        <v>8</v>
      </c>
      <c r="AB348" s="12">
        <v>0</v>
      </c>
      <c r="AC348" s="12">
        <v>0</v>
      </c>
      <c r="AD348" s="13">
        <v>0</v>
      </c>
      <c r="AE348" s="12">
        <v>0</v>
      </c>
      <c r="AF348" s="14">
        <v>0</v>
      </c>
      <c r="AG348" s="5">
        <v>0</v>
      </c>
      <c r="AH348" s="5">
        <v>0</v>
      </c>
      <c r="AI348" s="5">
        <v>0</v>
      </c>
      <c r="AJ348" s="5">
        <v>806.45</v>
      </c>
      <c r="AK348" s="5">
        <v>0</v>
      </c>
      <c r="AL348" s="5">
        <v>806.45</v>
      </c>
      <c r="AM348" s="8"/>
      <c r="AN348" s="8"/>
    </row>
    <row r="349" spans="1:40" ht="16" thickBot="1">
      <c r="A349" s="3">
        <v>348</v>
      </c>
      <c r="B349" s="19">
        <v>45946</v>
      </c>
      <c r="C349" s="5" t="s">
        <v>40</v>
      </c>
      <c r="D349" s="5" t="s">
        <v>41</v>
      </c>
      <c r="E349" s="6" t="s">
        <v>42</v>
      </c>
      <c r="F349" s="7" t="s">
        <v>51</v>
      </c>
      <c r="G349" s="5" t="s">
        <v>44</v>
      </c>
      <c r="H349" s="5" t="s">
        <v>45</v>
      </c>
      <c r="I349" s="5">
        <v>4</v>
      </c>
      <c r="J349" s="5">
        <v>8</v>
      </c>
      <c r="K349" s="5">
        <v>25000</v>
      </c>
      <c r="L349" s="5">
        <v>1000</v>
      </c>
      <c r="M349" s="5">
        <v>55</v>
      </c>
      <c r="N349" s="5">
        <v>31</v>
      </c>
      <c r="O349" s="17" t="s">
        <v>155</v>
      </c>
      <c r="P349" s="8"/>
      <c r="Q349" s="18">
        <v>0.12361111111111112</v>
      </c>
      <c r="R349" s="18">
        <v>0.16136574074074075</v>
      </c>
      <c r="S349" s="17">
        <v>84048</v>
      </c>
      <c r="T349" s="18">
        <v>0.34016203703703707</v>
      </c>
      <c r="U349" s="18">
        <v>0.34024305555555556</v>
      </c>
      <c r="V349" s="17">
        <v>84074</v>
      </c>
      <c r="W349" s="17">
        <v>30</v>
      </c>
      <c r="X349" s="17">
        <v>32</v>
      </c>
      <c r="Y349" s="12">
        <v>-2</v>
      </c>
      <c r="Z349" s="12">
        <v>26</v>
      </c>
      <c r="AA349" s="12">
        <v>26</v>
      </c>
      <c r="AB349" s="12">
        <v>0</v>
      </c>
      <c r="AC349" s="12">
        <v>0</v>
      </c>
      <c r="AD349" s="13">
        <v>1</v>
      </c>
      <c r="AE349" s="12">
        <v>150</v>
      </c>
      <c r="AF349" s="14">
        <v>0</v>
      </c>
      <c r="AG349" s="5">
        <v>0</v>
      </c>
      <c r="AH349" s="5">
        <v>0</v>
      </c>
      <c r="AI349" s="5">
        <v>0</v>
      </c>
      <c r="AJ349" s="5">
        <v>956.45</v>
      </c>
      <c r="AK349" s="5">
        <v>0</v>
      </c>
      <c r="AL349" s="5">
        <v>956.45</v>
      </c>
      <c r="AM349" s="8"/>
      <c r="AN349" s="8"/>
    </row>
    <row r="350" spans="1:40" ht="16" thickBot="1">
      <c r="A350" s="3">
        <v>349</v>
      </c>
      <c r="B350" s="19">
        <v>45946</v>
      </c>
      <c r="C350" s="5" t="s">
        <v>40</v>
      </c>
      <c r="D350" s="5" t="s">
        <v>41</v>
      </c>
      <c r="E350" s="6" t="s">
        <v>42</v>
      </c>
      <c r="F350" s="7" t="s">
        <v>145</v>
      </c>
      <c r="G350" s="5" t="s">
        <v>44</v>
      </c>
      <c r="H350" s="5" t="s">
        <v>45</v>
      </c>
      <c r="I350" s="5">
        <v>4</v>
      </c>
      <c r="J350" s="5">
        <v>8</v>
      </c>
      <c r="K350" s="5">
        <v>25000</v>
      </c>
      <c r="L350" s="5">
        <v>1000</v>
      </c>
      <c r="M350" s="5">
        <v>55</v>
      </c>
      <c r="N350" s="5">
        <v>31</v>
      </c>
      <c r="O350" s="17" t="s">
        <v>183</v>
      </c>
      <c r="P350" s="8"/>
      <c r="Q350" s="18">
        <v>5.2083333333333336E-2</v>
      </c>
      <c r="R350" s="18">
        <v>0.16321759259259258</v>
      </c>
      <c r="S350" s="17">
        <v>38217</v>
      </c>
      <c r="T350" s="18">
        <v>0.33231481481481479</v>
      </c>
      <c r="U350" s="18">
        <v>0.33281250000000001</v>
      </c>
      <c r="V350" s="17">
        <v>38241</v>
      </c>
      <c r="W350" s="17">
        <v>30</v>
      </c>
      <c r="X350" s="17">
        <v>40</v>
      </c>
      <c r="Y350" s="12">
        <v>-10</v>
      </c>
      <c r="Z350" s="12">
        <v>24</v>
      </c>
      <c r="AA350" s="12">
        <v>24</v>
      </c>
      <c r="AB350" s="12">
        <v>0</v>
      </c>
      <c r="AC350" s="12">
        <v>0</v>
      </c>
      <c r="AD350" s="13">
        <v>0</v>
      </c>
      <c r="AE350" s="12">
        <v>0</v>
      </c>
      <c r="AF350" s="14">
        <v>0</v>
      </c>
      <c r="AG350" s="5">
        <v>0</v>
      </c>
      <c r="AH350" s="5">
        <v>0</v>
      </c>
      <c r="AI350" s="5">
        <v>0</v>
      </c>
      <c r="AJ350" s="5">
        <v>806.45</v>
      </c>
      <c r="AK350" s="5">
        <v>0</v>
      </c>
      <c r="AL350" s="5">
        <v>806.45</v>
      </c>
      <c r="AM350" s="8"/>
      <c r="AN350" s="8"/>
    </row>
    <row r="351" spans="1:40" ht="16" thickBot="1">
      <c r="A351" s="3">
        <v>350</v>
      </c>
      <c r="B351" s="19">
        <v>45946</v>
      </c>
      <c r="C351" s="5" t="s">
        <v>40</v>
      </c>
      <c r="D351" s="5" t="s">
        <v>41</v>
      </c>
      <c r="E351" s="6" t="s">
        <v>42</v>
      </c>
      <c r="F351" s="7" t="s">
        <v>53</v>
      </c>
      <c r="G351" s="5" t="s">
        <v>44</v>
      </c>
      <c r="H351" s="5" t="s">
        <v>45</v>
      </c>
      <c r="I351" s="5">
        <v>4</v>
      </c>
      <c r="J351" s="5">
        <v>8</v>
      </c>
      <c r="K351" s="5">
        <v>25000</v>
      </c>
      <c r="L351" s="5">
        <v>1000</v>
      </c>
      <c r="M351" s="5">
        <v>55</v>
      </c>
      <c r="N351" s="5">
        <v>31</v>
      </c>
      <c r="O351" s="17" t="s">
        <v>81</v>
      </c>
      <c r="P351" s="8"/>
      <c r="Q351" s="18">
        <v>5.4166666666666669E-2</v>
      </c>
      <c r="R351" s="18">
        <v>0.15618055555555554</v>
      </c>
      <c r="S351" s="17">
        <v>12444</v>
      </c>
      <c r="T351" s="18">
        <v>0.29572916666666665</v>
      </c>
      <c r="U351" s="18">
        <v>0.29583333333333334</v>
      </c>
      <c r="V351" s="17">
        <v>12465</v>
      </c>
      <c r="W351" s="17">
        <v>27</v>
      </c>
      <c r="X351" s="17">
        <v>34</v>
      </c>
      <c r="Y351" s="12">
        <v>-7</v>
      </c>
      <c r="Z351" s="12">
        <v>21</v>
      </c>
      <c r="AA351" s="12">
        <v>21</v>
      </c>
      <c r="AB351" s="12">
        <v>0</v>
      </c>
      <c r="AC351" s="12">
        <v>0</v>
      </c>
      <c r="AD351" s="13">
        <v>0</v>
      </c>
      <c r="AE351" s="12">
        <v>0</v>
      </c>
      <c r="AF351" s="14">
        <v>0</v>
      </c>
      <c r="AG351" s="5">
        <v>0</v>
      </c>
      <c r="AH351" s="5">
        <v>0</v>
      </c>
      <c r="AI351" s="5">
        <v>0</v>
      </c>
      <c r="AJ351" s="5">
        <v>806.45</v>
      </c>
      <c r="AK351" s="5">
        <v>0</v>
      </c>
      <c r="AL351" s="5">
        <v>806.45</v>
      </c>
      <c r="AM351" s="8"/>
      <c r="AN351" s="8"/>
    </row>
    <row r="352" spans="1:40" ht="16" thickBot="1">
      <c r="A352" s="3">
        <v>351</v>
      </c>
      <c r="B352" s="19">
        <v>45946</v>
      </c>
      <c r="C352" s="5" t="s">
        <v>40</v>
      </c>
      <c r="D352" s="5" t="s">
        <v>41</v>
      </c>
      <c r="E352" s="6" t="s">
        <v>42</v>
      </c>
      <c r="F352" s="7" t="s">
        <v>120</v>
      </c>
      <c r="G352" s="5" t="s">
        <v>44</v>
      </c>
      <c r="H352" s="5" t="s">
        <v>45</v>
      </c>
      <c r="I352" s="5">
        <v>4</v>
      </c>
      <c r="J352" s="5">
        <v>8</v>
      </c>
      <c r="K352" s="5">
        <v>25000</v>
      </c>
      <c r="L352" s="5">
        <v>1000</v>
      </c>
      <c r="M352" s="5">
        <v>55</v>
      </c>
      <c r="N352" s="5">
        <v>31</v>
      </c>
      <c r="O352" s="17" t="s">
        <v>158</v>
      </c>
      <c r="P352" s="8"/>
      <c r="Q352" s="18">
        <v>7.6388888888888895E-2</v>
      </c>
      <c r="R352" s="18">
        <v>0.15789351851851852</v>
      </c>
      <c r="S352" s="17">
        <v>15325</v>
      </c>
      <c r="T352" s="18">
        <v>0.32915509259259262</v>
      </c>
      <c r="U352" s="18">
        <v>0.32925925925925925</v>
      </c>
      <c r="V352" s="17">
        <v>15346</v>
      </c>
      <c r="W352" s="17">
        <v>30</v>
      </c>
      <c r="X352" s="17">
        <v>44</v>
      </c>
      <c r="Y352" s="12">
        <v>-14</v>
      </c>
      <c r="Z352" s="12">
        <v>21</v>
      </c>
      <c r="AA352" s="12">
        <v>21</v>
      </c>
      <c r="AB352" s="12">
        <v>0</v>
      </c>
      <c r="AC352" s="12">
        <v>0</v>
      </c>
      <c r="AD352" s="13">
        <v>0</v>
      </c>
      <c r="AE352" s="12">
        <v>0</v>
      </c>
      <c r="AF352" s="14">
        <v>0</v>
      </c>
      <c r="AG352" s="5">
        <v>0</v>
      </c>
      <c r="AH352" s="5">
        <v>0</v>
      </c>
      <c r="AI352" s="5">
        <v>0</v>
      </c>
      <c r="AJ352" s="5">
        <v>806.45</v>
      </c>
      <c r="AK352" s="5">
        <v>0</v>
      </c>
      <c r="AL352" s="5">
        <v>806.45</v>
      </c>
      <c r="AM352" s="8"/>
      <c r="AN352" s="8"/>
    </row>
    <row r="353" spans="1:40" ht="16" thickBot="1">
      <c r="A353" s="3">
        <v>352</v>
      </c>
      <c r="B353" s="19">
        <v>45946</v>
      </c>
      <c r="C353" s="5" t="s">
        <v>40</v>
      </c>
      <c r="D353" s="5" t="s">
        <v>41</v>
      </c>
      <c r="E353" s="6" t="s">
        <v>42</v>
      </c>
      <c r="F353" s="7" t="s">
        <v>55</v>
      </c>
      <c r="G353" s="5" t="s">
        <v>44</v>
      </c>
      <c r="H353" s="5" t="s">
        <v>45</v>
      </c>
      <c r="I353" s="5">
        <v>4</v>
      </c>
      <c r="J353" s="5">
        <v>8</v>
      </c>
      <c r="K353" s="5">
        <v>25000</v>
      </c>
      <c r="L353" s="5">
        <v>1000</v>
      </c>
      <c r="M353" s="5">
        <v>55</v>
      </c>
      <c r="N353" s="5">
        <v>31</v>
      </c>
      <c r="O353" s="17" t="s">
        <v>56</v>
      </c>
      <c r="P353" s="8"/>
      <c r="Q353" s="18">
        <v>9.5138888888888884E-2</v>
      </c>
      <c r="R353" s="18">
        <v>0.15458333333333332</v>
      </c>
      <c r="S353" s="17">
        <v>145350</v>
      </c>
      <c r="T353" s="18">
        <v>0.29372685185185182</v>
      </c>
      <c r="U353" s="18">
        <v>0.29383101851851851</v>
      </c>
      <c r="V353" s="17">
        <v>145367</v>
      </c>
      <c r="W353" s="17">
        <v>26</v>
      </c>
      <c r="X353" s="17">
        <v>32</v>
      </c>
      <c r="Y353" s="12">
        <v>-6</v>
      </c>
      <c r="Z353" s="12">
        <v>17</v>
      </c>
      <c r="AA353" s="12">
        <v>17</v>
      </c>
      <c r="AB353" s="12">
        <v>0</v>
      </c>
      <c r="AC353" s="12">
        <v>0</v>
      </c>
      <c r="AD353" s="13">
        <v>0</v>
      </c>
      <c r="AE353" s="12">
        <v>0</v>
      </c>
      <c r="AF353" s="14">
        <v>0</v>
      </c>
      <c r="AG353" s="5">
        <v>0</v>
      </c>
      <c r="AH353" s="5">
        <v>0</v>
      </c>
      <c r="AI353" s="5">
        <v>0</v>
      </c>
      <c r="AJ353" s="5">
        <v>806.45</v>
      </c>
      <c r="AK353" s="5">
        <v>0</v>
      </c>
      <c r="AL353" s="5">
        <v>806.45</v>
      </c>
      <c r="AM353" s="8"/>
      <c r="AN353" s="8"/>
    </row>
    <row r="354" spans="1:40" ht="16" thickBot="1">
      <c r="A354" s="3">
        <v>353</v>
      </c>
      <c r="B354" s="19">
        <v>45946</v>
      </c>
      <c r="C354" s="5" t="s">
        <v>40</v>
      </c>
      <c r="D354" s="5" t="s">
        <v>41</v>
      </c>
      <c r="E354" s="6" t="s">
        <v>42</v>
      </c>
      <c r="F354" s="7" t="s">
        <v>182</v>
      </c>
      <c r="G354" s="5" t="s">
        <v>44</v>
      </c>
      <c r="H354" s="5" t="s">
        <v>45</v>
      </c>
      <c r="I354" s="5">
        <v>4</v>
      </c>
      <c r="J354" s="5">
        <v>8</v>
      </c>
      <c r="K354" s="5">
        <v>25000</v>
      </c>
      <c r="L354" s="5">
        <v>1000</v>
      </c>
      <c r="M354" s="5">
        <v>55</v>
      </c>
      <c r="N354" s="5">
        <v>31</v>
      </c>
      <c r="O354" s="17" t="s">
        <v>152</v>
      </c>
      <c r="P354" s="8"/>
      <c r="Q354" s="18">
        <v>4.9999999999999996E-2</v>
      </c>
      <c r="R354" s="18">
        <v>0.16013888888888889</v>
      </c>
      <c r="S354" s="17">
        <v>115466</v>
      </c>
      <c r="T354" s="18">
        <v>0.29200231481481481</v>
      </c>
      <c r="U354" s="18">
        <v>0.29215277777777776</v>
      </c>
      <c r="V354" s="17">
        <v>115486</v>
      </c>
      <c r="W354" s="17">
        <v>34</v>
      </c>
      <c r="X354" s="17">
        <v>49</v>
      </c>
      <c r="Y354" s="12">
        <v>-15</v>
      </c>
      <c r="Z354" s="12">
        <v>20</v>
      </c>
      <c r="AA354" s="12">
        <v>20</v>
      </c>
      <c r="AB354" s="12">
        <v>0</v>
      </c>
      <c r="AC354" s="12">
        <v>0</v>
      </c>
      <c r="AD354" s="13">
        <v>0</v>
      </c>
      <c r="AE354" s="12">
        <v>0</v>
      </c>
      <c r="AF354" s="14">
        <v>0</v>
      </c>
      <c r="AG354" s="5">
        <v>0</v>
      </c>
      <c r="AH354" s="5">
        <v>0</v>
      </c>
      <c r="AI354" s="5">
        <v>0</v>
      </c>
      <c r="AJ354" s="5">
        <v>806.45</v>
      </c>
      <c r="AK354" s="5">
        <v>0</v>
      </c>
      <c r="AL354" s="5">
        <v>806.45</v>
      </c>
      <c r="AM354" s="8"/>
      <c r="AN354" s="8"/>
    </row>
    <row r="355" spans="1:40" ht="16" thickBot="1">
      <c r="A355" s="3">
        <v>354</v>
      </c>
      <c r="B355" s="19">
        <v>45946</v>
      </c>
      <c r="C355" s="5" t="s">
        <v>40</v>
      </c>
      <c r="D355" s="5" t="s">
        <v>41</v>
      </c>
      <c r="E355" s="6" t="s">
        <v>42</v>
      </c>
      <c r="F355" s="7" t="s">
        <v>57</v>
      </c>
      <c r="G355" s="5" t="s">
        <v>44</v>
      </c>
      <c r="H355" s="5" t="s">
        <v>45</v>
      </c>
      <c r="I355" s="5">
        <v>4</v>
      </c>
      <c r="J355" s="5">
        <v>8</v>
      </c>
      <c r="K355" s="5">
        <v>25000</v>
      </c>
      <c r="L355" s="5">
        <v>1000</v>
      </c>
      <c r="M355" s="5">
        <v>55</v>
      </c>
      <c r="N355" s="5">
        <v>31</v>
      </c>
      <c r="O355" s="17" t="s">
        <v>58</v>
      </c>
      <c r="P355" s="8"/>
      <c r="Q355" s="18">
        <v>5.0694444444444452E-2</v>
      </c>
      <c r="R355" s="18">
        <v>0.15752314814814813</v>
      </c>
      <c r="S355" s="17">
        <v>144121</v>
      </c>
      <c r="T355" s="18">
        <v>0.3246412037037037</v>
      </c>
      <c r="U355" s="18">
        <v>0.32475694444444442</v>
      </c>
      <c r="V355" s="17">
        <v>144147</v>
      </c>
      <c r="W355" s="17">
        <v>35</v>
      </c>
      <c r="X355" s="17">
        <v>37</v>
      </c>
      <c r="Y355" s="12">
        <v>-2</v>
      </c>
      <c r="Z355" s="12">
        <v>26</v>
      </c>
      <c r="AA355" s="12">
        <v>26</v>
      </c>
      <c r="AB355" s="12">
        <v>0</v>
      </c>
      <c r="AC355" s="12">
        <v>0</v>
      </c>
      <c r="AD355" s="13">
        <v>0</v>
      </c>
      <c r="AE355" s="12">
        <v>0</v>
      </c>
      <c r="AF355" s="14">
        <v>0</v>
      </c>
      <c r="AG355" s="5">
        <v>0</v>
      </c>
      <c r="AH355" s="5">
        <v>0</v>
      </c>
      <c r="AI355" s="5">
        <v>0</v>
      </c>
      <c r="AJ355" s="5">
        <v>806.45</v>
      </c>
      <c r="AK355" s="5">
        <v>0</v>
      </c>
      <c r="AL355" s="5">
        <v>806.45</v>
      </c>
      <c r="AM355" s="8"/>
      <c r="AN355" s="8"/>
    </row>
    <row r="356" spans="1:40" ht="16" thickBot="1">
      <c r="A356" s="3">
        <v>355</v>
      </c>
      <c r="B356" s="19">
        <v>45946</v>
      </c>
      <c r="C356" s="5" t="s">
        <v>40</v>
      </c>
      <c r="D356" s="5" t="s">
        <v>41</v>
      </c>
      <c r="E356" s="6" t="s">
        <v>42</v>
      </c>
      <c r="F356" s="7" t="s">
        <v>60</v>
      </c>
      <c r="G356" s="5" t="s">
        <v>44</v>
      </c>
      <c r="H356" s="5" t="s">
        <v>45</v>
      </c>
      <c r="I356" s="5">
        <v>4</v>
      </c>
      <c r="J356" s="5">
        <v>8</v>
      </c>
      <c r="K356" s="5">
        <v>25000</v>
      </c>
      <c r="L356" s="5">
        <v>1000</v>
      </c>
      <c r="M356" s="5">
        <v>55</v>
      </c>
      <c r="N356" s="5">
        <v>31</v>
      </c>
      <c r="O356" s="17" t="s">
        <v>61</v>
      </c>
      <c r="P356" s="8"/>
      <c r="Q356" s="18">
        <v>5.486111111111111E-2</v>
      </c>
      <c r="R356" s="18">
        <v>0.15712962962962962</v>
      </c>
      <c r="S356" s="17">
        <v>113394</v>
      </c>
      <c r="T356" s="18">
        <v>0.29991898148148149</v>
      </c>
      <c r="U356" s="18">
        <v>0.30008101851851848</v>
      </c>
      <c r="V356" s="17">
        <v>113414</v>
      </c>
      <c r="W356" s="17">
        <v>38</v>
      </c>
      <c r="X356" s="17">
        <v>48</v>
      </c>
      <c r="Y356" s="12">
        <v>-10</v>
      </c>
      <c r="Z356" s="12">
        <v>20</v>
      </c>
      <c r="AA356" s="12">
        <v>20</v>
      </c>
      <c r="AB356" s="12">
        <v>0</v>
      </c>
      <c r="AC356" s="12">
        <v>0</v>
      </c>
      <c r="AD356" s="13">
        <v>0</v>
      </c>
      <c r="AE356" s="12">
        <v>0</v>
      </c>
      <c r="AF356" s="14">
        <v>0</v>
      </c>
      <c r="AG356" s="5">
        <v>0</v>
      </c>
      <c r="AH356" s="5">
        <v>0</v>
      </c>
      <c r="AI356" s="5">
        <v>0</v>
      </c>
      <c r="AJ356" s="5">
        <v>806.45</v>
      </c>
      <c r="AK356" s="5">
        <v>0</v>
      </c>
      <c r="AL356" s="5">
        <v>806.45</v>
      </c>
      <c r="AM356" s="8"/>
      <c r="AN356" s="8"/>
    </row>
    <row r="357" spans="1:40" ht="16" thickBot="1">
      <c r="A357" s="3">
        <v>356</v>
      </c>
      <c r="B357" s="19">
        <v>45946</v>
      </c>
      <c r="C357" s="5" t="s">
        <v>40</v>
      </c>
      <c r="D357" s="5" t="s">
        <v>41</v>
      </c>
      <c r="E357" s="6" t="s">
        <v>42</v>
      </c>
      <c r="F357" s="7" t="s">
        <v>97</v>
      </c>
      <c r="G357" s="5" t="s">
        <v>44</v>
      </c>
      <c r="H357" s="5" t="s">
        <v>45</v>
      </c>
      <c r="I357" s="5">
        <v>4</v>
      </c>
      <c r="J357" s="5">
        <v>8</v>
      </c>
      <c r="K357" s="5">
        <v>25000</v>
      </c>
      <c r="L357" s="5">
        <v>1000</v>
      </c>
      <c r="M357" s="5">
        <v>55</v>
      </c>
      <c r="N357" s="5">
        <v>31</v>
      </c>
      <c r="O357" s="17" t="s">
        <v>184</v>
      </c>
      <c r="P357" s="8"/>
      <c r="Q357" s="18">
        <v>5.2777777777777778E-2</v>
      </c>
      <c r="R357" s="18">
        <v>0.16916666666666666</v>
      </c>
      <c r="S357" s="17">
        <v>78199</v>
      </c>
      <c r="T357" s="18">
        <v>0.31270833333333331</v>
      </c>
      <c r="U357" s="18">
        <v>0.31281249999999999</v>
      </c>
      <c r="V357" s="17">
        <v>78235</v>
      </c>
      <c r="W357" s="17">
        <v>35</v>
      </c>
      <c r="X357" s="17">
        <v>44</v>
      </c>
      <c r="Y357" s="12">
        <v>-9</v>
      </c>
      <c r="Z357" s="12">
        <v>36</v>
      </c>
      <c r="AA357" s="12">
        <v>36</v>
      </c>
      <c r="AB357" s="12">
        <v>0</v>
      </c>
      <c r="AC357" s="12">
        <v>0</v>
      </c>
      <c r="AD357" s="13">
        <v>0</v>
      </c>
      <c r="AE357" s="12">
        <v>0</v>
      </c>
      <c r="AF357" s="14">
        <v>0</v>
      </c>
      <c r="AG357" s="5">
        <v>0</v>
      </c>
      <c r="AH357" s="5">
        <v>0</v>
      </c>
      <c r="AI357" s="5">
        <v>0</v>
      </c>
      <c r="AJ357" s="5">
        <v>806.45</v>
      </c>
      <c r="AK357" s="5">
        <v>0</v>
      </c>
      <c r="AL357" s="5">
        <v>806.45</v>
      </c>
      <c r="AM357" s="8"/>
      <c r="AN357" s="8"/>
    </row>
    <row r="358" spans="1:40" ht="16" thickBot="1">
      <c r="A358" s="3">
        <v>357</v>
      </c>
      <c r="B358" s="19">
        <v>45946</v>
      </c>
      <c r="C358" s="5" t="s">
        <v>40</v>
      </c>
      <c r="D358" s="5" t="s">
        <v>41</v>
      </c>
      <c r="E358" s="6" t="s">
        <v>42</v>
      </c>
      <c r="F358" s="7" t="s">
        <v>177</v>
      </c>
      <c r="G358" s="5" t="s">
        <v>44</v>
      </c>
      <c r="H358" s="5" t="s">
        <v>45</v>
      </c>
      <c r="I358" s="5">
        <v>4</v>
      </c>
      <c r="J358" s="5">
        <v>8</v>
      </c>
      <c r="K358" s="5">
        <v>25000</v>
      </c>
      <c r="L358" s="5">
        <v>1000</v>
      </c>
      <c r="M358" s="5">
        <v>55</v>
      </c>
      <c r="N358" s="5">
        <v>31</v>
      </c>
      <c r="O358" s="17" t="s">
        <v>111</v>
      </c>
      <c r="P358" s="8"/>
      <c r="Q358" s="18">
        <v>8.7500000000000008E-2</v>
      </c>
      <c r="R358" s="18">
        <v>0.17608796296296295</v>
      </c>
      <c r="S358" s="17">
        <v>88968</v>
      </c>
      <c r="T358" s="8"/>
      <c r="U358" s="8"/>
      <c r="V358" s="6">
        <v>88968</v>
      </c>
      <c r="W358" s="8"/>
      <c r="X358" s="17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3">
        <v>0</v>
      </c>
      <c r="AE358" s="12">
        <v>0</v>
      </c>
      <c r="AF358" s="14">
        <v>0</v>
      </c>
      <c r="AG358" s="5">
        <v>0</v>
      </c>
      <c r="AH358" s="5">
        <v>0</v>
      </c>
      <c r="AI358" s="5">
        <v>0</v>
      </c>
      <c r="AJ358" s="5">
        <v>806.45</v>
      </c>
      <c r="AK358" s="5">
        <v>0</v>
      </c>
      <c r="AL358" s="5">
        <v>806.45</v>
      </c>
      <c r="AM358" s="8"/>
      <c r="AN358" s="8"/>
    </row>
    <row r="359" spans="1:40" ht="16" thickBot="1">
      <c r="A359" s="3">
        <v>358</v>
      </c>
      <c r="B359" s="19">
        <v>45946</v>
      </c>
      <c r="C359" s="5" t="s">
        <v>40</v>
      </c>
      <c r="D359" s="5" t="s">
        <v>41</v>
      </c>
      <c r="E359" s="6" t="s">
        <v>42</v>
      </c>
      <c r="F359" s="7" t="s">
        <v>62</v>
      </c>
      <c r="G359" s="5" t="s">
        <v>44</v>
      </c>
      <c r="H359" s="5" t="s">
        <v>45</v>
      </c>
      <c r="I359" s="5">
        <v>6</v>
      </c>
      <c r="J359" s="5">
        <v>8</v>
      </c>
      <c r="K359" s="5">
        <v>33000</v>
      </c>
      <c r="L359" s="5">
        <v>2000</v>
      </c>
      <c r="M359" s="5">
        <v>55</v>
      </c>
      <c r="N359" s="5">
        <v>31</v>
      </c>
      <c r="O359" s="17" t="s">
        <v>167</v>
      </c>
      <c r="P359" s="8"/>
      <c r="Q359" s="18">
        <v>0.10902777777777778</v>
      </c>
      <c r="R359" s="18">
        <v>0.15898148148148147</v>
      </c>
      <c r="S359" s="17">
        <v>48028</v>
      </c>
      <c r="T359" s="18">
        <v>0.33354166666666668</v>
      </c>
      <c r="U359" s="18">
        <v>0.33395833333333336</v>
      </c>
      <c r="V359" s="17">
        <v>48125</v>
      </c>
      <c r="W359" s="17">
        <v>27</v>
      </c>
      <c r="X359" s="17">
        <v>58</v>
      </c>
      <c r="Y359" s="12">
        <v>-31</v>
      </c>
      <c r="Z359" s="12">
        <v>97</v>
      </c>
      <c r="AA359" s="12">
        <v>97</v>
      </c>
      <c r="AB359" s="12">
        <v>0</v>
      </c>
      <c r="AC359" s="12">
        <v>0</v>
      </c>
      <c r="AD359" s="13">
        <v>0</v>
      </c>
      <c r="AE359" s="12">
        <v>0</v>
      </c>
      <c r="AF359" s="14">
        <v>0</v>
      </c>
      <c r="AG359" s="5">
        <v>0</v>
      </c>
      <c r="AH359" s="5">
        <v>0</v>
      </c>
      <c r="AI359" s="5">
        <v>0</v>
      </c>
      <c r="AJ359" s="5">
        <v>1064.52</v>
      </c>
      <c r="AK359" s="5">
        <v>0</v>
      </c>
      <c r="AL359" s="5">
        <v>1064.52</v>
      </c>
      <c r="AM359" s="8"/>
      <c r="AN359" s="8"/>
    </row>
    <row r="360" spans="1:40" ht="16" thickBot="1">
      <c r="A360" s="3">
        <v>359</v>
      </c>
      <c r="B360" s="19">
        <v>45946</v>
      </c>
      <c r="C360" s="5" t="s">
        <v>40</v>
      </c>
      <c r="D360" s="5" t="s">
        <v>41</v>
      </c>
      <c r="E360" s="6" t="s">
        <v>42</v>
      </c>
      <c r="F360" s="7" t="s">
        <v>185</v>
      </c>
      <c r="G360" s="5" t="s">
        <v>44</v>
      </c>
      <c r="H360" s="5" t="s">
        <v>45</v>
      </c>
      <c r="I360" s="5">
        <v>4</v>
      </c>
      <c r="J360" s="5">
        <v>8</v>
      </c>
      <c r="K360" s="5">
        <v>25000</v>
      </c>
      <c r="L360" s="5">
        <v>1000</v>
      </c>
      <c r="M360" s="5">
        <v>55</v>
      </c>
      <c r="N360" s="5">
        <v>31</v>
      </c>
      <c r="O360" s="17" t="s">
        <v>186</v>
      </c>
      <c r="P360" s="8"/>
      <c r="Q360" s="18">
        <v>4.8611111111111112E-2</v>
      </c>
      <c r="R360" s="18">
        <v>0.17961805555555554</v>
      </c>
      <c r="S360" s="17">
        <v>66157</v>
      </c>
      <c r="T360" s="18">
        <v>0.34835648148148146</v>
      </c>
      <c r="U360" s="18">
        <v>0.34847222222222224</v>
      </c>
      <c r="V360" s="17">
        <v>66169</v>
      </c>
      <c r="W360" s="17">
        <v>28</v>
      </c>
      <c r="X360" s="17">
        <v>36</v>
      </c>
      <c r="Y360" s="12">
        <v>-8</v>
      </c>
      <c r="Z360" s="12">
        <v>12</v>
      </c>
      <c r="AA360" s="12">
        <v>12</v>
      </c>
      <c r="AB360" s="12">
        <v>0</v>
      </c>
      <c r="AC360" s="12">
        <v>0</v>
      </c>
      <c r="AD360" s="13">
        <v>1</v>
      </c>
      <c r="AE360" s="12">
        <v>150</v>
      </c>
      <c r="AF360" s="14">
        <v>0</v>
      </c>
      <c r="AG360" s="5">
        <v>0</v>
      </c>
      <c r="AH360" s="5">
        <v>0</v>
      </c>
      <c r="AI360" s="5">
        <v>0</v>
      </c>
      <c r="AJ360" s="5">
        <v>956.45</v>
      </c>
      <c r="AK360" s="5">
        <v>0</v>
      </c>
      <c r="AL360" s="5">
        <v>956.45</v>
      </c>
      <c r="AM360" s="8"/>
      <c r="AN360" s="8"/>
    </row>
    <row r="361" spans="1:40" ht="16" thickBot="1">
      <c r="A361" s="3">
        <v>360</v>
      </c>
      <c r="B361" s="19">
        <v>45946</v>
      </c>
      <c r="C361" s="5" t="s">
        <v>40</v>
      </c>
      <c r="D361" s="5" t="s">
        <v>41</v>
      </c>
      <c r="E361" s="6" t="s">
        <v>42</v>
      </c>
      <c r="F361" s="7" t="s">
        <v>68</v>
      </c>
      <c r="G361" s="5" t="s">
        <v>44</v>
      </c>
      <c r="H361" s="5" t="s">
        <v>45</v>
      </c>
      <c r="I361" s="5">
        <v>4</v>
      </c>
      <c r="J361" s="5">
        <v>8</v>
      </c>
      <c r="K361" s="5">
        <v>25000</v>
      </c>
      <c r="L361" s="5">
        <v>1000</v>
      </c>
      <c r="M361" s="5">
        <v>55</v>
      </c>
      <c r="N361" s="5">
        <v>31</v>
      </c>
      <c r="O361" s="17" t="s">
        <v>96</v>
      </c>
      <c r="P361" s="8"/>
      <c r="Q361" s="18">
        <v>5.347222222222222E-2</v>
      </c>
      <c r="R361" s="18">
        <v>0.15525462962962963</v>
      </c>
      <c r="S361" s="17">
        <v>83969</v>
      </c>
      <c r="T361" s="18">
        <v>0.29123842592592591</v>
      </c>
      <c r="U361" s="18">
        <v>0.29180555555555554</v>
      </c>
      <c r="V361" s="17">
        <v>83986</v>
      </c>
      <c r="W361" s="17">
        <v>37</v>
      </c>
      <c r="X361" s="17">
        <v>48</v>
      </c>
      <c r="Y361" s="12">
        <v>-11</v>
      </c>
      <c r="Z361" s="12">
        <v>17</v>
      </c>
      <c r="AA361" s="12">
        <v>17</v>
      </c>
      <c r="AB361" s="12">
        <v>0</v>
      </c>
      <c r="AC361" s="12">
        <v>0</v>
      </c>
      <c r="AD361" s="13">
        <v>0</v>
      </c>
      <c r="AE361" s="12">
        <v>0</v>
      </c>
      <c r="AF361" s="14">
        <v>0</v>
      </c>
      <c r="AG361" s="5">
        <v>0</v>
      </c>
      <c r="AH361" s="5">
        <v>0</v>
      </c>
      <c r="AI361" s="5">
        <v>0</v>
      </c>
      <c r="AJ361" s="5">
        <v>806.45</v>
      </c>
      <c r="AK361" s="5">
        <v>0</v>
      </c>
      <c r="AL361" s="5">
        <v>806.45</v>
      </c>
      <c r="AM361" s="8"/>
      <c r="AN361" s="8"/>
    </row>
    <row r="362" spans="1:40" ht="16" thickBot="1">
      <c r="A362" s="3">
        <v>361</v>
      </c>
      <c r="B362" s="19">
        <v>45946</v>
      </c>
      <c r="C362" s="5" t="s">
        <v>40</v>
      </c>
      <c r="D362" s="5" t="s">
        <v>41</v>
      </c>
      <c r="E362" s="6" t="s">
        <v>42</v>
      </c>
      <c r="F362" s="7" t="s">
        <v>70</v>
      </c>
      <c r="G362" s="5" t="s">
        <v>44</v>
      </c>
      <c r="H362" s="5" t="s">
        <v>45</v>
      </c>
      <c r="I362" s="5">
        <v>4</v>
      </c>
      <c r="J362" s="5">
        <v>8</v>
      </c>
      <c r="K362" s="5">
        <v>25000</v>
      </c>
      <c r="L362" s="5">
        <v>1000</v>
      </c>
      <c r="M362" s="5">
        <v>55</v>
      </c>
      <c r="N362" s="5">
        <v>31</v>
      </c>
      <c r="O362" s="17" t="s">
        <v>175</v>
      </c>
      <c r="P362" s="8"/>
      <c r="Q362" s="18">
        <v>9.0972222222222218E-2</v>
      </c>
      <c r="R362" s="18">
        <v>0.16484953703703703</v>
      </c>
      <c r="S362" s="17">
        <v>36930</v>
      </c>
      <c r="T362" s="18">
        <v>0.30100694444444448</v>
      </c>
      <c r="U362" s="18">
        <v>0.30111111111111111</v>
      </c>
      <c r="V362" s="17">
        <v>36959</v>
      </c>
      <c r="W362" s="17">
        <v>40</v>
      </c>
      <c r="X362" s="17">
        <v>42</v>
      </c>
      <c r="Y362" s="12">
        <v>-2</v>
      </c>
      <c r="Z362" s="12">
        <v>29</v>
      </c>
      <c r="AA362" s="12">
        <v>29</v>
      </c>
      <c r="AB362" s="12">
        <v>0</v>
      </c>
      <c r="AC362" s="12">
        <v>0</v>
      </c>
      <c r="AD362" s="13">
        <v>0</v>
      </c>
      <c r="AE362" s="12">
        <v>0</v>
      </c>
      <c r="AF362" s="14">
        <v>0</v>
      </c>
      <c r="AG362" s="5">
        <v>0</v>
      </c>
      <c r="AH362" s="5">
        <v>0</v>
      </c>
      <c r="AI362" s="5">
        <v>0</v>
      </c>
      <c r="AJ362" s="5">
        <v>806.45</v>
      </c>
      <c r="AK362" s="5">
        <v>0</v>
      </c>
      <c r="AL362" s="5">
        <v>806.45</v>
      </c>
      <c r="AM362" s="8"/>
      <c r="AN362" s="8"/>
    </row>
    <row r="363" spans="1:40" ht="16" thickBot="1">
      <c r="A363" s="3">
        <v>362</v>
      </c>
      <c r="B363" s="19">
        <v>45946</v>
      </c>
      <c r="C363" s="5" t="s">
        <v>40</v>
      </c>
      <c r="D363" s="5" t="s">
        <v>41</v>
      </c>
      <c r="E363" s="6" t="s">
        <v>42</v>
      </c>
      <c r="F363" s="7" t="s">
        <v>72</v>
      </c>
      <c r="G363" s="5" t="s">
        <v>44</v>
      </c>
      <c r="H363" s="5" t="s">
        <v>45</v>
      </c>
      <c r="I363" s="5">
        <v>6</v>
      </c>
      <c r="J363" s="5">
        <v>8</v>
      </c>
      <c r="K363" s="5">
        <v>33000</v>
      </c>
      <c r="L363" s="5">
        <v>2000</v>
      </c>
      <c r="M363" s="5">
        <v>55</v>
      </c>
      <c r="N363" s="5">
        <v>31</v>
      </c>
      <c r="O363" s="17" t="s">
        <v>73</v>
      </c>
      <c r="P363" s="8"/>
      <c r="Q363" s="18">
        <v>4.9305555555555554E-2</v>
      </c>
      <c r="R363" s="18">
        <v>0.15958333333333333</v>
      </c>
      <c r="S363" s="17">
        <v>33765</v>
      </c>
      <c r="T363" s="18">
        <v>0.34527777777777779</v>
      </c>
      <c r="U363" s="18">
        <v>0.34563657407407405</v>
      </c>
      <c r="V363" s="17">
        <v>33837</v>
      </c>
      <c r="W363" s="17">
        <v>29</v>
      </c>
      <c r="X363" s="17">
        <v>37</v>
      </c>
      <c r="Y363" s="12">
        <v>-8</v>
      </c>
      <c r="Z363" s="12">
        <v>72</v>
      </c>
      <c r="AA363" s="12">
        <v>72</v>
      </c>
      <c r="AB363" s="12">
        <v>0</v>
      </c>
      <c r="AC363" s="12">
        <v>0</v>
      </c>
      <c r="AD363" s="13">
        <v>0</v>
      </c>
      <c r="AE363" s="12">
        <v>0</v>
      </c>
      <c r="AF363" s="14">
        <v>0</v>
      </c>
      <c r="AG363" s="5">
        <v>0</v>
      </c>
      <c r="AH363" s="5">
        <v>0</v>
      </c>
      <c r="AI363" s="5">
        <v>0</v>
      </c>
      <c r="AJ363" s="5">
        <v>1064.52</v>
      </c>
      <c r="AK363" s="5">
        <v>0</v>
      </c>
      <c r="AL363" s="5">
        <v>1064.52</v>
      </c>
      <c r="AM363" s="8"/>
      <c r="AN363" s="8"/>
    </row>
    <row r="364" spans="1:40" ht="16" thickBot="1">
      <c r="A364" s="3">
        <v>363</v>
      </c>
      <c r="B364" s="19">
        <v>45946</v>
      </c>
      <c r="C364" s="5" t="s">
        <v>40</v>
      </c>
      <c r="D364" s="5" t="s">
        <v>41</v>
      </c>
      <c r="E364" s="6" t="s">
        <v>42</v>
      </c>
      <c r="F364" s="7" t="s">
        <v>74</v>
      </c>
      <c r="G364" s="5" t="s">
        <v>44</v>
      </c>
      <c r="H364" s="5" t="s">
        <v>45</v>
      </c>
      <c r="I364" s="5">
        <v>4</v>
      </c>
      <c r="J364" s="5">
        <v>8</v>
      </c>
      <c r="K364" s="5">
        <v>25000</v>
      </c>
      <c r="L364" s="5">
        <v>1000</v>
      </c>
      <c r="M364" s="5">
        <v>55</v>
      </c>
      <c r="N364" s="5">
        <v>31</v>
      </c>
      <c r="O364" s="17" t="s">
        <v>75</v>
      </c>
      <c r="P364" s="8"/>
      <c r="Q364" s="18">
        <v>5.4166666666666669E-2</v>
      </c>
      <c r="R364" s="18">
        <v>0.15756944444444446</v>
      </c>
      <c r="S364" s="17">
        <v>38759</v>
      </c>
      <c r="T364" s="18">
        <v>0.29422453703703705</v>
      </c>
      <c r="U364" s="18">
        <v>0.29432870370370373</v>
      </c>
      <c r="V364" s="17">
        <v>38773</v>
      </c>
      <c r="W364" s="17">
        <v>38</v>
      </c>
      <c r="X364" s="17">
        <v>38</v>
      </c>
      <c r="Y364" s="12">
        <v>0</v>
      </c>
      <c r="Z364" s="12">
        <v>14</v>
      </c>
      <c r="AA364" s="12">
        <v>14</v>
      </c>
      <c r="AB364" s="12">
        <v>0</v>
      </c>
      <c r="AC364" s="12">
        <v>0</v>
      </c>
      <c r="AD364" s="13">
        <v>0</v>
      </c>
      <c r="AE364" s="12">
        <v>0</v>
      </c>
      <c r="AF364" s="14">
        <v>0</v>
      </c>
      <c r="AG364" s="5">
        <v>0</v>
      </c>
      <c r="AH364" s="5">
        <v>0</v>
      </c>
      <c r="AI364" s="5">
        <v>0</v>
      </c>
      <c r="AJ364" s="5">
        <v>806.45</v>
      </c>
      <c r="AK364" s="5">
        <v>0</v>
      </c>
      <c r="AL364" s="5">
        <v>806.45</v>
      </c>
      <c r="AM364" s="8"/>
      <c r="AN364" s="8"/>
    </row>
    <row r="365" spans="1:40" ht="16" thickBot="1">
      <c r="A365" s="3">
        <v>364</v>
      </c>
      <c r="B365" s="19">
        <v>45946</v>
      </c>
      <c r="C365" s="5" t="s">
        <v>40</v>
      </c>
      <c r="D365" s="5" t="s">
        <v>41</v>
      </c>
      <c r="E365" s="6" t="s">
        <v>42</v>
      </c>
      <c r="F365" s="7" t="s">
        <v>78</v>
      </c>
      <c r="G365" s="5" t="s">
        <v>44</v>
      </c>
      <c r="H365" s="5" t="s">
        <v>45</v>
      </c>
      <c r="I365" s="5">
        <v>4</v>
      </c>
      <c r="J365" s="5">
        <v>8</v>
      </c>
      <c r="K365" s="5">
        <v>25000</v>
      </c>
      <c r="L365" s="5">
        <v>1000</v>
      </c>
      <c r="M365" s="5">
        <v>55</v>
      </c>
      <c r="N365" s="5">
        <v>31</v>
      </c>
      <c r="O365" s="17" t="s">
        <v>79</v>
      </c>
      <c r="P365" s="8"/>
      <c r="Q365" s="18">
        <v>5.5555555555555552E-2</v>
      </c>
      <c r="R365" s="18">
        <v>0.15368055555555557</v>
      </c>
      <c r="S365" s="17">
        <v>7436</v>
      </c>
      <c r="T365" s="18">
        <v>0.30209490740740741</v>
      </c>
      <c r="U365" s="18">
        <v>0.3021875</v>
      </c>
      <c r="V365" s="17">
        <v>7466</v>
      </c>
      <c r="W365" s="17">
        <v>38</v>
      </c>
      <c r="X365" s="17">
        <v>33</v>
      </c>
      <c r="Y365" s="12">
        <v>5</v>
      </c>
      <c r="Z365" s="12">
        <v>30</v>
      </c>
      <c r="AA365" s="12">
        <v>30</v>
      </c>
      <c r="AB365" s="12">
        <v>0</v>
      </c>
      <c r="AC365" s="12">
        <v>0</v>
      </c>
      <c r="AD365" s="13">
        <v>0</v>
      </c>
      <c r="AE365" s="12">
        <v>0</v>
      </c>
      <c r="AF365" s="14">
        <v>0</v>
      </c>
      <c r="AG365" s="5">
        <v>0</v>
      </c>
      <c r="AH365" s="5">
        <v>0</v>
      </c>
      <c r="AI365" s="5">
        <v>0</v>
      </c>
      <c r="AJ365" s="5">
        <v>806.45</v>
      </c>
      <c r="AK365" s="5">
        <v>0</v>
      </c>
      <c r="AL365" s="5">
        <v>806.45</v>
      </c>
      <c r="AM365" s="8"/>
      <c r="AN365" s="8"/>
    </row>
    <row r="366" spans="1:40" ht="16" thickBot="1">
      <c r="A366" s="3">
        <v>365</v>
      </c>
      <c r="B366" s="19">
        <v>45946</v>
      </c>
      <c r="C366" s="5" t="s">
        <v>40</v>
      </c>
      <c r="D366" s="5" t="s">
        <v>41</v>
      </c>
      <c r="E366" s="6" t="s">
        <v>42</v>
      </c>
      <c r="F366" s="7" t="s">
        <v>80</v>
      </c>
      <c r="G366" s="5" t="s">
        <v>44</v>
      </c>
      <c r="H366" s="5" t="s">
        <v>45</v>
      </c>
      <c r="I366" s="5">
        <v>4</v>
      </c>
      <c r="J366" s="5">
        <v>8</v>
      </c>
      <c r="K366" s="5">
        <v>25000</v>
      </c>
      <c r="L366" s="5">
        <v>1000</v>
      </c>
      <c r="M366" s="5">
        <v>55</v>
      </c>
      <c r="N366" s="5">
        <v>31</v>
      </c>
      <c r="O366" s="17" t="s">
        <v>69</v>
      </c>
      <c r="P366" s="8"/>
      <c r="Q366" s="18">
        <v>5.2777777777777778E-2</v>
      </c>
      <c r="R366" s="18">
        <v>0.15440972222222224</v>
      </c>
      <c r="S366" s="17">
        <v>5104</v>
      </c>
      <c r="T366" s="18">
        <v>0.29452546296296295</v>
      </c>
      <c r="U366" s="18">
        <v>0.2945949074074074</v>
      </c>
      <c r="V366" s="17">
        <v>5120</v>
      </c>
      <c r="W366" s="17">
        <v>40</v>
      </c>
      <c r="X366" s="17">
        <v>48</v>
      </c>
      <c r="Y366" s="12">
        <v>-8</v>
      </c>
      <c r="Z366" s="12">
        <v>16</v>
      </c>
      <c r="AA366" s="12">
        <v>16</v>
      </c>
      <c r="AB366" s="12">
        <v>0</v>
      </c>
      <c r="AC366" s="12">
        <v>0</v>
      </c>
      <c r="AD366" s="13">
        <v>0</v>
      </c>
      <c r="AE366" s="12">
        <v>0</v>
      </c>
      <c r="AF366" s="14">
        <v>0</v>
      </c>
      <c r="AG366" s="5">
        <v>0</v>
      </c>
      <c r="AH366" s="5">
        <v>0</v>
      </c>
      <c r="AI366" s="5">
        <v>0</v>
      </c>
      <c r="AJ366" s="5">
        <v>806.45</v>
      </c>
      <c r="AK366" s="5">
        <v>0</v>
      </c>
      <c r="AL366" s="5">
        <v>806.45</v>
      </c>
      <c r="AM366" s="8"/>
      <c r="AN366" s="8"/>
    </row>
    <row r="367" spans="1:40" ht="16" thickBot="1">
      <c r="A367" s="3">
        <v>366</v>
      </c>
      <c r="B367" s="19">
        <v>45946</v>
      </c>
      <c r="C367" s="5" t="s">
        <v>40</v>
      </c>
      <c r="D367" s="5" t="s">
        <v>41</v>
      </c>
      <c r="E367" s="6" t="s">
        <v>42</v>
      </c>
      <c r="F367" s="7" t="s">
        <v>105</v>
      </c>
      <c r="G367" s="5" t="s">
        <v>44</v>
      </c>
      <c r="H367" s="5" t="s">
        <v>45</v>
      </c>
      <c r="I367" s="5">
        <v>4</v>
      </c>
      <c r="J367" s="5">
        <v>8</v>
      </c>
      <c r="K367" s="5">
        <v>25000</v>
      </c>
      <c r="L367" s="5">
        <v>1000</v>
      </c>
      <c r="M367" s="5">
        <v>55</v>
      </c>
      <c r="N367" s="5">
        <v>31</v>
      </c>
      <c r="O367" s="17" t="s">
        <v>156</v>
      </c>
      <c r="P367" s="8"/>
      <c r="Q367" s="18">
        <v>0.11458333333333333</v>
      </c>
      <c r="R367" s="18">
        <v>0.17203703703703702</v>
      </c>
      <c r="S367" s="17">
        <v>41524</v>
      </c>
      <c r="T367" s="18">
        <v>0.31737268518518519</v>
      </c>
      <c r="U367" s="18">
        <v>0.31747685185185187</v>
      </c>
      <c r="V367" s="17">
        <v>41542</v>
      </c>
      <c r="W367" s="17">
        <v>36</v>
      </c>
      <c r="X367" s="17">
        <v>30</v>
      </c>
      <c r="Y367" s="12">
        <v>6</v>
      </c>
      <c r="Z367" s="12">
        <v>18</v>
      </c>
      <c r="AA367" s="12">
        <v>18</v>
      </c>
      <c r="AB367" s="12">
        <v>0</v>
      </c>
      <c r="AC367" s="12">
        <v>0</v>
      </c>
      <c r="AD367" s="13">
        <v>0</v>
      </c>
      <c r="AE367" s="12">
        <v>0</v>
      </c>
      <c r="AF367" s="14">
        <v>0</v>
      </c>
      <c r="AG367" s="5">
        <v>0</v>
      </c>
      <c r="AH367" s="5">
        <v>0</v>
      </c>
      <c r="AI367" s="5">
        <v>0</v>
      </c>
      <c r="AJ367" s="5">
        <v>806.45</v>
      </c>
      <c r="AK367" s="5">
        <v>0</v>
      </c>
      <c r="AL367" s="5">
        <v>806.45</v>
      </c>
      <c r="AM367" s="8"/>
      <c r="AN367" s="8"/>
    </row>
    <row r="368" spans="1:40" ht="16" thickBot="1">
      <c r="A368" s="3">
        <v>367</v>
      </c>
      <c r="B368" s="19">
        <v>45946</v>
      </c>
      <c r="C368" s="5" t="s">
        <v>40</v>
      </c>
      <c r="D368" s="5" t="s">
        <v>41</v>
      </c>
      <c r="E368" s="6" t="s">
        <v>42</v>
      </c>
      <c r="F368" s="7" t="s">
        <v>82</v>
      </c>
      <c r="G368" s="10" t="s">
        <v>83</v>
      </c>
      <c r="H368" s="5" t="s">
        <v>84</v>
      </c>
      <c r="I368" s="5">
        <v>4</v>
      </c>
      <c r="J368" s="5">
        <v>10</v>
      </c>
      <c r="K368" s="6">
        <v>29000</v>
      </c>
      <c r="L368" s="5">
        <v>1000</v>
      </c>
      <c r="M368" s="5">
        <v>55</v>
      </c>
      <c r="N368" s="5">
        <v>31</v>
      </c>
      <c r="O368" s="17" t="s">
        <v>107</v>
      </c>
      <c r="P368" s="8"/>
      <c r="Q368" s="18">
        <v>0.12430555555555556</v>
      </c>
      <c r="R368" s="18">
        <v>0.15943287037037038</v>
      </c>
      <c r="S368" s="17">
        <v>32982</v>
      </c>
      <c r="T368" s="18">
        <v>0.35584490740740743</v>
      </c>
      <c r="U368" s="18">
        <v>0.35604166666666665</v>
      </c>
      <c r="V368" s="17">
        <v>32991</v>
      </c>
      <c r="W368" s="17">
        <v>33</v>
      </c>
      <c r="X368" s="17">
        <v>69</v>
      </c>
      <c r="Y368" s="12">
        <v>-36</v>
      </c>
      <c r="Z368" s="12">
        <v>9</v>
      </c>
      <c r="AA368" s="12">
        <v>9</v>
      </c>
      <c r="AB368" s="12">
        <v>0</v>
      </c>
      <c r="AC368" s="12">
        <v>0</v>
      </c>
      <c r="AD368" s="13">
        <v>1</v>
      </c>
      <c r="AE368" s="12">
        <v>150</v>
      </c>
      <c r="AF368" s="14">
        <v>0</v>
      </c>
      <c r="AG368" s="5">
        <v>0</v>
      </c>
      <c r="AH368" s="5">
        <v>0</v>
      </c>
      <c r="AI368" s="5">
        <v>0</v>
      </c>
      <c r="AJ368" s="5">
        <v>1085.48</v>
      </c>
      <c r="AK368" s="5">
        <v>0</v>
      </c>
      <c r="AL368" s="5">
        <v>1085.48</v>
      </c>
      <c r="AM368" s="8"/>
      <c r="AN368" s="8"/>
    </row>
    <row r="369" spans="1:40" ht="16" thickBot="1">
      <c r="A369" s="3">
        <v>368</v>
      </c>
      <c r="B369" s="19">
        <v>45946</v>
      </c>
      <c r="C369" s="5" t="s">
        <v>40</v>
      </c>
      <c r="D369" s="5" t="s">
        <v>41</v>
      </c>
      <c r="E369" s="6" t="s">
        <v>42</v>
      </c>
      <c r="F369" s="7" t="s">
        <v>85</v>
      </c>
      <c r="G369" s="10" t="s">
        <v>83</v>
      </c>
      <c r="H369" s="5" t="s">
        <v>84</v>
      </c>
      <c r="I369" s="5">
        <v>4</v>
      </c>
      <c r="J369" s="5">
        <v>10</v>
      </c>
      <c r="K369" s="6">
        <v>29000</v>
      </c>
      <c r="L369" s="5">
        <v>1000</v>
      </c>
      <c r="M369" s="5">
        <v>55</v>
      </c>
      <c r="N369" s="5">
        <v>31</v>
      </c>
      <c r="O369" s="17" t="s">
        <v>179</v>
      </c>
      <c r="P369" s="8"/>
      <c r="Q369" s="18">
        <v>6.1111111111111116E-2</v>
      </c>
      <c r="R369" s="18">
        <v>0.16211805555555556</v>
      </c>
      <c r="S369" s="17">
        <v>38968</v>
      </c>
      <c r="T369" s="18">
        <v>0.35250000000000004</v>
      </c>
      <c r="U369" s="18">
        <v>0.35385416666666664</v>
      </c>
      <c r="V369" s="17">
        <v>38997</v>
      </c>
      <c r="W369" s="17">
        <v>29</v>
      </c>
      <c r="X369" s="17">
        <v>65</v>
      </c>
      <c r="Y369" s="12">
        <v>-36</v>
      </c>
      <c r="Z369" s="12">
        <v>29</v>
      </c>
      <c r="AA369" s="12">
        <v>29</v>
      </c>
      <c r="AB369" s="12">
        <v>0</v>
      </c>
      <c r="AC369" s="12">
        <v>0</v>
      </c>
      <c r="AD369" s="13">
        <v>1</v>
      </c>
      <c r="AE369" s="12">
        <v>150</v>
      </c>
      <c r="AF369" s="14">
        <v>0</v>
      </c>
      <c r="AG369" s="5">
        <v>0</v>
      </c>
      <c r="AH369" s="5">
        <v>0</v>
      </c>
      <c r="AI369" s="5">
        <v>0</v>
      </c>
      <c r="AJ369" s="5">
        <v>1085.48</v>
      </c>
      <c r="AK369" s="5">
        <v>0</v>
      </c>
      <c r="AL369" s="5">
        <v>1085.48</v>
      </c>
      <c r="AM369" s="8"/>
      <c r="AN369" s="8"/>
    </row>
    <row r="370" spans="1:40" ht="16" thickBot="1">
      <c r="A370" s="3">
        <v>369</v>
      </c>
      <c r="B370" s="19">
        <v>45946</v>
      </c>
      <c r="C370" s="5" t="s">
        <v>40</v>
      </c>
      <c r="D370" s="5" t="s">
        <v>41</v>
      </c>
      <c r="E370" s="6" t="s">
        <v>42</v>
      </c>
      <c r="F370" s="7" t="s">
        <v>87</v>
      </c>
      <c r="G370" s="10" t="s">
        <v>83</v>
      </c>
      <c r="H370" s="5" t="s">
        <v>84</v>
      </c>
      <c r="I370" s="5">
        <v>4</v>
      </c>
      <c r="J370" s="5">
        <v>10</v>
      </c>
      <c r="K370" s="6">
        <v>29000</v>
      </c>
      <c r="L370" s="5">
        <v>1000</v>
      </c>
      <c r="M370" s="5">
        <v>55</v>
      </c>
      <c r="N370" s="5">
        <v>31</v>
      </c>
      <c r="O370" s="17" t="s">
        <v>140</v>
      </c>
      <c r="P370" s="8"/>
      <c r="Q370" s="18">
        <v>9.5138888888888884E-2</v>
      </c>
      <c r="R370" s="18">
        <v>0.16658564814814816</v>
      </c>
      <c r="S370" s="17">
        <v>3247</v>
      </c>
      <c r="T370" s="18">
        <v>0.32412037037037039</v>
      </c>
      <c r="U370" s="18">
        <v>0.32427083333333334</v>
      </c>
      <c r="V370" s="17">
        <v>3271</v>
      </c>
      <c r="W370" s="17">
        <v>47</v>
      </c>
      <c r="X370" s="17">
        <v>68</v>
      </c>
      <c r="Y370" s="12">
        <v>-21</v>
      </c>
      <c r="Z370" s="12">
        <v>24</v>
      </c>
      <c r="AA370" s="12">
        <v>24</v>
      </c>
      <c r="AB370" s="12">
        <v>0</v>
      </c>
      <c r="AC370" s="12">
        <v>0</v>
      </c>
      <c r="AD370" s="13">
        <v>0</v>
      </c>
      <c r="AE370" s="12">
        <v>0</v>
      </c>
      <c r="AF370" s="14">
        <v>0</v>
      </c>
      <c r="AG370" s="5">
        <v>0</v>
      </c>
      <c r="AH370" s="5">
        <v>0</v>
      </c>
      <c r="AI370" s="5">
        <v>0</v>
      </c>
      <c r="AJ370" s="5">
        <v>935.48</v>
      </c>
      <c r="AK370" s="5">
        <v>0</v>
      </c>
      <c r="AL370" s="5">
        <v>935.48</v>
      </c>
      <c r="AM370" s="8"/>
      <c r="AN370" s="8"/>
    </row>
    <row r="371" spans="1:40" ht="16" thickBot="1">
      <c r="A371" s="3">
        <v>370</v>
      </c>
      <c r="B371" s="19">
        <v>45946</v>
      </c>
      <c r="C371" s="5" t="s">
        <v>40</v>
      </c>
      <c r="D371" s="5" t="s">
        <v>41</v>
      </c>
      <c r="E371" s="6" t="s">
        <v>42</v>
      </c>
      <c r="F371" s="7" t="s">
        <v>89</v>
      </c>
      <c r="G371" s="10" t="s">
        <v>83</v>
      </c>
      <c r="H371" s="5" t="s">
        <v>84</v>
      </c>
      <c r="I371" s="5">
        <v>4</v>
      </c>
      <c r="J371" s="5">
        <v>10</v>
      </c>
      <c r="K371" s="6">
        <v>29000</v>
      </c>
      <c r="L371" s="5">
        <v>1000</v>
      </c>
      <c r="M371" s="5">
        <v>55</v>
      </c>
      <c r="N371" s="5">
        <v>31</v>
      </c>
      <c r="O371" s="17" t="s">
        <v>172</v>
      </c>
      <c r="P371" s="8"/>
      <c r="Q371" s="18">
        <v>9.1666666666666674E-2</v>
      </c>
      <c r="R371" s="18">
        <v>0.16560185185185186</v>
      </c>
      <c r="S371" s="17">
        <v>139257</v>
      </c>
      <c r="T371" s="18">
        <v>0.29545138888888889</v>
      </c>
      <c r="U371" s="18">
        <v>0.2955787037037037</v>
      </c>
      <c r="V371" s="17">
        <v>139295</v>
      </c>
      <c r="W371" s="17">
        <v>60</v>
      </c>
      <c r="X371" s="17">
        <v>28</v>
      </c>
      <c r="Y371" s="12">
        <v>32</v>
      </c>
      <c r="Z371" s="12">
        <v>38</v>
      </c>
      <c r="AA371" s="12">
        <v>38</v>
      </c>
      <c r="AB371" s="12">
        <v>0</v>
      </c>
      <c r="AC371" s="12">
        <v>0</v>
      </c>
      <c r="AD371" s="13">
        <v>0</v>
      </c>
      <c r="AE371" s="12">
        <v>0</v>
      </c>
      <c r="AF371" s="14">
        <v>0</v>
      </c>
      <c r="AG371" s="5">
        <v>0</v>
      </c>
      <c r="AH371" s="5">
        <v>0</v>
      </c>
      <c r="AI371" s="5">
        <v>0</v>
      </c>
      <c r="AJ371" s="5">
        <v>935.48</v>
      </c>
      <c r="AK371" s="5">
        <v>0</v>
      </c>
      <c r="AL371" s="5">
        <v>935.48</v>
      </c>
      <c r="AM371" s="8"/>
      <c r="AN371" s="8"/>
    </row>
    <row r="372" spans="1:40" ht="16" thickBot="1">
      <c r="A372" s="3">
        <v>371</v>
      </c>
      <c r="B372" s="19">
        <v>45947</v>
      </c>
      <c r="C372" s="5" t="s">
        <v>40</v>
      </c>
      <c r="D372" s="5" t="s">
        <v>41</v>
      </c>
      <c r="E372" s="6" t="s">
        <v>42</v>
      </c>
      <c r="F372" s="7" t="s">
        <v>43</v>
      </c>
      <c r="G372" s="5" t="s">
        <v>44</v>
      </c>
      <c r="H372" s="5" t="s">
        <v>45</v>
      </c>
      <c r="I372" s="5">
        <v>4</v>
      </c>
      <c r="J372" s="5">
        <v>8</v>
      </c>
      <c r="K372" s="5">
        <v>25000</v>
      </c>
      <c r="L372" s="5">
        <v>1000</v>
      </c>
      <c r="M372" s="5">
        <v>55</v>
      </c>
      <c r="N372" s="5">
        <v>31</v>
      </c>
      <c r="O372" s="17" t="s">
        <v>46</v>
      </c>
      <c r="P372" s="8"/>
      <c r="Q372" s="18">
        <v>4.2361111111111106E-2</v>
      </c>
      <c r="R372" s="18">
        <v>0.19244212962962962</v>
      </c>
      <c r="S372" s="17">
        <v>57397</v>
      </c>
      <c r="T372" s="18">
        <v>0.33700231481481485</v>
      </c>
      <c r="U372" s="18">
        <v>0.33707175925925931</v>
      </c>
      <c r="V372" s="17">
        <v>57403</v>
      </c>
      <c r="W372" s="17">
        <v>40</v>
      </c>
      <c r="X372" s="17">
        <v>40</v>
      </c>
      <c r="Y372" s="12">
        <v>0</v>
      </c>
      <c r="Z372" s="12">
        <v>6</v>
      </c>
      <c r="AA372" s="12">
        <v>6</v>
      </c>
      <c r="AB372" s="12">
        <v>0</v>
      </c>
      <c r="AC372" s="12">
        <v>0</v>
      </c>
      <c r="AD372" s="13">
        <v>1</v>
      </c>
      <c r="AE372" s="12">
        <v>150</v>
      </c>
      <c r="AF372" s="14">
        <v>0</v>
      </c>
      <c r="AG372" s="5">
        <v>0</v>
      </c>
      <c r="AH372" s="5">
        <v>0</v>
      </c>
      <c r="AI372" s="5">
        <v>0</v>
      </c>
      <c r="AJ372" s="5">
        <v>956.45</v>
      </c>
      <c r="AK372" s="5">
        <v>0</v>
      </c>
      <c r="AL372" s="5">
        <v>956.45</v>
      </c>
      <c r="AM372" s="8"/>
      <c r="AN372" s="8"/>
    </row>
    <row r="373" spans="1:40" ht="16" thickBot="1">
      <c r="A373" s="3">
        <v>372</v>
      </c>
      <c r="B373" s="19">
        <v>45947</v>
      </c>
      <c r="C373" s="5" t="s">
        <v>40</v>
      </c>
      <c r="D373" s="5" t="s">
        <v>41</v>
      </c>
      <c r="E373" s="6" t="s">
        <v>42</v>
      </c>
      <c r="F373" s="7" t="s">
        <v>132</v>
      </c>
      <c r="G373" s="5" t="s">
        <v>44</v>
      </c>
      <c r="H373" s="5" t="s">
        <v>45</v>
      </c>
      <c r="I373" s="5">
        <v>4</v>
      </c>
      <c r="J373" s="5">
        <v>8</v>
      </c>
      <c r="K373" s="5">
        <v>25000</v>
      </c>
      <c r="L373" s="5">
        <v>1000</v>
      </c>
      <c r="M373" s="5">
        <v>55</v>
      </c>
      <c r="N373" s="5">
        <v>31</v>
      </c>
      <c r="O373" s="17" t="s">
        <v>133</v>
      </c>
      <c r="P373" s="8"/>
      <c r="Q373" s="18">
        <v>4.7916666666666663E-2</v>
      </c>
      <c r="R373" s="18">
        <v>0.19753472222222224</v>
      </c>
      <c r="S373" s="17">
        <v>110516</v>
      </c>
      <c r="T373" s="18">
        <v>0.28590277777777778</v>
      </c>
      <c r="U373" s="18">
        <v>0.28600694444444447</v>
      </c>
      <c r="V373" s="17">
        <v>110529</v>
      </c>
      <c r="W373" s="17">
        <v>27</v>
      </c>
      <c r="X373" s="17">
        <v>27</v>
      </c>
      <c r="Y373" s="12">
        <v>0</v>
      </c>
      <c r="Z373" s="12">
        <v>13</v>
      </c>
      <c r="AA373" s="12">
        <v>13</v>
      </c>
      <c r="AB373" s="12">
        <v>0</v>
      </c>
      <c r="AC373" s="12">
        <v>0</v>
      </c>
      <c r="AD373" s="13">
        <v>0</v>
      </c>
      <c r="AE373" s="12">
        <v>0</v>
      </c>
      <c r="AF373" s="14">
        <v>0</v>
      </c>
      <c r="AG373" s="5">
        <v>0</v>
      </c>
      <c r="AH373" s="5">
        <v>0</v>
      </c>
      <c r="AI373" s="5">
        <v>0</v>
      </c>
      <c r="AJ373" s="5">
        <v>806.45</v>
      </c>
      <c r="AK373" s="5">
        <v>0</v>
      </c>
      <c r="AL373" s="5">
        <v>806.45</v>
      </c>
      <c r="AM373" s="8"/>
      <c r="AN373" s="8"/>
    </row>
    <row r="374" spans="1:40" ht="16" thickBot="1">
      <c r="A374" s="3">
        <v>373</v>
      </c>
      <c r="B374" s="19">
        <v>45947</v>
      </c>
      <c r="C374" s="5" t="s">
        <v>40</v>
      </c>
      <c r="D374" s="5" t="s">
        <v>41</v>
      </c>
      <c r="E374" s="6" t="s">
        <v>42</v>
      </c>
      <c r="F374" s="7" t="s">
        <v>145</v>
      </c>
      <c r="G374" s="5" t="s">
        <v>44</v>
      </c>
      <c r="H374" s="5" t="s">
        <v>45</v>
      </c>
      <c r="I374" s="5">
        <v>4</v>
      </c>
      <c r="J374" s="5">
        <v>8</v>
      </c>
      <c r="K374" s="5">
        <v>25000</v>
      </c>
      <c r="L374" s="5">
        <v>1000</v>
      </c>
      <c r="M374" s="5">
        <v>55</v>
      </c>
      <c r="N374" s="5">
        <v>31</v>
      </c>
      <c r="O374" s="17" t="s">
        <v>187</v>
      </c>
      <c r="P374" s="8"/>
      <c r="Q374" s="18">
        <v>4.7916666666666663E-2</v>
      </c>
      <c r="R374" s="18">
        <v>0.19680555555555557</v>
      </c>
      <c r="S374" s="17">
        <v>38382</v>
      </c>
      <c r="T374" s="18">
        <v>0.28422453703703704</v>
      </c>
      <c r="U374" s="18">
        <v>0.28528935185185184</v>
      </c>
      <c r="V374" s="17">
        <v>38392</v>
      </c>
      <c r="W374" s="17">
        <v>34</v>
      </c>
      <c r="X374" s="17">
        <v>34</v>
      </c>
      <c r="Y374" s="12">
        <v>0</v>
      </c>
      <c r="Z374" s="12">
        <v>10</v>
      </c>
      <c r="AA374" s="12">
        <v>10</v>
      </c>
      <c r="AB374" s="12">
        <v>0</v>
      </c>
      <c r="AC374" s="12">
        <v>0</v>
      </c>
      <c r="AD374" s="13">
        <v>0</v>
      </c>
      <c r="AE374" s="12">
        <v>0</v>
      </c>
      <c r="AF374" s="14">
        <v>0</v>
      </c>
      <c r="AG374" s="5">
        <v>0</v>
      </c>
      <c r="AH374" s="5">
        <v>0</v>
      </c>
      <c r="AI374" s="5">
        <v>0</v>
      </c>
      <c r="AJ374" s="5">
        <v>806.45</v>
      </c>
      <c r="AK374" s="5">
        <v>0</v>
      </c>
      <c r="AL374" s="5">
        <v>806.45</v>
      </c>
      <c r="AM374" s="8"/>
      <c r="AN374" s="8"/>
    </row>
    <row r="375" spans="1:40" ht="16" thickBot="1">
      <c r="A375" s="3">
        <v>374</v>
      </c>
      <c r="B375" s="19">
        <v>45947</v>
      </c>
      <c r="C375" s="5" t="s">
        <v>40</v>
      </c>
      <c r="D375" s="5" t="s">
        <v>41</v>
      </c>
      <c r="E375" s="6" t="s">
        <v>42</v>
      </c>
      <c r="F375" s="7" t="s">
        <v>53</v>
      </c>
      <c r="G375" s="5" t="s">
        <v>44</v>
      </c>
      <c r="H375" s="5" t="s">
        <v>45</v>
      </c>
      <c r="I375" s="5">
        <v>4</v>
      </c>
      <c r="J375" s="5">
        <v>8</v>
      </c>
      <c r="K375" s="5">
        <v>25000</v>
      </c>
      <c r="L375" s="5">
        <v>1000</v>
      </c>
      <c r="M375" s="5">
        <v>55</v>
      </c>
      <c r="N375" s="5">
        <v>31</v>
      </c>
      <c r="O375" s="17" t="s">
        <v>75</v>
      </c>
      <c r="P375" s="8"/>
      <c r="Q375" s="18">
        <v>0.11666666666666665</v>
      </c>
      <c r="R375" s="18">
        <v>0.19619212962962962</v>
      </c>
      <c r="S375" s="17">
        <v>12557</v>
      </c>
      <c r="T375" s="18">
        <v>0.29469907407407409</v>
      </c>
      <c r="U375" s="18">
        <v>0.29486111111111107</v>
      </c>
      <c r="V375" s="17">
        <v>12572</v>
      </c>
      <c r="W375" s="17">
        <v>45</v>
      </c>
      <c r="X375" s="17">
        <v>32</v>
      </c>
      <c r="Y375" s="12">
        <v>13</v>
      </c>
      <c r="Z375" s="12">
        <v>15</v>
      </c>
      <c r="AA375" s="12">
        <v>15</v>
      </c>
      <c r="AB375" s="12">
        <v>0</v>
      </c>
      <c r="AC375" s="12">
        <v>0</v>
      </c>
      <c r="AD375" s="13">
        <v>0</v>
      </c>
      <c r="AE375" s="12">
        <v>0</v>
      </c>
      <c r="AF375" s="14">
        <v>0</v>
      </c>
      <c r="AG375" s="5">
        <v>0</v>
      </c>
      <c r="AH375" s="5">
        <v>0</v>
      </c>
      <c r="AI375" s="5">
        <v>0</v>
      </c>
      <c r="AJ375" s="5">
        <v>806.45</v>
      </c>
      <c r="AK375" s="5">
        <v>0</v>
      </c>
      <c r="AL375" s="5">
        <v>806.45</v>
      </c>
      <c r="AM375" s="8"/>
      <c r="AN375" s="8"/>
    </row>
    <row r="376" spans="1:40" ht="16" thickBot="1">
      <c r="A376" s="3">
        <v>375</v>
      </c>
      <c r="B376" s="19">
        <v>45947</v>
      </c>
      <c r="C376" s="5" t="s">
        <v>40</v>
      </c>
      <c r="D376" s="5" t="s">
        <v>41</v>
      </c>
      <c r="E376" s="6" t="s">
        <v>42</v>
      </c>
      <c r="F376" s="7" t="s">
        <v>55</v>
      </c>
      <c r="G376" s="5" t="s">
        <v>44</v>
      </c>
      <c r="H376" s="5" t="s">
        <v>45</v>
      </c>
      <c r="I376" s="5">
        <v>4</v>
      </c>
      <c r="J376" s="5">
        <v>8</v>
      </c>
      <c r="K376" s="5">
        <v>25000</v>
      </c>
      <c r="L376" s="5">
        <v>1000</v>
      </c>
      <c r="M376" s="5">
        <v>55</v>
      </c>
      <c r="N376" s="5">
        <v>31</v>
      </c>
      <c r="O376" s="17" t="s">
        <v>56</v>
      </c>
      <c r="P376" s="8"/>
      <c r="Q376" s="18">
        <v>9.9999999999999992E-2</v>
      </c>
      <c r="R376" s="18">
        <v>0.19530092592592593</v>
      </c>
      <c r="S376" s="17">
        <v>145371</v>
      </c>
      <c r="T376" s="18">
        <v>0.29706018518518518</v>
      </c>
      <c r="U376" s="18">
        <v>0.29756944444444444</v>
      </c>
      <c r="V376" s="17">
        <v>145388</v>
      </c>
      <c r="W376" s="17">
        <v>26</v>
      </c>
      <c r="X376" s="17">
        <v>26</v>
      </c>
      <c r="Y376" s="12">
        <v>0</v>
      </c>
      <c r="Z376" s="12">
        <v>17</v>
      </c>
      <c r="AA376" s="12">
        <v>17</v>
      </c>
      <c r="AB376" s="12">
        <v>0</v>
      </c>
      <c r="AC376" s="12">
        <v>0</v>
      </c>
      <c r="AD376" s="13">
        <v>0</v>
      </c>
      <c r="AE376" s="12">
        <v>0</v>
      </c>
      <c r="AF376" s="14">
        <v>0</v>
      </c>
      <c r="AG376" s="5">
        <v>0</v>
      </c>
      <c r="AH376" s="5">
        <v>0</v>
      </c>
      <c r="AI376" s="5">
        <v>0</v>
      </c>
      <c r="AJ376" s="5">
        <v>806.45</v>
      </c>
      <c r="AK376" s="5">
        <v>0</v>
      </c>
      <c r="AL376" s="5">
        <v>806.45</v>
      </c>
      <c r="AM376" s="8"/>
      <c r="AN376" s="8"/>
    </row>
    <row r="377" spans="1:40" ht="16" thickBot="1">
      <c r="A377" s="3">
        <v>376</v>
      </c>
      <c r="B377" s="19">
        <v>45947</v>
      </c>
      <c r="C377" s="5" t="s">
        <v>40</v>
      </c>
      <c r="D377" s="5" t="s">
        <v>41</v>
      </c>
      <c r="E377" s="6" t="s">
        <v>42</v>
      </c>
      <c r="F377" s="7" t="s">
        <v>176</v>
      </c>
      <c r="G377" s="5" t="s">
        <v>44</v>
      </c>
      <c r="H377" s="5" t="s">
        <v>45</v>
      </c>
      <c r="I377" s="5">
        <v>4</v>
      </c>
      <c r="J377" s="5">
        <v>8</v>
      </c>
      <c r="K377" s="5">
        <v>25000</v>
      </c>
      <c r="L377" s="5">
        <v>1000</v>
      </c>
      <c r="M377" s="5">
        <v>55</v>
      </c>
      <c r="N377" s="5">
        <v>31</v>
      </c>
      <c r="O377" s="17" t="s">
        <v>155</v>
      </c>
      <c r="P377" s="8"/>
      <c r="Q377" s="18">
        <v>4.0972222222222222E-2</v>
      </c>
      <c r="R377" s="18">
        <v>0.19280092592592593</v>
      </c>
      <c r="S377" s="17">
        <v>165502</v>
      </c>
      <c r="T377" s="18">
        <v>0.32451388888888888</v>
      </c>
      <c r="U377" s="18">
        <v>0.32468750000000002</v>
      </c>
      <c r="V377" s="17">
        <v>165521</v>
      </c>
      <c r="W377" s="17">
        <v>35</v>
      </c>
      <c r="X377" s="17">
        <v>34</v>
      </c>
      <c r="Y377" s="12">
        <v>1</v>
      </c>
      <c r="Z377" s="12">
        <v>19</v>
      </c>
      <c r="AA377" s="12">
        <v>19</v>
      </c>
      <c r="AB377" s="12">
        <v>0</v>
      </c>
      <c r="AC377" s="12">
        <v>0</v>
      </c>
      <c r="AD377" s="13">
        <v>0</v>
      </c>
      <c r="AE377" s="12">
        <v>0</v>
      </c>
      <c r="AF377" s="14">
        <v>0</v>
      </c>
      <c r="AG377" s="5">
        <v>0</v>
      </c>
      <c r="AH377" s="5">
        <v>0</v>
      </c>
      <c r="AI377" s="5">
        <v>0</v>
      </c>
      <c r="AJ377" s="5">
        <v>806.45</v>
      </c>
      <c r="AK377" s="5">
        <v>0</v>
      </c>
      <c r="AL377" s="5">
        <v>806.45</v>
      </c>
      <c r="AM377" s="8"/>
      <c r="AN377" s="8"/>
    </row>
    <row r="378" spans="1:40" ht="16" thickBot="1">
      <c r="A378" s="3">
        <v>377</v>
      </c>
      <c r="B378" s="19">
        <v>45947</v>
      </c>
      <c r="C378" s="5" t="s">
        <v>40</v>
      </c>
      <c r="D378" s="5" t="s">
        <v>41</v>
      </c>
      <c r="E378" s="6" t="s">
        <v>42</v>
      </c>
      <c r="F378" s="7" t="s">
        <v>182</v>
      </c>
      <c r="G378" s="5" t="s">
        <v>44</v>
      </c>
      <c r="H378" s="5" t="s">
        <v>45</v>
      </c>
      <c r="I378" s="5">
        <v>4</v>
      </c>
      <c r="J378" s="5">
        <v>8</v>
      </c>
      <c r="K378" s="5">
        <v>25000</v>
      </c>
      <c r="L378" s="5">
        <v>1000</v>
      </c>
      <c r="M378" s="5">
        <v>55</v>
      </c>
      <c r="N378" s="5">
        <v>31</v>
      </c>
      <c r="O378" s="17" t="s">
        <v>152</v>
      </c>
      <c r="P378" s="8"/>
      <c r="Q378" s="18">
        <v>4.0972222222222222E-2</v>
      </c>
      <c r="R378" s="18">
        <v>0.19074074074074074</v>
      </c>
      <c r="S378" s="17">
        <v>115595</v>
      </c>
      <c r="T378" s="18">
        <v>0.3336689814814815</v>
      </c>
      <c r="U378" s="18">
        <v>0.33377314814814812</v>
      </c>
      <c r="V378" s="17">
        <v>115621</v>
      </c>
      <c r="W378" s="17">
        <v>43</v>
      </c>
      <c r="X378" s="17">
        <v>43</v>
      </c>
      <c r="Y378" s="12">
        <v>0</v>
      </c>
      <c r="Z378" s="12">
        <v>26</v>
      </c>
      <c r="AA378" s="12">
        <v>26</v>
      </c>
      <c r="AB378" s="12">
        <v>0</v>
      </c>
      <c r="AC378" s="12">
        <v>0</v>
      </c>
      <c r="AD378" s="13">
        <v>0</v>
      </c>
      <c r="AE378" s="12">
        <v>0</v>
      </c>
      <c r="AF378" s="14">
        <v>0</v>
      </c>
      <c r="AG378" s="5">
        <v>0</v>
      </c>
      <c r="AH378" s="5">
        <v>0</v>
      </c>
      <c r="AI378" s="5">
        <v>0</v>
      </c>
      <c r="AJ378" s="5">
        <v>806.45</v>
      </c>
      <c r="AK378" s="5">
        <v>0</v>
      </c>
      <c r="AL378" s="5">
        <v>806.45</v>
      </c>
      <c r="AM378" s="8"/>
      <c r="AN378" s="8"/>
    </row>
    <row r="379" spans="1:40" ht="16" thickBot="1">
      <c r="A379" s="3">
        <v>378</v>
      </c>
      <c r="B379" s="19">
        <v>45947</v>
      </c>
      <c r="C379" s="5" t="s">
        <v>40</v>
      </c>
      <c r="D379" s="5" t="s">
        <v>41</v>
      </c>
      <c r="E379" s="6" t="s">
        <v>42</v>
      </c>
      <c r="F379" s="7" t="s">
        <v>59</v>
      </c>
      <c r="G379" s="5" t="s">
        <v>44</v>
      </c>
      <c r="H379" s="5" t="s">
        <v>45</v>
      </c>
      <c r="I379" s="5">
        <v>4</v>
      </c>
      <c r="J379" s="5">
        <v>8</v>
      </c>
      <c r="K379" s="5">
        <v>25000</v>
      </c>
      <c r="L379" s="5">
        <v>1000</v>
      </c>
      <c r="M379" s="5">
        <v>55</v>
      </c>
      <c r="N379" s="5">
        <v>31</v>
      </c>
      <c r="O379" s="17" t="s">
        <v>77</v>
      </c>
      <c r="P379" s="8"/>
      <c r="Q379" s="18">
        <v>0.12986111111111112</v>
      </c>
      <c r="R379" s="18">
        <v>0.20584490740740743</v>
      </c>
      <c r="S379" s="17">
        <v>159390</v>
      </c>
      <c r="T379" s="18">
        <v>0.33865740740740741</v>
      </c>
      <c r="U379" s="18">
        <v>0.33880787037037036</v>
      </c>
      <c r="V379" s="17">
        <v>159440</v>
      </c>
      <c r="W379" s="17">
        <v>0</v>
      </c>
      <c r="X379" s="17">
        <v>0</v>
      </c>
      <c r="Y379" s="12">
        <v>0</v>
      </c>
      <c r="Z379" s="12">
        <v>50</v>
      </c>
      <c r="AA379" s="12">
        <v>50</v>
      </c>
      <c r="AB379" s="12">
        <v>0</v>
      </c>
      <c r="AC379" s="12">
        <v>0</v>
      </c>
      <c r="AD379" s="13">
        <v>1</v>
      </c>
      <c r="AE379" s="12">
        <v>150</v>
      </c>
      <c r="AF379" s="14">
        <v>0</v>
      </c>
      <c r="AG379" s="5">
        <v>0</v>
      </c>
      <c r="AH379" s="5">
        <v>0</v>
      </c>
      <c r="AI379" s="5">
        <v>0</v>
      </c>
      <c r="AJ379" s="5">
        <v>956.45</v>
      </c>
      <c r="AK379" s="5">
        <v>0</v>
      </c>
      <c r="AL379" s="5">
        <v>956.45</v>
      </c>
      <c r="AM379" s="8"/>
      <c r="AN379" s="8"/>
    </row>
    <row r="380" spans="1:40" ht="16" thickBot="1">
      <c r="A380" s="3">
        <v>379</v>
      </c>
      <c r="B380" s="19">
        <v>45947</v>
      </c>
      <c r="C380" s="5" t="s">
        <v>40</v>
      </c>
      <c r="D380" s="5" t="s">
        <v>41</v>
      </c>
      <c r="E380" s="6" t="s">
        <v>42</v>
      </c>
      <c r="F380" s="7" t="s">
        <v>60</v>
      </c>
      <c r="G380" s="5" t="s">
        <v>44</v>
      </c>
      <c r="H380" s="5" t="s">
        <v>45</v>
      </c>
      <c r="I380" s="5">
        <v>4</v>
      </c>
      <c r="J380" s="5">
        <v>8</v>
      </c>
      <c r="K380" s="5">
        <v>25000</v>
      </c>
      <c r="L380" s="5">
        <v>1000</v>
      </c>
      <c r="M380" s="5">
        <v>55</v>
      </c>
      <c r="N380" s="5">
        <v>31</v>
      </c>
      <c r="O380" s="17" t="s">
        <v>103</v>
      </c>
      <c r="P380" s="8"/>
      <c r="Q380" s="18">
        <v>4.5138888888888888E-2</v>
      </c>
      <c r="R380" s="18">
        <v>0.19554398148148147</v>
      </c>
      <c r="S380" s="17">
        <v>113484</v>
      </c>
      <c r="T380" s="18">
        <v>0.31996527777777778</v>
      </c>
      <c r="U380" s="18">
        <v>0.3319212962962963</v>
      </c>
      <c r="V380" s="17">
        <v>113505</v>
      </c>
      <c r="W380" s="17">
        <v>41</v>
      </c>
      <c r="X380" s="17">
        <v>52</v>
      </c>
      <c r="Y380" s="12">
        <v>-11</v>
      </c>
      <c r="Z380" s="12">
        <v>21</v>
      </c>
      <c r="AA380" s="12">
        <v>21</v>
      </c>
      <c r="AB380" s="12">
        <v>0</v>
      </c>
      <c r="AC380" s="12">
        <v>0</v>
      </c>
      <c r="AD380" s="13">
        <v>0</v>
      </c>
      <c r="AE380" s="12">
        <v>0</v>
      </c>
      <c r="AF380" s="14">
        <v>0</v>
      </c>
      <c r="AG380" s="5">
        <v>0</v>
      </c>
      <c r="AH380" s="5">
        <v>0</v>
      </c>
      <c r="AI380" s="5">
        <v>0</v>
      </c>
      <c r="AJ380" s="5">
        <v>806.45</v>
      </c>
      <c r="AK380" s="5">
        <v>0</v>
      </c>
      <c r="AL380" s="5">
        <v>806.45</v>
      </c>
      <c r="AM380" s="8"/>
      <c r="AN380" s="8"/>
    </row>
    <row r="381" spans="1:40" ht="16" thickBot="1">
      <c r="A381" s="3">
        <v>380</v>
      </c>
      <c r="B381" s="19">
        <v>45947</v>
      </c>
      <c r="C381" s="5" t="s">
        <v>40</v>
      </c>
      <c r="D381" s="5" t="s">
        <v>41</v>
      </c>
      <c r="E381" s="6" t="s">
        <v>42</v>
      </c>
      <c r="F381" s="7" t="s">
        <v>97</v>
      </c>
      <c r="G381" s="5" t="s">
        <v>44</v>
      </c>
      <c r="H381" s="5" t="s">
        <v>45</v>
      </c>
      <c r="I381" s="5">
        <v>4</v>
      </c>
      <c r="J381" s="5">
        <v>8</v>
      </c>
      <c r="K381" s="5">
        <v>25000</v>
      </c>
      <c r="L381" s="5">
        <v>1000</v>
      </c>
      <c r="M381" s="5">
        <v>55</v>
      </c>
      <c r="N381" s="5">
        <v>31</v>
      </c>
      <c r="O381" s="17" t="s">
        <v>179</v>
      </c>
      <c r="P381" s="8"/>
      <c r="Q381" s="18">
        <v>0.11805555555555557</v>
      </c>
      <c r="R381" s="18">
        <v>0.20371527777777776</v>
      </c>
      <c r="S381" s="17">
        <v>78381</v>
      </c>
      <c r="T381" s="18">
        <v>0.31866898148148148</v>
      </c>
      <c r="U381" s="18">
        <v>0.31893518518518521</v>
      </c>
      <c r="V381" s="17">
        <v>78406</v>
      </c>
      <c r="W381" s="17">
        <v>50</v>
      </c>
      <c r="X381" s="17">
        <v>50</v>
      </c>
      <c r="Y381" s="12">
        <v>0</v>
      </c>
      <c r="Z381" s="12">
        <v>25</v>
      </c>
      <c r="AA381" s="12">
        <v>25</v>
      </c>
      <c r="AB381" s="12">
        <v>0</v>
      </c>
      <c r="AC381" s="12">
        <v>0</v>
      </c>
      <c r="AD381" s="13">
        <v>0</v>
      </c>
      <c r="AE381" s="12">
        <v>0</v>
      </c>
      <c r="AF381" s="14">
        <v>0</v>
      </c>
      <c r="AG381" s="5">
        <v>0</v>
      </c>
      <c r="AH381" s="5">
        <v>0</v>
      </c>
      <c r="AI381" s="5">
        <v>0</v>
      </c>
      <c r="AJ381" s="5">
        <v>806.45</v>
      </c>
      <c r="AK381" s="5">
        <v>0</v>
      </c>
      <c r="AL381" s="5">
        <v>806.45</v>
      </c>
      <c r="AM381" s="8"/>
      <c r="AN381" s="8"/>
    </row>
    <row r="382" spans="1:40" ht="16" thickBot="1">
      <c r="A382" s="3">
        <v>381</v>
      </c>
      <c r="B382" s="19">
        <v>45947</v>
      </c>
      <c r="C382" s="5" t="s">
        <v>40</v>
      </c>
      <c r="D382" s="5" t="s">
        <v>41</v>
      </c>
      <c r="E382" s="6" t="s">
        <v>42</v>
      </c>
      <c r="F382" s="7" t="s">
        <v>177</v>
      </c>
      <c r="G382" s="5" t="s">
        <v>44</v>
      </c>
      <c r="H382" s="5" t="s">
        <v>45</v>
      </c>
      <c r="I382" s="5">
        <v>4</v>
      </c>
      <c r="J382" s="5">
        <v>8</v>
      </c>
      <c r="K382" s="5">
        <v>25000</v>
      </c>
      <c r="L382" s="5">
        <v>1000</v>
      </c>
      <c r="M382" s="5">
        <v>55</v>
      </c>
      <c r="N382" s="5">
        <v>31</v>
      </c>
      <c r="O382" s="17" t="s">
        <v>115</v>
      </c>
      <c r="P382" s="8"/>
      <c r="Q382" s="18">
        <v>8.7500000000000008E-2</v>
      </c>
      <c r="R382" s="18">
        <v>0.19416666666666668</v>
      </c>
      <c r="S382" s="17">
        <v>89039</v>
      </c>
      <c r="T382" s="18">
        <v>0.34687499999999999</v>
      </c>
      <c r="U382" s="18">
        <v>0.34702546296296299</v>
      </c>
      <c r="V382" s="17">
        <v>89054</v>
      </c>
      <c r="W382" s="17">
        <v>24</v>
      </c>
      <c r="X382" s="17">
        <v>24</v>
      </c>
      <c r="Y382" s="12">
        <v>0</v>
      </c>
      <c r="Z382" s="12">
        <v>15</v>
      </c>
      <c r="AA382" s="12">
        <v>15</v>
      </c>
      <c r="AB382" s="12">
        <v>0</v>
      </c>
      <c r="AC382" s="12">
        <v>0</v>
      </c>
      <c r="AD382" s="13">
        <v>1</v>
      </c>
      <c r="AE382" s="12">
        <v>150</v>
      </c>
      <c r="AF382" s="14">
        <v>0</v>
      </c>
      <c r="AG382" s="5">
        <v>0</v>
      </c>
      <c r="AH382" s="5">
        <v>0</v>
      </c>
      <c r="AI382" s="5">
        <v>0</v>
      </c>
      <c r="AJ382" s="5">
        <v>956.45</v>
      </c>
      <c r="AK382" s="5">
        <v>0</v>
      </c>
      <c r="AL382" s="5">
        <v>956.45</v>
      </c>
      <c r="AM382" s="8"/>
      <c r="AN382" s="8"/>
    </row>
    <row r="383" spans="1:40" ht="16" thickBot="1">
      <c r="A383" s="3">
        <v>382</v>
      </c>
      <c r="B383" s="19">
        <v>45947</v>
      </c>
      <c r="C383" s="5" t="s">
        <v>40</v>
      </c>
      <c r="D383" s="5" t="s">
        <v>41</v>
      </c>
      <c r="E383" s="6" t="s">
        <v>42</v>
      </c>
      <c r="F383" s="7" t="s">
        <v>62</v>
      </c>
      <c r="G383" s="5" t="s">
        <v>44</v>
      </c>
      <c r="H383" s="5" t="s">
        <v>45</v>
      </c>
      <c r="I383" s="5">
        <v>6</v>
      </c>
      <c r="J383" s="5">
        <v>8</v>
      </c>
      <c r="K383" s="5">
        <v>33000</v>
      </c>
      <c r="L383" s="5">
        <v>2000</v>
      </c>
      <c r="M383" s="5">
        <v>55</v>
      </c>
      <c r="N383" s="5">
        <v>31</v>
      </c>
      <c r="O383" s="17" t="s">
        <v>63</v>
      </c>
      <c r="P383" s="8"/>
      <c r="Q383" s="18">
        <v>7.4305555555555555E-2</v>
      </c>
      <c r="R383" s="18">
        <v>0.19387731481481482</v>
      </c>
      <c r="S383" s="17">
        <v>48165</v>
      </c>
      <c r="T383" s="18">
        <v>0.36817129629629625</v>
      </c>
      <c r="U383" s="18">
        <v>0.3682407407407407</v>
      </c>
      <c r="V383" s="17">
        <v>48245</v>
      </c>
      <c r="W383" s="17">
        <v>42</v>
      </c>
      <c r="X383" s="17">
        <v>42</v>
      </c>
      <c r="Y383" s="12">
        <v>0</v>
      </c>
      <c r="Z383" s="12">
        <v>80</v>
      </c>
      <c r="AA383" s="12">
        <v>80</v>
      </c>
      <c r="AB383" s="12">
        <v>0</v>
      </c>
      <c r="AC383" s="12">
        <v>0</v>
      </c>
      <c r="AD383" s="13">
        <v>0</v>
      </c>
      <c r="AE383" s="12">
        <v>0</v>
      </c>
      <c r="AF383" s="14">
        <v>0</v>
      </c>
      <c r="AG383" s="5">
        <v>0</v>
      </c>
      <c r="AH383" s="5">
        <v>0</v>
      </c>
      <c r="AI383" s="5">
        <v>0</v>
      </c>
      <c r="AJ383" s="5">
        <v>1064.52</v>
      </c>
      <c r="AK383" s="5">
        <v>0</v>
      </c>
      <c r="AL383" s="5">
        <v>1064.52</v>
      </c>
      <c r="AM383" s="8"/>
      <c r="AN383" s="8"/>
    </row>
    <row r="384" spans="1:40" ht="16" thickBot="1">
      <c r="A384" s="3">
        <v>383</v>
      </c>
      <c r="B384" s="19">
        <v>45947</v>
      </c>
      <c r="C384" s="5" t="s">
        <v>40</v>
      </c>
      <c r="D384" s="5" t="s">
        <v>41</v>
      </c>
      <c r="E384" s="6" t="s">
        <v>42</v>
      </c>
      <c r="F384" s="7" t="s">
        <v>99</v>
      </c>
      <c r="G384" s="5" t="s">
        <v>44</v>
      </c>
      <c r="H384" s="5" t="s">
        <v>45</v>
      </c>
      <c r="I384" s="5">
        <v>4</v>
      </c>
      <c r="J384" s="5">
        <v>8</v>
      </c>
      <c r="K384" s="5">
        <v>25000</v>
      </c>
      <c r="L384" s="5">
        <v>1000</v>
      </c>
      <c r="M384" s="5">
        <v>55</v>
      </c>
      <c r="N384" s="5">
        <v>31</v>
      </c>
      <c r="O384" s="17" t="s">
        <v>148</v>
      </c>
      <c r="P384" s="8"/>
      <c r="Q384" s="18">
        <v>4.5833333333333337E-2</v>
      </c>
      <c r="R384" s="18">
        <v>0.19467592592592595</v>
      </c>
      <c r="S384" s="17">
        <v>87809</v>
      </c>
      <c r="T384" s="18">
        <v>0.30826388888888889</v>
      </c>
      <c r="U384" s="18">
        <v>0.30835648148148148</v>
      </c>
      <c r="V384" s="17">
        <v>87841</v>
      </c>
      <c r="W384" s="17">
        <v>31</v>
      </c>
      <c r="X384" s="17">
        <v>31</v>
      </c>
      <c r="Y384" s="12">
        <v>0</v>
      </c>
      <c r="Z384" s="12">
        <v>32</v>
      </c>
      <c r="AA384" s="12">
        <v>32</v>
      </c>
      <c r="AB384" s="12">
        <v>0</v>
      </c>
      <c r="AC384" s="12">
        <v>0</v>
      </c>
      <c r="AD384" s="13">
        <v>0</v>
      </c>
      <c r="AE384" s="12">
        <v>0</v>
      </c>
      <c r="AF384" s="14">
        <v>0</v>
      </c>
      <c r="AG384" s="5">
        <v>0</v>
      </c>
      <c r="AH384" s="5">
        <v>0</v>
      </c>
      <c r="AI384" s="5">
        <v>0</v>
      </c>
      <c r="AJ384" s="5">
        <v>806.45</v>
      </c>
      <c r="AK384" s="5">
        <v>0</v>
      </c>
      <c r="AL384" s="5">
        <v>806.45</v>
      </c>
      <c r="AM384" s="8"/>
      <c r="AN384" s="8"/>
    </row>
    <row r="385" spans="1:40" ht="16" thickBot="1">
      <c r="A385" s="3">
        <v>384</v>
      </c>
      <c r="B385" s="19">
        <v>45947</v>
      </c>
      <c r="C385" s="5" t="s">
        <v>40</v>
      </c>
      <c r="D385" s="5" t="s">
        <v>41</v>
      </c>
      <c r="E385" s="6" t="s">
        <v>42</v>
      </c>
      <c r="F385" s="7" t="s">
        <v>101</v>
      </c>
      <c r="G385" s="5" t="s">
        <v>44</v>
      </c>
      <c r="H385" s="5" t="s">
        <v>45</v>
      </c>
      <c r="I385" s="5">
        <v>4</v>
      </c>
      <c r="J385" s="5">
        <v>8</v>
      </c>
      <c r="K385" s="5">
        <v>25000</v>
      </c>
      <c r="L385" s="5">
        <v>1000</v>
      </c>
      <c r="M385" s="5">
        <v>55</v>
      </c>
      <c r="N385" s="5">
        <v>31</v>
      </c>
      <c r="O385" s="17" t="s">
        <v>100</v>
      </c>
      <c r="P385" s="8"/>
      <c r="Q385" s="18">
        <v>0.10416666666666667</v>
      </c>
      <c r="R385" s="18">
        <v>0.19300925925925927</v>
      </c>
      <c r="S385" s="17">
        <v>118487</v>
      </c>
      <c r="T385" s="18">
        <v>0.40709490740740745</v>
      </c>
      <c r="U385" s="18">
        <v>0.40718750000000004</v>
      </c>
      <c r="V385" s="17">
        <v>118526</v>
      </c>
      <c r="W385" s="17">
        <v>34</v>
      </c>
      <c r="X385" s="17">
        <v>34</v>
      </c>
      <c r="Y385" s="12">
        <v>0</v>
      </c>
      <c r="Z385" s="12">
        <v>39</v>
      </c>
      <c r="AA385" s="12">
        <v>39</v>
      </c>
      <c r="AB385" s="12">
        <v>0</v>
      </c>
      <c r="AC385" s="12">
        <v>0</v>
      </c>
      <c r="AD385" s="13">
        <v>2</v>
      </c>
      <c r="AE385" s="12">
        <v>300</v>
      </c>
      <c r="AF385" s="14">
        <v>0</v>
      </c>
      <c r="AG385" s="5">
        <v>0</v>
      </c>
      <c r="AH385" s="5">
        <v>0</v>
      </c>
      <c r="AI385" s="5">
        <v>0</v>
      </c>
      <c r="AJ385" s="5">
        <v>1106.45</v>
      </c>
      <c r="AK385" s="5">
        <v>0</v>
      </c>
      <c r="AL385" s="5">
        <v>1106.45</v>
      </c>
      <c r="AM385" s="8"/>
      <c r="AN385" s="8"/>
    </row>
    <row r="386" spans="1:40" ht="16" thickBot="1">
      <c r="A386" s="3">
        <v>385</v>
      </c>
      <c r="B386" s="19">
        <v>45947</v>
      </c>
      <c r="C386" s="5" t="s">
        <v>40</v>
      </c>
      <c r="D386" s="5" t="s">
        <v>41</v>
      </c>
      <c r="E386" s="6" t="s">
        <v>42</v>
      </c>
      <c r="F386" s="7" t="s">
        <v>64</v>
      </c>
      <c r="G386" s="5" t="s">
        <v>44</v>
      </c>
      <c r="H386" s="5" t="s">
        <v>45</v>
      </c>
      <c r="I386" s="5">
        <v>4</v>
      </c>
      <c r="J386" s="5">
        <v>8</v>
      </c>
      <c r="K386" s="5">
        <v>25000</v>
      </c>
      <c r="L386" s="5">
        <v>1000</v>
      </c>
      <c r="M386" s="5">
        <v>55</v>
      </c>
      <c r="N386" s="5">
        <v>31</v>
      </c>
      <c r="O386" s="17" t="s">
        <v>95</v>
      </c>
      <c r="P386" s="8"/>
      <c r="Q386" s="18">
        <v>0.11597222222222221</v>
      </c>
      <c r="R386" s="18">
        <v>0.20432870370370371</v>
      </c>
      <c r="S386" s="17">
        <v>75521</v>
      </c>
      <c r="T386" s="18">
        <v>0.31516203703703705</v>
      </c>
      <c r="U386" s="18">
        <v>0.31543981481481481</v>
      </c>
      <c r="V386" s="17">
        <v>75527</v>
      </c>
      <c r="W386" s="17">
        <v>35</v>
      </c>
      <c r="X386" s="17">
        <v>0</v>
      </c>
      <c r="Y386" s="12">
        <v>35</v>
      </c>
      <c r="Z386" s="12">
        <v>6</v>
      </c>
      <c r="AA386" s="12">
        <v>6</v>
      </c>
      <c r="AB386" s="12">
        <v>0</v>
      </c>
      <c r="AC386" s="12">
        <v>0</v>
      </c>
      <c r="AD386" s="13">
        <v>0</v>
      </c>
      <c r="AE386" s="12">
        <v>0</v>
      </c>
      <c r="AF386" s="14">
        <v>0</v>
      </c>
      <c r="AG386" s="5">
        <v>0</v>
      </c>
      <c r="AH386" s="5">
        <v>0</v>
      </c>
      <c r="AI386" s="5">
        <v>0</v>
      </c>
      <c r="AJ386" s="5">
        <v>806.45</v>
      </c>
      <c r="AK386" s="5">
        <v>0</v>
      </c>
      <c r="AL386" s="5">
        <v>806.45</v>
      </c>
      <c r="AM386" s="8"/>
      <c r="AN386" s="8"/>
    </row>
    <row r="387" spans="1:40" ht="16" thickBot="1">
      <c r="A387" s="3">
        <v>386</v>
      </c>
      <c r="B387" s="19">
        <v>45947</v>
      </c>
      <c r="C387" s="5" t="s">
        <v>40</v>
      </c>
      <c r="D387" s="5" t="s">
        <v>41</v>
      </c>
      <c r="E387" s="6" t="s">
        <v>42</v>
      </c>
      <c r="F387" s="7" t="s">
        <v>185</v>
      </c>
      <c r="G387" s="5" t="s">
        <v>44</v>
      </c>
      <c r="H387" s="5" t="s">
        <v>45</v>
      </c>
      <c r="I387" s="5">
        <v>4</v>
      </c>
      <c r="J387" s="5">
        <v>8</v>
      </c>
      <c r="K387" s="5">
        <v>25000</v>
      </c>
      <c r="L387" s="5">
        <v>1000</v>
      </c>
      <c r="M387" s="5">
        <v>55</v>
      </c>
      <c r="N387" s="5">
        <v>31</v>
      </c>
      <c r="O387" s="17" t="s">
        <v>186</v>
      </c>
      <c r="P387" s="8"/>
      <c r="Q387" s="18">
        <v>4.1666666666666664E-2</v>
      </c>
      <c r="R387" s="18">
        <v>0.19247685185185184</v>
      </c>
      <c r="S387" s="17">
        <v>66198</v>
      </c>
      <c r="T387" s="18">
        <v>0.31949074074074074</v>
      </c>
      <c r="U387" s="18">
        <v>0.31958333333333333</v>
      </c>
      <c r="V387" s="17">
        <v>66210</v>
      </c>
      <c r="W387" s="17">
        <v>32</v>
      </c>
      <c r="X387" s="17">
        <v>36</v>
      </c>
      <c r="Y387" s="12">
        <v>-4</v>
      </c>
      <c r="Z387" s="12">
        <v>12</v>
      </c>
      <c r="AA387" s="12">
        <v>12</v>
      </c>
      <c r="AB387" s="12">
        <v>0</v>
      </c>
      <c r="AC387" s="12">
        <v>0</v>
      </c>
      <c r="AD387" s="13">
        <v>0</v>
      </c>
      <c r="AE387" s="12">
        <v>0</v>
      </c>
      <c r="AF387" s="14">
        <v>0</v>
      </c>
      <c r="AG387" s="5">
        <v>0</v>
      </c>
      <c r="AH387" s="5">
        <v>0</v>
      </c>
      <c r="AI387" s="5">
        <v>0</v>
      </c>
      <c r="AJ387" s="5">
        <v>806.45</v>
      </c>
      <c r="AK387" s="5">
        <v>0</v>
      </c>
      <c r="AL387" s="5">
        <v>806.45</v>
      </c>
      <c r="AM387" s="8"/>
      <c r="AN387" s="8"/>
    </row>
    <row r="388" spans="1:40" ht="16" thickBot="1">
      <c r="A388" s="3">
        <v>387</v>
      </c>
      <c r="B388" s="19">
        <v>45947</v>
      </c>
      <c r="C388" s="5" t="s">
        <v>40</v>
      </c>
      <c r="D388" s="5" t="s">
        <v>41</v>
      </c>
      <c r="E388" s="6" t="s">
        <v>42</v>
      </c>
      <c r="F388" s="7" t="s">
        <v>178</v>
      </c>
      <c r="G388" s="5" t="s">
        <v>44</v>
      </c>
      <c r="H388" s="5" t="s">
        <v>45</v>
      </c>
      <c r="I388" s="5">
        <v>4</v>
      </c>
      <c r="J388" s="5">
        <v>8</v>
      </c>
      <c r="K388" s="5">
        <v>25000</v>
      </c>
      <c r="L388" s="5">
        <v>1000</v>
      </c>
      <c r="M388" s="5">
        <v>55</v>
      </c>
      <c r="N388" s="5">
        <v>31</v>
      </c>
      <c r="O388" s="17" t="s">
        <v>153</v>
      </c>
      <c r="P388" s="8"/>
      <c r="Q388" s="18">
        <v>0.10069444444444443</v>
      </c>
      <c r="R388" s="18">
        <v>0.19954861111111111</v>
      </c>
      <c r="S388" s="17">
        <v>44703</v>
      </c>
      <c r="T388" s="18">
        <v>0.30244212962962963</v>
      </c>
      <c r="U388" s="18">
        <v>0.30258101851851854</v>
      </c>
      <c r="V388" s="17">
        <v>44735</v>
      </c>
      <c r="W388" s="17">
        <v>40</v>
      </c>
      <c r="X388" s="17">
        <v>40</v>
      </c>
      <c r="Y388" s="12">
        <v>0</v>
      </c>
      <c r="Z388" s="12">
        <v>32</v>
      </c>
      <c r="AA388" s="12">
        <v>32</v>
      </c>
      <c r="AB388" s="12">
        <v>0</v>
      </c>
      <c r="AC388" s="12">
        <v>0</v>
      </c>
      <c r="AD388" s="13">
        <v>0</v>
      </c>
      <c r="AE388" s="12">
        <v>0</v>
      </c>
      <c r="AF388" s="14">
        <v>0</v>
      </c>
      <c r="AG388" s="5">
        <v>0</v>
      </c>
      <c r="AH388" s="5">
        <v>0</v>
      </c>
      <c r="AI388" s="5">
        <v>0</v>
      </c>
      <c r="AJ388" s="5">
        <v>806.45</v>
      </c>
      <c r="AK388" s="5">
        <v>0</v>
      </c>
      <c r="AL388" s="5">
        <v>806.45</v>
      </c>
      <c r="AM388" s="8"/>
      <c r="AN388" s="8"/>
    </row>
    <row r="389" spans="1:40" ht="16" thickBot="1">
      <c r="A389" s="3">
        <v>388</v>
      </c>
      <c r="B389" s="19">
        <v>45947</v>
      </c>
      <c r="C389" s="5" t="s">
        <v>40</v>
      </c>
      <c r="D389" s="5" t="s">
        <v>41</v>
      </c>
      <c r="E389" s="6" t="s">
        <v>42</v>
      </c>
      <c r="F389" s="7" t="s">
        <v>68</v>
      </c>
      <c r="G389" s="5" t="s">
        <v>44</v>
      </c>
      <c r="H389" s="5" t="s">
        <v>45</v>
      </c>
      <c r="I389" s="5">
        <v>4</v>
      </c>
      <c r="J389" s="5">
        <v>8</v>
      </c>
      <c r="K389" s="5">
        <v>25000</v>
      </c>
      <c r="L389" s="5">
        <v>1000</v>
      </c>
      <c r="M389" s="5">
        <v>55</v>
      </c>
      <c r="N389" s="5">
        <v>31</v>
      </c>
      <c r="O389" s="17" t="s">
        <v>81</v>
      </c>
      <c r="P389" s="8"/>
      <c r="Q389" s="18">
        <v>4.5138888888888888E-2</v>
      </c>
      <c r="R389" s="18">
        <v>0.1950925925925926</v>
      </c>
      <c r="S389" s="17">
        <v>84131</v>
      </c>
      <c r="T389" s="18">
        <v>0.29327546296296297</v>
      </c>
      <c r="U389" s="18">
        <v>0.29435185185185186</v>
      </c>
      <c r="V389" s="17">
        <v>84148</v>
      </c>
      <c r="W389" s="17">
        <v>30</v>
      </c>
      <c r="X389" s="17">
        <v>30</v>
      </c>
      <c r="Y389" s="12">
        <v>0</v>
      </c>
      <c r="Z389" s="12">
        <v>17</v>
      </c>
      <c r="AA389" s="12">
        <v>17</v>
      </c>
      <c r="AB389" s="12">
        <v>0</v>
      </c>
      <c r="AC389" s="12">
        <v>0</v>
      </c>
      <c r="AD389" s="13">
        <v>0</v>
      </c>
      <c r="AE389" s="12">
        <v>0</v>
      </c>
      <c r="AF389" s="14">
        <v>0</v>
      </c>
      <c r="AG389" s="5">
        <v>0</v>
      </c>
      <c r="AH389" s="5">
        <v>0</v>
      </c>
      <c r="AI389" s="5">
        <v>0</v>
      </c>
      <c r="AJ389" s="5">
        <v>806.45</v>
      </c>
      <c r="AK389" s="5">
        <v>0</v>
      </c>
      <c r="AL389" s="5">
        <v>806.45</v>
      </c>
      <c r="AM389" s="8"/>
      <c r="AN389" s="8"/>
    </row>
    <row r="390" spans="1:40" ht="16" thickBot="1">
      <c r="A390" s="3">
        <v>389</v>
      </c>
      <c r="B390" s="19">
        <v>45947</v>
      </c>
      <c r="C390" s="5" t="s">
        <v>40</v>
      </c>
      <c r="D390" s="5" t="s">
        <v>41</v>
      </c>
      <c r="E390" s="6" t="s">
        <v>42</v>
      </c>
      <c r="F390" s="7" t="s">
        <v>72</v>
      </c>
      <c r="G390" s="5" t="s">
        <v>44</v>
      </c>
      <c r="H390" s="5" t="s">
        <v>45</v>
      </c>
      <c r="I390" s="5">
        <v>6</v>
      </c>
      <c r="J390" s="5">
        <v>8</v>
      </c>
      <c r="K390" s="5">
        <v>33000</v>
      </c>
      <c r="L390" s="5">
        <v>2000</v>
      </c>
      <c r="M390" s="5">
        <v>55</v>
      </c>
      <c r="N390" s="5">
        <v>31</v>
      </c>
      <c r="O390" s="17" t="s">
        <v>73</v>
      </c>
      <c r="P390" s="8"/>
      <c r="Q390" s="18">
        <v>4.9305555555555554E-2</v>
      </c>
      <c r="R390" s="18">
        <v>0.19358796296296296</v>
      </c>
      <c r="S390" s="17">
        <v>33903</v>
      </c>
      <c r="T390" s="18">
        <v>0.31278935185185186</v>
      </c>
      <c r="U390" s="18">
        <v>0.31290509259259258</v>
      </c>
      <c r="V390" s="17">
        <v>33970</v>
      </c>
      <c r="W390" s="17">
        <v>30</v>
      </c>
      <c r="X390" s="17">
        <v>30</v>
      </c>
      <c r="Y390" s="12">
        <v>0</v>
      </c>
      <c r="Z390" s="12">
        <v>67</v>
      </c>
      <c r="AA390" s="12">
        <v>67</v>
      </c>
      <c r="AB390" s="12">
        <v>0</v>
      </c>
      <c r="AC390" s="12">
        <v>0</v>
      </c>
      <c r="AD390" s="13">
        <v>0</v>
      </c>
      <c r="AE390" s="12">
        <v>0</v>
      </c>
      <c r="AF390" s="14">
        <v>0</v>
      </c>
      <c r="AG390" s="5">
        <v>0</v>
      </c>
      <c r="AH390" s="5">
        <v>0</v>
      </c>
      <c r="AI390" s="5">
        <v>0</v>
      </c>
      <c r="AJ390" s="5">
        <v>1064.52</v>
      </c>
      <c r="AK390" s="5">
        <v>0</v>
      </c>
      <c r="AL390" s="5">
        <v>1064.52</v>
      </c>
      <c r="AM390" s="8"/>
      <c r="AN390" s="8"/>
    </row>
    <row r="391" spans="1:40" ht="16" thickBot="1">
      <c r="A391" s="3">
        <v>390</v>
      </c>
      <c r="B391" s="19">
        <v>45947</v>
      </c>
      <c r="C391" s="5" t="s">
        <v>40</v>
      </c>
      <c r="D391" s="5" t="s">
        <v>41</v>
      </c>
      <c r="E391" s="6" t="s">
        <v>42</v>
      </c>
      <c r="F391" s="7" t="s">
        <v>74</v>
      </c>
      <c r="G391" s="5" t="s">
        <v>44</v>
      </c>
      <c r="H391" s="5" t="s">
        <v>45</v>
      </c>
      <c r="I391" s="5">
        <v>4</v>
      </c>
      <c r="J391" s="5">
        <v>8</v>
      </c>
      <c r="K391" s="5">
        <v>25000</v>
      </c>
      <c r="L391" s="5">
        <v>1000</v>
      </c>
      <c r="M391" s="5">
        <v>55</v>
      </c>
      <c r="N391" s="5">
        <v>31</v>
      </c>
      <c r="O391" s="17" t="s">
        <v>96</v>
      </c>
      <c r="P391" s="8"/>
      <c r="Q391" s="18">
        <v>0.11666666666666665</v>
      </c>
      <c r="R391" s="18">
        <v>0.19635416666666669</v>
      </c>
      <c r="S391" s="17">
        <v>38894</v>
      </c>
      <c r="T391" s="18">
        <v>0.32268518518518519</v>
      </c>
      <c r="U391" s="18">
        <v>0.32278935185185187</v>
      </c>
      <c r="V391" s="17">
        <v>38909</v>
      </c>
      <c r="W391" s="17">
        <v>43</v>
      </c>
      <c r="X391" s="17">
        <v>43</v>
      </c>
      <c r="Y391" s="12">
        <v>0</v>
      </c>
      <c r="Z391" s="12">
        <v>15</v>
      </c>
      <c r="AA391" s="12">
        <v>15</v>
      </c>
      <c r="AB391" s="12">
        <v>0</v>
      </c>
      <c r="AC391" s="12">
        <v>0</v>
      </c>
      <c r="AD391" s="13">
        <v>0</v>
      </c>
      <c r="AE391" s="12">
        <v>0</v>
      </c>
      <c r="AF391" s="14">
        <v>0</v>
      </c>
      <c r="AG391" s="5">
        <v>0</v>
      </c>
      <c r="AH391" s="5">
        <v>0</v>
      </c>
      <c r="AI391" s="5">
        <v>0</v>
      </c>
      <c r="AJ391" s="5">
        <v>806.45</v>
      </c>
      <c r="AK391" s="5">
        <v>0</v>
      </c>
      <c r="AL391" s="5">
        <v>806.45</v>
      </c>
      <c r="AM391" s="8"/>
      <c r="AN391" s="8"/>
    </row>
    <row r="392" spans="1:40" ht="16" thickBot="1">
      <c r="A392" s="3">
        <v>391</v>
      </c>
      <c r="B392" s="19">
        <v>45947</v>
      </c>
      <c r="C392" s="5" t="s">
        <v>40</v>
      </c>
      <c r="D392" s="5" t="s">
        <v>41</v>
      </c>
      <c r="E392" s="6" t="s">
        <v>42</v>
      </c>
      <c r="F392" s="7" t="s">
        <v>78</v>
      </c>
      <c r="G392" s="5" t="s">
        <v>44</v>
      </c>
      <c r="H392" s="5" t="s">
        <v>45</v>
      </c>
      <c r="I392" s="5">
        <v>4</v>
      </c>
      <c r="J392" s="5">
        <v>8</v>
      </c>
      <c r="K392" s="5">
        <v>25000</v>
      </c>
      <c r="L392" s="5">
        <v>1000</v>
      </c>
      <c r="M392" s="5">
        <v>55</v>
      </c>
      <c r="N392" s="5">
        <v>31</v>
      </c>
      <c r="O392" s="17" t="s">
        <v>67</v>
      </c>
      <c r="P392" s="8"/>
      <c r="Q392" s="18">
        <v>4.5833333333333337E-2</v>
      </c>
      <c r="R392" s="18">
        <v>0.19261574074074073</v>
      </c>
      <c r="S392" s="17">
        <v>7523</v>
      </c>
      <c r="T392" s="18">
        <v>0.37981481481481483</v>
      </c>
      <c r="U392" s="18">
        <v>0.3805324074074074</v>
      </c>
      <c r="V392" s="17">
        <v>7556</v>
      </c>
      <c r="W392" s="17">
        <v>15</v>
      </c>
      <c r="X392" s="17">
        <v>15</v>
      </c>
      <c r="Y392" s="12">
        <v>0</v>
      </c>
      <c r="Z392" s="12">
        <v>33</v>
      </c>
      <c r="AA392" s="12">
        <v>33</v>
      </c>
      <c r="AB392" s="12">
        <v>0</v>
      </c>
      <c r="AC392" s="12">
        <v>0</v>
      </c>
      <c r="AD392" s="13">
        <v>2</v>
      </c>
      <c r="AE392" s="12">
        <v>300</v>
      </c>
      <c r="AF392" s="14">
        <v>0</v>
      </c>
      <c r="AG392" s="5">
        <v>0</v>
      </c>
      <c r="AH392" s="5">
        <v>0</v>
      </c>
      <c r="AI392" s="5">
        <v>0</v>
      </c>
      <c r="AJ392" s="5">
        <v>1106.45</v>
      </c>
      <c r="AK392" s="5">
        <v>0</v>
      </c>
      <c r="AL392" s="5">
        <v>1106.45</v>
      </c>
      <c r="AM392" s="8"/>
      <c r="AN392" s="8"/>
    </row>
    <row r="393" spans="1:40" ht="16" thickBot="1">
      <c r="A393" s="3">
        <v>392</v>
      </c>
      <c r="B393" s="19">
        <v>45947</v>
      </c>
      <c r="C393" s="5" t="s">
        <v>40</v>
      </c>
      <c r="D393" s="5" t="s">
        <v>41</v>
      </c>
      <c r="E393" s="6" t="s">
        <v>42</v>
      </c>
      <c r="F393" s="7" t="s">
        <v>80</v>
      </c>
      <c r="G393" s="5" t="s">
        <v>44</v>
      </c>
      <c r="H393" s="5" t="s">
        <v>45</v>
      </c>
      <c r="I393" s="5">
        <v>4</v>
      </c>
      <c r="J393" s="5">
        <v>8</v>
      </c>
      <c r="K393" s="5">
        <v>25000</v>
      </c>
      <c r="L393" s="5">
        <v>1000</v>
      </c>
      <c r="M393" s="5">
        <v>55</v>
      </c>
      <c r="N393" s="5">
        <v>31</v>
      </c>
      <c r="O393" s="17" t="s">
        <v>104</v>
      </c>
      <c r="P393" s="8"/>
      <c r="Q393" s="18">
        <v>4.3750000000000004E-2</v>
      </c>
      <c r="R393" s="18">
        <v>0.19576388888888888</v>
      </c>
      <c r="S393" s="17">
        <v>5243</v>
      </c>
      <c r="T393" s="18">
        <v>0.28978009259259258</v>
      </c>
      <c r="U393" s="18">
        <v>0.28987268518518516</v>
      </c>
      <c r="V393" s="17">
        <v>5260</v>
      </c>
      <c r="W393" s="17">
        <v>52</v>
      </c>
      <c r="X393" s="17">
        <v>52</v>
      </c>
      <c r="Y393" s="12">
        <v>0</v>
      </c>
      <c r="Z393" s="12">
        <v>17</v>
      </c>
      <c r="AA393" s="12">
        <v>17</v>
      </c>
      <c r="AB393" s="12">
        <v>0</v>
      </c>
      <c r="AC393" s="12">
        <v>0</v>
      </c>
      <c r="AD393" s="13">
        <v>0</v>
      </c>
      <c r="AE393" s="12">
        <v>0</v>
      </c>
      <c r="AF393" s="14">
        <v>0</v>
      </c>
      <c r="AG393" s="5">
        <v>0</v>
      </c>
      <c r="AH393" s="5">
        <v>0</v>
      </c>
      <c r="AI393" s="5">
        <v>0</v>
      </c>
      <c r="AJ393" s="5">
        <v>806.45</v>
      </c>
      <c r="AK393" s="5">
        <v>0</v>
      </c>
      <c r="AL393" s="5">
        <v>806.45</v>
      </c>
      <c r="AM393" s="8"/>
      <c r="AN393" s="8"/>
    </row>
    <row r="394" spans="1:40" ht="16" thickBot="1">
      <c r="A394" s="3">
        <v>393</v>
      </c>
      <c r="B394" s="19">
        <v>45947</v>
      </c>
      <c r="C394" s="5" t="s">
        <v>40</v>
      </c>
      <c r="D394" s="5" t="s">
        <v>41</v>
      </c>
      <c r="E394" s="6" t="s">
        <v>42</v>
      </c>
      <c r="F394" s="7" t="s">
        <v>82</v>
      </c>
      <c r="G394" s="10" t="s">
        <v>83</v>
      </c>
      <c r="H394" s="5" t="s">
        <v>84</v>
      </c>
      <c r="I394" s="5">
        <v>4</v>
      </c>
      <c r="J394" s="5">
        <v>10</v>
      </c>
      <c r="K394" s="6">
        <v>29000</v>
      </c>
      <c r="L394" s="5">
        <v>1000</v>
      </c>
      <c r="M394" s="5">
        <v>55</v>
      </c>
      <c r="N394" s="5">
        <v>31</v>
      </c>
      <c r="O394" s="17" t="s">
        <v>112</v>
      </c>
      <c r="P394" s="8"/>
      <c r="Q394" s="18">
        <v>0.13055555555555556</v>
      </c>
      <c r="R394" s="18">
        <v>0.20440972222222223</v>
      </c>
      <c r="S394" s="17">
        <v>33030</v>
      </c>
      <c r="T394" s="18">
        <v>0.29075231481481484</v>
      </c>
      <c r="U394" s="18">
        <v>0.29083333333333333</v>
      </c>
      <c r="V394" s="17">
        <v>33057</v>
      </c>
      <c r="W394" s="17">
        <v>66</v>
      </c>
      <c r="X394" s="17">
        <v>66</v>
      </c>
      <c r="Y394" s="12">
        <v>0</v>
      </c>
      <c r="Z394" s="12">
        <v>27</v>
      </c>
      <c r="AA394" s="12">
        <v>27</v>
      </c>
      <c r="AB394" s="12">
        <v>0</v>
      </c>
      <c r="AC394" s="12">
        <v>0</v>
      </c>
      <c r="AD394" s="13">
        <v>0</v>
      </c>
      <c r="AE394" s="12">
        <v>0</v>
      </c>
      <c r="AF394" s="14">
        <v>0</v>
      </c>
      <c r="AG394" s="5">
        <v>0</v>
      </c>
      <c r="AH394" s="5">
        <v>0</v>
      </c>
      <c r="AI394" s="5">
        <v>0</v>
      </c>
      <c r="AJ394" s="5">
        <v>935.48</v>
      </c>
      <c r="AK394" s="5">
        <v>0</v>
      </c>
      <c r="AL394" s="5">
        <v>935.48</v>
      </c>
      <c r="AM394" s="8"/>
      <c r="AN394" s="8"/>
    </row>
    <row r="395" spans="1:40" ht="16" thickBot="1">
      <c r="A395" s="3">
        <v>394</v>
      </c>
      <c r="B395" s="19">
        <v>45947</v>
      </c>
      <c r="C395" s="5" t="s">
        <v>40</v>
      </c>
      <c r="D395" s="5" t="s">
        <v>41</v>
      </c>
      <c r="E395" s="6" t="s">
        <v>42</v>
      </c>
      <c r="F395" s="7" t="s">
        <v>85</v>
      </c>
      <c r="G395" s="10" t="s">
        <v>83</v>
      </c>
      <c r="H395" s="5" t="s">
        <v>84</v>
      </c>
      <c r="I395" s="5">
        <v>4</v>
      </c>
      <c r="J395" s="5">
        <v>10</v>
      </c>
      <c r="K395" s="6">
        <v>29000</v>
      </c>
      <c r="L395" s="5">
        <v>1000</v>
      </c>
      <c r="M395" s="5">
        <v>55</v>
      </c>
      <c r="N395" s="5">
        <v>31</v>
      </c>
      <c r="O395" s="17" t="s">
        <v>121</v>
      </c>
      <c r="P395" s="8"/>
      <c r="Q395" s="18">
        <v>4.9305555555555554E-2</v>
      </c>
      <c r="R395" s="18">
        <v>0.19991898148148146</v>
      </c>
      <c r="S395" s="17">
        <v>39064</v>
      </c>
      <c r="T395" s="18">
        <v>0.3018865740740741</v>
      </c>
      <c r="U395" s="18">
        <v>0.30200231481481482</v>
      </c>
      <c r="V395" s="17">
        <v>39084</v>
      </c>
      <c r="W395" s="17">
        <v>47</v>
      </c>
      <c r="X395" s="17">
        <v>47</v>
      </c>
      <c r="Y395" s="12">
        <v>0</v>
      </c>
      <c r="Z395" s="12">
        <v>20</v>
      </c>
      <c r="AA395" s="12">
        <v>20</v>
      </c>
      <c r="AB395" s="12">
        <v>0</v>
      </c>
      <c r="AC395" s="12">
        <v>0</v>
      </c>
      <c r="AD395" s="13">
        <v>0</v>
      </c>
      <c r="AE395" s="12">
        <v>0</v>
      </c>
      <c r="AF395" s="14">
        <v>0</v>
      </c>
      <c r="AG395" s="5">
        <v>0</v>
      </c>
      <c r="AH395" s="5">
        <v>0</v>
      </c>
      <c r="AI395" s="5">
        <v>0</v>
      </c>
      <c r="AJ395" s="5">
        <v>935.48</v>
      </c>
      <c r="AK395" s="5">
        <v>0</v>
      </c>
      <c r="AL395" s="5">
        <v>935.48</v>
      </c>
      <c r="AM395" s="8"/>
      <c r="AN395" s="8"/>
    </row>
    <row r="396" spans="1:40" ht="16" thickBot="1">
      <c r="A396" s="3">
        <v>395</v>
      </c>
      <c r="B396" s="19">
        <v>45947</v>
      </c>
      <c r="C396" s="5" t="s">
        <v>40</v>
      </c>
      <c r="D396" s="5" t="s">
        <v>41</v>
      </c>
      <c r="E396" s="6" t="s">
        <v>42</v>
      </c>
      <c r="F396" s="7" t="s">
        <v>150</v>
      </c>
      <c r="G396" s="10" t="s">
        <v>83</v>
      </c>
      <c r="H396" s="5" t="s">
        <v>84</v>
      </c>
      <c r="I396" s="5">
        <v>4</v>
      </c>
      <c r="J396" s="5">
        <v>10</v>
      </c>
      <c r="K396" s="6">
        <v>29000</v>
      </c>
      <c r="L396" s="5">
        <v>1000</v>
      </c>
      <c r="M396" s="5">
        <v>55</v>
      </c>
      <c r="N396" s="5">
        <v>31</v>
      </c>
      <c r="O396" s="17" t="s">
        <v>116</v>
      </c>
      <c r="P396" s="8"/>
      <c r="Q396" s="18">
        <v>0.11388888888888889</v>
      </c>
      <c r="R396" s="18">
        <v>0.20392361111111112</v>
      </c>
      <c r="S396" s="17">
        <v>60794</v>
      </c>
      <c r="T396" s="18">
        <v>0.31321759259259258</v>
      </c>
      <c r="U396" s="18">
        <v>0.31334490740740739</v>
      </c>
      <c r="V396" s="17">
        <v>60827</v>
      </c>
      <c r="W396" s="17">
        <v>46</v>
      </c>
      <c r="X396" s="17">
        <v>59</v>
      </c>
      <c r="Y396" s="12">
        <v>-13</v>
      </c>
      <c r="Z396" s="12">
        <v>33</v>
      </c>
      <c r="AA396" s="12">
        <v>33</v>
      </c>
      <c r="AB396" s="12">
        <v>0</v>
      </c>
      <c r="AC396" s="12">
        <v>0</v>
      </c>
      <c r="AD396" s="13">
        <v>0</v>
      </c>
      <c r="AE396" s="12">
        <v>0</v>
      </c>
      <c r="AF396" s="14">
        <v>0</v>
      </c>
      <c r="AG396" s="5">
        <v>0</v>
      </c>
      <c r="AH396" s="5">
        <v>0</v>
      </c>
      <c r="AI396" s="5">
        <v>0</v>
      </c>
      <c r="AJ396" s="5">
        <v>935.48</v>
      </c>
      <c r="AK396" s="5">
        <v>0</v>
      </c>
      <c r="AL396" s="5">
        <v>935.48</v>
      </c>
      <c r="AM396" s="8"/>
      <c r="AN396" s="8"/>
    </row>
    <row r="397" spans="1:40" ht="16" thickBot="1">
      <c r="A397" s="3">
        <v>396</v>
      </c>
      <c r="B397" s="19">
        <v>45947</v>
      </c>
      <c r="C397" s="5" t="s">
        <v>40</v>
      </c>
      <c r="D397" s="5" t="s">
        <v>41</v>
      </c>
      <c r="E397" s="6" t="s">
        <v>42</v>
      </c>
      <c r="F397" s="7" t="s">
        <v>87</v>
      </c>
      <c r="G397" s="10" t="s">
        <v>83</v>
      </c>
      <c r="H397" s="5" t="s">
        <v>84</v>
      </c>
      <c r="I397" s="5">
        <v>4</v>
      </c>
      <c r="J397" s="5">
        <v>10</v>
      </c>
      <c r="K397" s="6">
        <v>29000</v>
      </c>
      <c r="L397" s="5">
        <v>1000</v>
      </c>
      <c r="M397" s="5">
        <v>55</v>
      </c>
      <c r="N397" s="5">
        <v>31</v>
      </c>
      <c r="O397" s="17" t="s">
        <v>181</v>
      </c>
      <c r="P397" s="8"/>
      <c r="Q397" s="18">
        <v>0.10277777777777779</v>
      </c>
      <c r="R397" s="18">
        <v>0.20157407407407404</v>
      </c>
      <c r="S397" s="17">
        <v>3298</v>
      </c>
      <c r="T397" s="18">
        <v>0.30328703703703702</v>
      </c>
      <c r="U397" s="18">
        <v>0.30334490740740744</v>
      </c>
      <c r="V397" s="17">
        <v>3324</v>
      </c>
      <c r="W397" s="17">
        <v>54</v>
      </c>
      <c r="X397" s="17">
        <v>54</v>
      </c>
      <c r="Y397" s="12">
        <v>0</v>
      </c>
      <c r="Z397" s="12">
        <v>26</v>
      </c>
      <c r="AA397" s="12">
        <v>26</v>
      </c>
      <c r="AB397" s="12">
        <v>0</v>
      </c>
      <c r="AC397" s="12">
        <v>0</v>
      </c>
      <c r="AD397" s="13">
        <v>0</v>
      </c>
      <c r="AE397" s="12">
        <v>0</v>
      </c>
      <c r="AF397" s="14">
        <v>0</v>
      </c>
      <c r="AG397" s="5">
        <v>0</v>
      </c>
      <c r="AH397" s="5">
        <v>0</v>
      </c>
      <c r="AI397" s="5">
        <v>0</v>
      </c>
      <c r="AJ397" s="5">
        <v>935.48</v>
      </c>
      <c r="AK397" s="5">
        <v>0</v>
      </c>
      <c r="AL397" s="5">
        <v>935.48</v>
      </c>
      <c r="AM397" s="8"/>
      <c r="AN397" s="8"/>
    </row>
    <row r="398" spans="1:40" ht="16" thickBot="1">
      <c r="A398" s="3">
        <v>397</v>
      </c>
      <c r="B398" s="19">
        <v>45947</v>
      </c>
      <c r="C398" s="5" t="s">
        <v>40</v>
      </c>
      <c r="D398" s="5" t="s">
        <v>41</v>
      </c>
      <c r="E398" s="6" t="s">
        <v>42</v>
      </c>
      <c r="F398" s="7" t="s">
        <v>89</v>
      </c>
      <c r="G398" s="10" t="s">
        <v>83</v>
      </c>
      <c r="H398" s="5" t="s">
        <v>84</v>
      </c>
      <c r="I398" s="5">
        <v>4</v>
      </c>
      <c r="J398" s="5">
        <v>10</v>
      </c>
      <c r="K398" s="6">
        <v>29000</v>
      </c>
      <c r="L398" s="5">
        <v>1000</v>
      </c>
      <c r="M398" s="5">
        <v>55</v>
      </c>
      <c r="N398" s="5">
        <v>31</v>
      </c>
      <c r="O398" s="17" t="s">
        <v>106</v>
      </c>
      <c r="P398" s="8"/>
      <c r="Q398" s="18">
        <v>8.8888888888888892E-2</v>
      </c>
      <c r="R398" s="18">
        <v>0.19920138888888891</v>
      </c>
      <c r="S398" s="17">
        <v>139323</v>
      </c>
      <c r="T398" s="18">
        <v>0.29303240740740738</v>
      </c>
      <c r="U398" s="18">
        <v>0.29312500000000002</v>
      </c>
      <c r="V398" s="17">
        <v>139351</v>
      </c>
      <c r="W398" s="17">
        <v>47</v>
      </c>
      <c r="X398" s="17">
        <v>47</v>
      </c>
      <c r="Y398" s="12">
        <v>0</v>
      </c>
      <c r="Z398" s="12">
        <v>28</v>
      </c>
      <c r="AA398" s="12">
        <v>28</v>
      </c>
      <c r="AB398" s="12">
        <v>0</v>
      </c>
      <c r="AC398" s="12">
        <v>0</v>
      </c>
      <c r="AD398" s="13">
        <v>0</v>
      </c>
      <c r="AE398" s="12">
        <v>0</v>
      </c>
      <c r="AF398" s="14">
        <v>0</v>
      </c>
      <c r="AG398" s="5">
        <v>0</v>
      </c>
      <c r="AH398" s="5">
        <v>0</v>
      </c>
      <c r="AI398" s="5">
        <v>0</v>
      </c>
      <c r="AJ398" s="5">
        <v>935.48</v>
      </c>
      <c r="AK398" s="5">
        <v>0</v>
      </c>
      <c r="AL398" s="5">
        <v>935.48</v>
      </c>
      <c r="AM398" s="8"/>
      <c r="AN398" s="8"/>
    </row>
    <row r="399" spans="1:40" ht="16" thickBot="1">
      <c r="A399" s="3">
        <v>398</v>
      </c>
      <c r="B399" s="19">
        <v>45948</v>
      </c>
      <c r="C399" s="5" t="s">
        <v>40</v>
      </c>
      <c r="D399" s="5" t="s">
        <v>41</v>
      </c>
      <c r="E399" s="6" t="s">
        <v>42</v>
      </c>
      <c r="F399" s="7" t="s">
        <v>43</v>
      </c>
      <c r="G399" s="5" t="s">
        <v>44</v>
      </c>
      <c r="H399" s="5" t="s">
        <v>45</v>
      </c>
      <c r="I399" s="5">
        <v>4</v>
      </c>
      <c r="J399" s="5">
        <v>8</v>
      </c>
      <c r="K399" s="5">
        <v>25000</v>
      </c>
      <c r="L399" s="5">
        <v>1000</v>
      </c>
      <c r="M399" s="5">
        <v>55</v>
      </c>
      <c r="N399" s="5">
        <v>31</v>
      </c>
      <c r="O399" s="17" t="s">
        <v>46</v>
      </c>
      <c r="P399" s="8"/>
      <c r="Q399" s="18">
        <v>4.3750000000000004E-2</v>
      </c>
      <c r="R399" s="18">
        <v>0.16298611111111111</v>
      </c>
      <c r="S399" s="17">
        <v>57636</v>
      </c>
      <c r="T399" s="18">
        <v>0.36090277777777779</v>
      </c>
      <c r="U399" s="18">
        <v>0.36429398148148145</v>
      </c>
      <c r="V399" s="17">
        <v>57655</v>
      </c>
      <c r="W399" s="17">
        <v>20</v>
      </c>
      <c r="X399" s="17">
        <v>35</v>
      </c>
      <c r="Y399" s="12">
        <v>-15</v>
      </c>
      <c r="Z399" s="12">
        <v>19</v>
      </c>
      <c r="AA399" s="12">
        <v>19</v>
      </c>
      <c r="AB399" s="12">
        <v>0</v>
      </c>
      <c r="AC399" s="12">
        <v>0</v>
      </c>
      <c r="AD399" s="13">
        <v>1</v>
      </c>
      <c r="AE399" s="12">
        <v>150</v>
      </c>
      <c r="AF399" s="14">
        <v>0</v>
      </c>
      <c r="AG399" s="5">
        <v>0</v>
      </c>
      <c r="AH399" s="5">
        <v>0</v>
      </c>
      <c r="AI399" s="5">
        <v>0</v>
      </c>
      <c r="AJ399" s="5">
        <v>956.45</v>
      </c>
      <c r="AK399" s="5">
        <v>0</v>
      </c>
      <c r="AL399" s="5">
        <v>956.45</v>
      </c>
      <c r="AM399" s="8"/>
      <c r="AN399" s="8"/>
    </row>
    <row r="400" spans="1:40" ht="16" thickBot="1">
      <c r="A400" s="3">
        <v>399</v>
      </c>
      <c r="B400" s="19">
        <v>45948</v>
      </c>
      <c r="C400" s="5" t="s">
        <v>40</v>
      </c>
      <c r="D400" s="5" t="s">
        <v>41</v>
      </c>
      <c r="E400" s="6" t="s">
        <v>42</v>
      </c>
      <c r="F400" s="7" t="s">
        <v>132</v>
      </c>
      <c r="G400" s="5" t="s">
        <v>44</v>
      </c>
      <c r="H400" s="5" t="s">
        <v>45</v>
      </c>
      <c r="I400" s="5">
        <v>4</v>
      </c>
      <c r="J400" s="5">
        <v>8</v>
      </c>
      <c r="K400" s="5">
        <v>25000</v>
      </c>
      <c r="L400" s="5">
        <v>1000</v>
      </c>
      <c r="M400" s="5">
        <v>55</v>
      </c>
      <c r="N400" s="5">
        <v>31</v>
      </c>
      <c r="O400" s="17" t="s">
        <v>133</v>
      </c>
      <c r="P400" s="8"/>
      <c r="Q400" s="18">
        <v>5.0694444444444452E-2</v>
      </c>
      <c r="R400" s="18">
        <v>0.16383101851851853</v>
      </c>
      <c r="S400" s="17">
        <v>110582</v>
      </c>
      <c r="T400" s="18">
        <v>0.29158564814814814</v>
      </c>
      <c r="U400" s="18">
        <v>0.29200231481481481</v>
      </c>
      <c r="V400" s="17">
        <v>110594</v>
      </c>
      <c r="W400" s="17">
        <v>30</v>
      </c>
      <c r="X400" s="17">
        <v>16</v>
      </c>
      <c r="Y400" s="12">
        <v>14</v>
      </c>
      <c r="Z400" s="12">
        <v>12</v>
      </c>
      <c r="AA400" s="12">
        <v>12</v>
      </c>
      <c r="AB400" s="12">
        <v>0</v>
      </c>
      <c r="AC400" s="12">
        <v>0</v>
      </c>
      <c r="AD400" s="13">
        <v>0</v>
      </c>
      <c r="AE400" s="12">
        <v>0</v>
      </c>
      <c r="AF400" s="14">
        <v>0</v>
      </c>
      <c r="AG400" s="5">
        <v>0</v>
      </c>
      <c r="AH400" s="5">
        <v>0</v>
      </c>
      <c r="AI400" s="5">
        <v>0</v>
      </c>
      <c r="AJ400" s="5">
        <v>806.45</v>
      </c>
      <c r="AK400" s="5">
        <v>0</v>
      </c>
      <c r="AL400" s="5">
        <v>806.45</v>
      </c>
      <c r="AM400" s="8"/>
      <c r="AN400" s="8"/>
    </row>
    <row r="401" spans="1:40" ht="16" thickBot="1">
      <c r="A401" s="3">
        <v>400</v>
      </c>
      <c r="B401" s="19">
        <v>45948</v>
      </c>
      <c r="C401" s="5" t="s">
        <v>40</v>
      </c>
      <c r="D401" s="5" t="s">
        <v>41</v>
      </c>
      <c r="E401" s="6" t="s">
        <v>42</v>
      </c>
      <c r="F401" s="7" t="s">
        <v>49</v>
      </c>
      <c r="G401" s="5" t="s">
        <v>44</v>
      </c>
      <c r="H401" s="5" t="s">
        <v>45</v>
      </c>
      <c r="I401" s="5">
        <v>6</v>
      </c>
      <c r="J401" s="5">
        <v>8</v>
      </c>
      <c r="K401" s="5">
        <v>33000</v>
      </c>
      <c r="L401" s="5">
        <v>2000</v>
      </c>
      <c r="M401" s="5">
        <v>55</v>
      </c>
      <c r="N401" s="5">
        <v>31</v>
      </c>
      <c r="O401" s="17" t="s">
        <v>91</v>
      </c>
      <c r="P401" s="8"/>
      <c r="Q401" s="18">
        <v>4.2361111111111106E-2</v>
      </c>
      <c r="R401" s="18">
        <v>0.16416666666666666</v>
      </c>
      <c r="S401" s="17">
        <v>100863</v>
      </c>
      <c r="T401" s="18">
        <v>0.38872685185185185</v>
      </c>
      <c r="U401" s="18">
        <v>0.38880787037037035</v>
      </c>
      <c r="V401" s="17">
        <v>100916</v>
      </c>
      <c r="W401" s="17">
        <v>40</v>
      </c>
      <c r="X401" s="17">
        <v>46</v>
      </c>
      <c r="Y401" s="12">
        <v>-6</v>
      </c>
      <c r="Z401" s="12">
        <v>53</v>
      </c>
      <c r="AA401" s="12">
        <v>53</v>
      </c>
      <c r="AB401" s="12">
        <v>0</v>
      </c>
      <c r="AC401" s="12">
        <v>0</v>
      </c>
      <c r="AD401" s="13">
        <v>1</v>
      </c>
      <c r="AE401" s="12">
        <v>150</v>
      </c>
      <c r="AF401" s="14">
        <v>0</v>
      </c>
      <c r="AG401" s="5">
        <v>0</v>
      </c>
      <c r="AH401" s="5">
        <v>0</v>
      </c>
      <c r="AI401" s="5">
        <v>0</v>
      </c>
      <c r="AJ401" s="5">
        <v>1214.52</v>
      </c>
      <c r="AK401" s="5">
        <v>0</v>
      </c>
      <c r="AL401" s="5">
        <v>1214.52</v>
      </c>
      <c r="AM401" s="8"/>
      <c r="AN401" s="8"/>
    </row>
    <row r="402" spans="1:40" ht="16" thickBot="1">
      <c r="A402" s="3">
        <v>401</v>
      </c>
      <c r="B402" s="19">
        <v>45948</v>
      </c>
      <c r="C402" s="5" t="s">
        <v>40</v>
      </c>
      <c r="D402" s="5" t="s">
        <v>41</v>
      </c>
      <c r="E402" s="6" t="s">
        <v>42</v>
      </c>
      <c r="F402" s="7" t="s">
        <v>51</v>
      </c>
      <c r="G402" s="5" t="s">
        <v>44</v>
      </c>
      <c r="H402" s="5" t="s">
        <v>45</v>
      </c>
      <c r="I402" s="5">
        <v>4</v>
      </c>
      <c r="J402" s="5">
        <v>8</v>
      </c>
      <c r="K402" s="5">
        <v>25000</v>
      </c>
      <c r="L402" s="5">
        <v>1000</v>
      </c>
      <c r="M402" s="5">
        <v>55</v>
      </c>
      <c r="N402" s="5">
        <v>31</v>
      </c>
      <c r="O402" s="17" t="s">
        <v>174</v>
      </c>
      <c r="P402" s="8"/>
      <c r="Q402" s="18">
        <v>0.12222222222222223</v>
      </c>
      <c r="R402" s="18">
        <v>0.15658564814814815</v>
      </c>
      <c r="S402" s="17">
        <v>84203</v>
      </c>
      <c r="T402" s="18">
        <v>0.31537037037037036</v>
      </c>
      <c r="U402" s="18">
        <v>0.315462962962963</v>
      </c>
      <c r="V402" s="17">
        <v>84228</v>
      </c>
      <c r="W402" s="17">
        <v>39</v>
      </c>
      <c r="X402" s="17">
        <v>52</v>
      </c>
      <c r="Y402" s="12">
        <v>-13</v>
      </c>
      <c r="Z402" s="12">
        <v>25</v>
      </c>
      <c r="AA402" s="12">
        <v>25</v>
      </c>
      <c r="AB402" s="12">
        <v>0</v>
      </c>
      <c r="AC402" s="12">
        <v>0</v>
      </c>
      <c r="AD402" s="13">
        <v>0</v>
      </c>
      <c r="AE402" s="12">
        <v>0</v>
      </c>
      <c r="AF402" s="14">
        <v>0</v>
      </c>
      <c r="AG402" s="5">
        <v>0</v>
      </c>
      <c r="AH402" s="5">
        <v>0</v>
      </c>
      <c r="AI402" s="5">
        <v>0</v>
      </c>
      <c r="AJ402" s="5">
        <v>806.45</v>
      </c>
      <c r="AK402" s="5">
        <v>0</v>
      </c>
      <c r="AL402" s="5">
        <v>806.45</v>
      </c>
      <c r="AM402" s="8"/>
      <c r="AN402" s="8"/>
    </row>
    <row r="403" spans="1:40" ht="16" thickBot="1">
      <c r="A403" s="3">
        <v>402</v>
      </c>
      <c r="B403" s="19">
        <v>45948</v>
      </c>
      <c r="C403" s="5" t="s">
        <v>40</v>
      </c>
      <c r="D403" s="5" t="s">
        <v>41</v>
      </c>
      <c r="E403" s="6" t="s">
        <v>42</v>
      </c>
      <c r="F403" s="7" t="s">
        <v>145</v>
      </c>
      <c r="G403" s="5" t="s">
        <v>44</v>
      </c>
      <c r="H403" s="5" t="s">
        <v>45</v>
      </c>
      <c r="I403" s="5">
        <v>4</v>
      </c>
      <c r="J403" s="5">
        <v>8</v>
      </c>
      <c r="K403" s="5">
        <v>25000</v>
      </c>
      <c r="L403" s="5">
        <v>1000</v>
      </c>
      <c r="M403" s="5">
        <v>55</v>
      </c>
      <c r="N403" s="5">
        <v>31</v>
      </c>
      <c r="O403" s="17" t="s">
        <v>188</v>
      </c>
      <c r="P403" s="8"/>
      <c r="Q403" s="18">
        <v>5.0694444444444452E-2</v>
      </c>
      <c r="R403" s="18">
        <v>0.15761574074074072</v>
      </c>
      <c r="S403" s="17">
        <v>38459</v>
      </c>
      <c r="T403" s="18">
        <v>0.31480324074074073</v>
      </c>
      <c r="U403" s="18">
        <v>0.31491898148148151</v>
      </c>
      <c r="V403" s="17">
        <v>38493</v>
      </c>
      <c r="W403" s="17">
        <v>40</v>
      </c>
      <c r="X403" s="17">
        <v>66</v>
      </c>
      <c r="Y403" s="12">
        <v>-26</v>
      </c>
      <c r="Z403" s="12">
        <v>34</v>
      </c>
      <c r="AA403" s="12">
        <v>34</v>
      </c>
      <c r="AB403" s="12">
        <v>0</v>
      </c>
      <c r="AC403" s="12">
        <v>0</v>
      </c>
      <c r="AD403" s="13">
        <v>0</v>
      </c>
      <c r="AE403" s="12">
        <v>0</v>
      </c>
      <c r="AF403" s="14">
        <v>0</v>
      </c>
      <c r="AG403" s="5">
        <v>0</v>
      </c>
      <c r="AH403" s="5">
        <v>0</v>
      </c>
      <c r="AI403" s="5">
        <v>0</v>
      </c>
      <c r="AJ403" s="5">
        <v>806.45</v>
      </c>
      <c r="AK403" s="5">
        <v>0</v>
      </c>
      <c r="AL403" s="5">
        <v>806.45</v>
      </c>
      <c r="AM403" s="8"/>
      <c r="AN403" s="8"/>
    </row>
    <row r="404" spans="1:40" ht="16" thickBot="1">
      <c r="A404" s="3">
        <v>403</v>
      </c>
      <c r="B404" s="19">
        <v>45948</v>
      </c>
      <c r="C404" s="5" t="s">
        <v>40</v>
      </c>
      <c r="D404" s="5" t="s">
        <v>41</v>
      </c>
      <c r="E404" s="6" t="s">
        <v>42</v>
      </c>
      <c r="F404" s="7" t="s">
        <v>53</v>
      </c>
      <c r="G404" s="5" t="s">
        <v>44</v>
      </c>
      <c r="H404" s="5" t="s">
        <v>45</v>
      </c>
      <c r="I404" s="5">
        <v>4</v>
      </c>
      <c r="J404" s="5">
        <v>8</v>
      </c>
      <c r="K404" s="5">
        <v>25000</v>
      </c>
      <c r="L404" s="5">
        <v>1000</v>
      </c>
      <c r="M404" s="5">
        <v>55</v>
      </c>
      <c r="N404" s="5">
        <v>31</v>
      </c>
      <c r="O404" s="17" t="s">
        <v>115</v>
      </c>
      <c r="P404" s="8"/>
      <c r="Q404" s="18">
        <v>4.6527777777777779E-2</v>
      </c>
      <c r="R404" s="18">
        <v>0.16197916666666667</v>
      </c>
      <c r="S404" s="17">
        <v>12693</v>
      </c>
      <c r="T404" s="18">
        <v>0.36493055555555554</v>
      </c>
      <c r="U404" s="18">
        <v>0.36499999999999999</v>
      </c>
      <c r="V404" s="17">
        <v>12710</v>
      </c>
      <c r="W404" s="17">
        <v>32</v>
      </c>
      <c r="X404" s="17">
        <v>21</v>
      </c>
      <c r="Y404" s="12">
        <v>11</v>
      </c>
      <c r="Z404" s="12">
        <v>17</v>
      </c>
      <c r="AA404" s="12">
        <v>17</v>
      </c>
      <c r="AB404" s="12">
        <v>0</v>
      </c>
      <c r="AC404" s="12">
        <v>0</v>
      </c>
      <c r="AD404" s="13">
        <v>1</v>
      </c>
      <c r="AE404" s="12">
        <v>150</v>
      </c>
      <c r="AF404" s="14">
        <v>0</v>
      </c>
      <c r="AG404" s="5">
        <v>0</v>
      </c>
      <c r="AH404" s="5">
        <v>0</v>
      </c>
      <c r="AI404" s="5">
        <v>0</v>
      </c>
      <c r="AJ404" s="5">
        <v>956.45</v>
      </c>
      <c r="AK404" s="5">
        <v>0</v>
      </c>
      <c r="AL404" s="5">
        <v>956.45</v>
      </c>
      <c r="AM404" s="8"/>
      <c r="AN404" s="8"/>
    </row>
    <row r="405" spans="1:40" ht="16" thickBot="1">
      <c r="A405" s="3">
        <v>404</v>
      </c>
      <c r="B405" s="19">
        <v>45948</v>
      </c>
      <c r="C405" s="5" t="s">
        <v>40</v>
      </c>
      <c r="D405" s="5" t="s">
        <v>41</v>
      </c>
      <c r="E405" s="6" t="s">
        <v>42</v>
      </c>
      <c r="F405" s="7" t="s">
        <v>55</v>
      </c>
      <c r="G405" s="5" t="s">
        <v>44</v>
      </c>
      <c r="H405" s="5" t="s">
        <v>45</v>
      </c>
      <c r="I405" s="5">
        <v>4</v>
      </c>
      <c r="J405" s="5">
        <v>8</v>
      </c>
      <c r="K405" s="5">
        <v>25000</v>
      </c>
      <c r="L405" s="5">
        <v>1000</v>
      </c>
      <c r="M405" s="5">
        <v>55</v>
      </c>
      <c r="N405" s="5">
        <v>31</v>
      </c>
      <c r="O405" s="17" t="s">
        <v>56</v>
      </c>
      <c r="P405" s="8"/>
      <c r="Q405" s="18">
        <v>9.375E-2</v>
      </c>
      <c r="R405" s="18">
        <v>0.16067129629629631</v>
      </c>
      <c r="S405" s="17">
        <v>145393</v>
      </c>
      <c r="T405" s="18">
        <v>0.35160879629629632</v>
      </c>
      <c r="U405" s="18">
        <v>0.35174768518518523</v>
      </c>
      <c r="V405" s="17">
        <v>145415</v>
      </c>
      <c r="W405" s="17">
        <v>40</v>
      </c>
      <c r="X405" s="17">
        <v>23</v>
      </c>
      <c r="Y405" s="12">
        <v>17</v>
      </c>
      <c r="Z405" s="12">
        <v>22</v>
      </c>
      <c r="AA405" s="12">
        <v>22</v>
      </c>
      <c r="AB405" s="12">
        <v>0</v>
      </c>
      <c r="AC405" s="12">
        <v>0</v>
      </c>
      <c r="AD405" s="13">
        <v>1</v>
      </c>
      <c r="AE405" s="12">
        <v>150</v>
      </c>
      <c r="AF405" s="14">
        <v>0</v>
      </c>
      <c r="AG405" s="5">
        <v>0</v>
      </c>
      <c r="AH405" s="5">
        <v>0</v>
      </c>
      <c r="AI405" s="5">
        <v>0</v>
      </c>
      <c r="AJ405" s="5">
        <v>956.45</v>
      </c>
      <c r="AK405" s="5">
        <v>0</v>
      </c>
      <c r="AL405" s="5">
        <v>956.45</v>
      </c>
      <c r="AM405" s="8"/>
      <c r="AN405" s="8"/>
    </row>
    <row r="406" spans="1:40" ht="16" thickBot="1">
      <c r="A406" s="3">
        <v>405</v>
      </c>
      <c r="B406" s="19">
        <v>45948</v>
      </c>
      <c r="C406" s="5" t="s">
        <v>40</v>
      </c>
      <c r="D406" s="5" t="s">
        <v>41</v>
      </c>
      <c r="E406" s="6" t="s">
        <v>42</v>
      </c>
      <c r="F406" s="7" t="s">
        <v>176</v>
      </c>
      <c r="G406" s="5" t="s">
        <v>44</v>
      </c>
      <c r="H406" s="5" t="s">
        <v>45</v>
      </c>
      <c r="I406" s="5">
        <v>4</v>
      </c>
      <c r="J406" s="5">
        <v>8</v>
      </c>
      <c r="K406" s="5">
        <v>25000</v>
      </c>
      <c r="L406" s="5">
        <v>1000</v>
      </c>
      <c r="M406" s="5">
        <v>55</v>
      </c>
      <c r="N406" s="5">
        <v>31</v>
      </c>
      <c r="O406" s="17" t="s">
        <v>58</v>
      </c>
      <c r="P406" s="8"/>
      <c r="Q406" s="18">
        <v>4.3055555555555562E-2</v>
      </c>
      <c r="R406" s="18">
        <v>0.16435185185185186</v>
      </c>
      <c r="S406" s="17">
        <v>165612</v>
      </c>
      <c r="T406" s="18">
        <v>0.36218750000000005</v>
      </c>
      <c r="U406" s="18">
        <v>0.36231481481481481</v>
      </c>
      <c r="V406" s="17">
        <v>165631</v>
      </c>
      <c r="W406" s="17">
        <v>30</v>
      </c>
      <c r="X406" s="17">
        <v>42</v>
      </c>
      <c r="Y406" s="12">
        <v>-12</v>
      </c>
      <c r="Z406" s="12">
        <v>19</v>
      </c>
      <c r="AA406" s="12">
        <v>19</v>
      </c>
      <c r="AB406" s="12">
        <v>0</v>
      </c>
      <c r="AC406" s="12">
        <v>0</v>
      </c>
      <c r="AD406" s="13">
        <v>1</v>
      </c>
      <c r="AE406" s="12">
        <v>150</v>
      </c>
      <c r="AF406" s="14">
        <v>0</v>
      </c>
      <c r="AG406" s="5">
        <v>0</v>
      </c>
      <c r="AH406" s="5">
        <v>0</v>
      </c>
      <c r="AI406" s="5">
        <v>0</v>
      </c>
      <c r="AJ406" s="5">
        <v>956.45</v>
      </c>
      <c r="AK406" s="5">
        <v>0</v>
      </c>
      <c r="AL406" s="5">
        <v>956.45</v>
      </c>
      <c r="AM406" s="8"/>
      <c r="AN406" s="8"/>
    </row>
    <row r="407" spans="1:40" ht="16" thickBot="1">
      <c r="A407" s="3">
        <v>406</v>
      </c>
      <c r="B407" s="19">
        <v>45948</v>
      </c>
      <c r="C407" s="5" t="s">
        <v>40</v>
      </c>
      <c r="D407" s="5" t="s">
        <v>41</v>
      </c>
      <c r="E407" s="6" t="s">
        <v>42</v>
      </c>
      <c r="F407" s="7" t="s">
        <v>182</v>
      </c>
      <c r="G407" s="5" t="s">
        <v>44</v>
      </c>
      <c r="H407" s="5" t="s">
        <v>45</v>
      </c>
      <c r="I407" s="5">
        <v>4</v>
      </c>
      <c r="J407" s="5">
        <v>8</v>
      </c>
      <c r="K407" s="5">
        <v>25000</v>
      </c>
      <c r="L407" s="5">
        <v>1000</v>
      </c>
      <c r="M407" s="5">
        <v>55</v>
      </c>
      <c r="N407" s="5">
        <v>31</v>
      </c>
      <c r="O407" s="17" t="s">
        <v>189</v>
      </c>
      <c r="P407" s="8"/>
      <c r="Q407" s="18">
        <v>8.0555555555555561E-2</v>
      </c>
      <c r="R407" s="18">
        <v>0.15777777777777777</v>
      </c>
      <c r="S407" s="17">
        <v>115760</v>
      </c>
      <c r="T407" s="18">
        <v>0.33413194444444444</v>
      </c>
      <c r="U407" s="18">
        <v>0.33422453703703708</v>
      </c>
      <c r="V407" s="17">
        <v>115784</v>
      </c>
      <c r="W407" s="17">
        <v>60</v>
      </c>
      <c r="X407" s="17">
        <v>36</v>
      </c>
      <c r="Y407" s="12">
        <v>24</v>
      </c>
      <c r="Z407" s="12">
        <v>24</v>
      </c>
      <c r="AA407" s="12">
        <v>24</v>
      </c>
      <c r="AB407" s="12">
        <v>0</v>
      </c>
      <c r="AC407" s="12">
        <v>0</v>
      </c>
      <c r="AD407" s="13">
        <v>1</v>
      </c>
      <c r="AE407" s="12">
        <v>150</v>
      </c>
      <c r="AF407" s="14">
        <v>0</v>
      </c>
      <c r="AG407" s="5">
        <v>0</v>
      </c>
      <c r="AH407" s="5">
        <v>0</v>
      </c>
      <c r="AI407" s="5">
        <v>0</v>
      </c>
      <c r="AJ407" s="5">
        <v>956.45</v>
      </c>
      <c r="AK407" s="5">
        <v>0</v>
      </c>
      <c r="AL407" s="5">
        <v>956.45</v>
      </c>
      <c r="AM407" s="8"/>
      <c r="AN407" s="8"/>
    </row>
    <row r="408" spans="1:40" ht="16" thickBot="1">
      <c r="A408" s="3">
        <v>407</v>
      </c>
      <c r="B408" s="19">
        <v>45948</v>
      </c>
      <c r="C408" s="5" t="s">
        <v>40</v>
      </c>
      <c r="D408" s="5" t="s">
        <v>41</v>
      </c>
      <c r="E408" s="6" t="s">
        <v>42</v>
      </c>
      <c r="F408" s="7" t="s">
        <v>57</v>
      </c>
      <c r="G408" s="5" t="s">
        <v>44</v>
      </c>
      <c r="H408" s="5" t="s">
        <v>45</v>
      </c>
      <c r="I408" s="5">
        <v>4</v>
      </c>
      <c r="J408" s="5">
        <v>8</v>
      </c>
      <c r="K408" s="5">
        <v>25000</v>
      </c>
      <c r="L408" s="5">
        <v>1000</v>
      </c>
      <c r="M408" s="5">
        <v>55</v>
      </c>
      <c r="N408" s="5">
        <v>31</v>
      </c>
      <c r="O408" s="17" t="s">
        <v>155</v>
      </c>
      <c r="P408" s="8"/>
      <c r="Q408" s="18">
        <v>0.1111111111111111</v>
      </c>
      <c r="R408" s="18">
        <v>0.16526620370370371</v>
      </c>
      <c r="S408" s="17">
        <v>144585</v>
      </c>
      <c r="T408" s="18">
        <v>0.32644675925925926</v>
      </c>
      <c r="U408" s="18">
        <v>0.32655092592592594</v>
      </c>
      <c r="V408" s="17">
        <v>144605</v>
      </c>
      <c r="W408" s="17">
        <v>34</v>
      </c>
      <c r="X408" s="17">
        <v>26</v>
      </c>
      <c r="Y408" s="12">
        <v>8</v>
      </c>
      <c r="Z408" s="12">
        <v>20</v>
      </c>
      <c r="AA408" s="12">
        <v>20</v>
      </c>
      <c r="AB408" s="12">
        <v>0</v>
      </c>
      <c r="AC408" s="12">
        <v>0</v>
      </c>
      <c r="AD408" s="13">
        <v>0</v>
      </c>
      <c r="AE408" s="12">
        <v>0</v>
      </c>
      <c r="AF408" s="14">
        <v>0</v>
      </c>
      <c r="AG408" s="5">
        <v>0</v>
      </c>
      <c r="AH408" s="5">
        <v>0</v>
      </c>
      <c r="AI408" s="5">
        <v>0</v>
      </c>
      <c r="AJ408" s="5">
        <v>806.45</v>
      </c>
      <c r="AK408" s="5">
        <v>0</v>
      </c>
      <c r="AL408" s="5">
        <v>806.45</v>
      </c>
      <c r="AM408" s="8"/>
      <c r="AN408" s="8"/>
    </row>
    <row r="409" spans="1:40" ht="16" thickBot="1">
      <c r="A409" s="3">
        <v>408</v>
      </c>
      <c r="B409" s="19">
        <v>45948</v>
      </c>
      <c r="C409" s="5" t="s">
        <v>40</v>
      </c>
      <c r="D409" s="5" t="s">
        <v>41</v>
      </c>
      <c r="E409" s="6" t="s">
        <v>42</v>
      </c>
      <c r="F409" s="7" t="s">
        <v>60</v>
      </c>
      <c r="G409" s="5" t="s">
        <v>44</v>
      </c>
      <c r="H409" s="5" t="s">
        <v>45</v>
      </c>
      <c r="I409" s="5">
        <v>4</v>
      </c>
      <c r="J409" s="5">
        <v>8</v>
      </c>
      <c r="K409" s="5">
        <v>25000</v>
      </c>
      <c r="L409" s="5">
        <v>1000</v>
      </c>
      <c r="M409" s="5">
        <v>55</v>
      </c>
      <c r="N409" s="5">
        <v>31</v>
      </c>
      <c r="O409" s="17" t="s">
        <v>190</v>
      </c>
      <c r="P409" s="8"/>
      <c r="Q409" s="18">
        <v>4.6527777777777779E-2</v>
      </c>
      <c r="R409" s="18">
        <v>0.15837962962962962</v>
      </c>
      <c r="S409" s="17">
        <v>113578</v>
      </c>
      <c r="T409" s="18">
        <v>0.36462962962962964</v>
      </c>
      <c r="U409" s="18">
        <v>0.36471064814814813</v>
      </c>
      <c r="V409" s="17">
        <v>113593</v>
      </c>
      <c r="W409" s="17">
        <v>35</v>
      </c>
      <c r="X409" s="17">
        <v>40</v>
      </c>
      <c r="Y409" s="12">
        <v>-5</v>
      </c>
      <c r="Z409" s="12">
        <v>15</v>
      </c>
      <c r="AA409" s="12">
        <v>15</v>
      </c>
      <c r="AB409" s="12">
        <v>0</v>
      </c>
      <c r="AC409" s="12">
        <v>0</v>
      </c>
      <c r="AD409" s="13">
        <v>1</v>
      </c>
      <c r="AE409" s="12">
        <v>150</v>
      </c>
      <c r="AF409" s="14">
        <v>0</v>
      </c>
      <c r="AG409" s="5">
        <v>0</v>
      </c>
      <c r="AH409" s="5">
        <v>0</v>
      </c>
      <c r="AI409" s="5">
        <v>0</v>
      </c>
      <c r="AJ409" s="5">
        <v>956.45</v>
      </c>
      <c r="AK409" s="5">
        <v>0</v>
      </c>
      <c r="AL409" s="5">
        <v>956.45</v>
      </c>
      <c r="AM409" s="8"/>
      <c r="AN409" s="8"/>
    </row>
    <row r="410" spans="1:40" ht="16" thickBot="1">
      <c r="A410" s="3">
        <v>409</v>
      </c>
      <c r="B410" s="19">
        <v>45948</v>
      </c>
      <c r="C410" s="5" t="s">
        <v>40</v>
      </c>
      <c r="D410" s="5" t="s">
        <v>41</v>
      </c>
      <c r="E410" s="6" t="s">
        <v>42</v>
      </c>
      <c r="F410" s="7" t="s">
        <v>62</v>
      </c>
      <c r="G410" s="5" t="s">
        <v>44</v>
      </c>
      <c r="H410" s="5" t="s">
        <v>45</v>
      </c>
      <c r="I410" s="5">
        <v>6</v>
      </c>
      <c r="J410" s="5">
        <v>8</v>
      </c>
      <c r="K410" s="5">
        <v>33000</v>
      </c>
      <c r="L410" s="5">
        <v>2000</v>
      </c>
      <c r="M410" s="5">
        <v>55</v>
      </c>
      <c r="N410" s="5">
        <v>31</v>
      </c>
      <c r="O410" s="17" t="s">
        <v>50</v>
      </c>
      <c r="P410" s="8"/>
      <c r="Q410" s="18">
        <v>0.10069444444444443</v>
      </c>
      <c r="R410" s="18">
        <v>0.16472222222222221</v>
      </c>
      <c r="S410" s="17">
        <v>48237</v>
      </c>
      <c r="T410" s="18">
        <v>0.3392592592592592</v>
      </c>
      <c r="U410" s="18">
        <v>0.3395023148148148</v>
      </c>
      <c r="V410" s="17">
        <v>48299</v>
      </c>
      <c r="W410" s="17">
        <v>38</v>
      </c>
      <c r="X410" s="17">
        <v>35</v>
      </c>
      <c r="Y410" s="12">
        <v>3</v>
      </c>
      <c r="Z410" s="12">
        <v>62</v>
      </c>
      <c r="AA410" s="12">
        <v>62</v>
      </c>
      <c r="AB410" s="12">
        <v>0</v>
      </c>
      <c r="AC410" s="12">
        <v>0</v>
      </c>
      <c r="AD410" s="13">
        <v>0</v>
      </c>
      <c r="AE410" s="12">
        <v>0</v>
      </c>
      <c r="AF410" s="14">
        <v>0</v>
      </c>
      <c r="AG410" s="5">
        <v>0</v>
      </c>
      <c r="AH410" s="5">
        <v>0</v>
      </c>
      <c r="AI410" s="5">
        <v>0</v>
      </c>
      <c r="AJ410" s="5">
        <v>1064.52</v>
      </c>
      <c r="AK410" s="5">
        <v>0</v>
      </c>
      <c r="AL410" s="5">
        <v>1064.52</v>
      </c>
      <c r="AM410" s="8"/>
      <c r="AN410" s="8"/>
    </row>
    <row r="411" spans="1:40" ht="16" thickBot="1">
      <c r="A411" s="3">
        <v>410</v>
      </c>
      <c r="B411" s="19">
        <v>45948</v>
      </c>
      <c r="C411" s="5" t="s">
        <v>40</v>
      </c>
      <c r="D411" s="5" t="s">
        <v>41</v>
      </c>
      <c r="E411" s="6" t="s">
        <v>42</v>
      </c>
      <c r="F411" s="7" t="s">
        <v>99</v>
      </c>
      <c r="G411" s="5" t="s">
        <v>44</v>
      </c>
      <c r="H411" s="5" t="s">
        <v>45</v>
      </c>
      <c r="I411" s="5">
        <v>4</v>
      </c>
      <c r="J411" s="5">
        <v>8</v>
      </c>
      <c r="K411" s="5">
        <v>25000</v>
      </c>
      <c r="L411" s="5">
        <v>1000</v>
      </c>
      <c r="M411" s="5">
        <v>55</v>
      </c>
      <c r="N411" s="5">
        <v>31</v>
      </c>
      <c r="O411" s="17" t="s">
        <v>148</v>
      </c>
      <c r="P411" s="8"/>
      <c r="Q411" s="18">
        <v>4.8611111111111112E-2</v>
      </c>
      <c r="R411" s="18">
        <v>0.15983796296296296</v>
      </c>
      <c r="S411" s="17">
        <v>87991</v>
      </c>
      <c r="T411" s="18">
        <v>0.29012731481481485</v>
      </c>
      <c r="U411" s="18">
        <v>0.29028935185185184</v>
      </c>
      <c r="V411" s="17">
        <v>88009</v>
      </c>
      <c r="W411" s="17">
        <v>35</v>
      </c>
      <c r="X411" s="17">
        <v>25</v>
      </c>
      <c r="Y411" s="12">
        <v>10</v>
      </c>
      <c r="Z411" s="12">
        <v>18</v>
      </c>
      <c r="AA411" s="12">
        <v>18</v>
      </c>
      <c r="AB411" s="12">
        <v>0</v>
      </c>
      <c r="AC411" s="12">
        <v>0</v>
      </c>
      <c r="AD411" s="13">
        <v>0</v>
      </c>
      <c r="AE411" s="12">
        <v>0</v>
      </c>
      <c r="AF411" s="14">
        <v>0</v>
      </c>
      <c r="AG411" s="5">
        <v>0</v>
      </c>
      <c r="AH411" s="5">
        <v>0</v>
      </c>
      <c r="AI411" s="5">
        <v>0</v>
      </c>
      <c r="AJ411" s="5">
        <v>806.45</v>
      </c>
      <c r="AK411" s="5">
        <v>0</v>
      </c>
      <c r="AL411" s="5">
        <v>806.45</v>
      </c>
      <c r="AM411" s="8"/>
      <c r="AN411" s="8"/>
    </row>
    <row r="412" spans="1:40" ht="16" thickBot="1">
      <c r="A412" s="3">
        <v>411</v>
      </c>
      <c r="B412" s="19">
        <v>45948</v>
      </c>
      <c r="C412" s="5" t="s">
        <v>40</v>
      </c>
      <c r="D412" s="5" t="s">
        <v>41</v>
      </c>
      <c r="E412" s="6" t="s">
        <v>42</v>
      </c>
      <c r="F412" s="7" t="s">
        <v>185</v>
      </c>
      <c r="G412" s="5" t="s">
        <v>44</v>
      </c>
      <c r="H412" s="5" t="s">
        <v>45</v>
      </c>
      <c r="I412" s="5">
        <v>4</v>
      </c>
      <c r="J412" s="5">
        <v>8</v>
      </c>
      <c r="K412" s="5">
        <v>25000</v>
      </c>
      <c r="L412" s="5">
        <v>1000</v>
      </c>
      <c r="M412" s="5">
        <v>55</v>
      </c>
      <c r="N412" s="5">
        <v>31</v>
      </c>
      <c r="O412" s="17" t="s">
        <v>186</v>
      </c>
      <c r="P412" s="8"/>
      <c r="Q412" s="18">
        <v>6.7361111111111108E-2</v>
      </c>
      <c r="R412" s="18">
        <v>0.16317129629629631</v>
      </c>
      <c r="S412" s="17">
        <v>66267</v>
      </c>
      <c r="T412" s="18">
        <v>0.36581018518518515</v>
      </c>
      <c r="U412" s="18">
        <v>0.3659722222222222</v>
      </c>
      <c r="V412" s="17">
        <v>66280</v>
      </c>
      <c r="W412" s="17">
        <v>35</v>
      </c>
      <c r="X412" s="17">
        <v>28</v>
      </c>
      <c r="Y412" s="12">
        <v>7</v>
      </c>
      <c r="Z412" s="12">
        <v>13</v>
      </c>
      <c r="AA412" s="12">
        <v>13</v>
      </c>
      <c r="AB412" s="12">
        <v>0</v>
      </c>
      <c r="AC412" s="12">
        <v>0</v>
      </c>
      <c r="AD412" s="13">
        <v>1</v>
      </c>
      <c r="AE412" s="12">
        <v>150</v>
      </c>
      <c r="AF412" s="14">
        <v>0</v>
      </c>
      <c r="AG412" s="5">
        <v>0</v>
      </c>
      <c r="AH412" s="5">
        <v>0</v>
      </c>
      <c r="AI412" s="5">
        <v>0</v>
      </c>
      <c r="AJ412" s="5">
        <v>956.45</v>
      </c>
      <c r="AK412" s="5">
        <v>0</v>
      </c>
      <c r="AL412" s="5">
        <v>956.45</v>
      </c>
      <c r="AM412" s="8"/>
      <c r="AN412" s="8"/>
    </row>
    <row r="413" spans="1:40" ht="16" thickBot="1">
      <c r="A413" s="3">
        <v>412</v>
      </c>
      <c r="B413" s="19">
        <v>45948</v>
      </c>
      <c r="C413" s="5" t="s">
        <v>40</v>
      </c>
      <c r="D413" s="5" t="s">
        <v>41</v>
      </c>
      <c r="E413" s="6" t="s">
        <v>42</v>
      </c>
      <c r="F413" s="7" t="s">
        <v>178</v>
      </c>
      <c r="G413" s="5" t="s">
        <v>44</v>
      </c>
      <c r="H413" s="5" t="s">
        <v>45</v>
      </c>
      <c r="I413" s="5">
        <v>4</v>
      </c>
      <c r="J413" s="5">
        <v>8</v>
      </c>
      <c r="K413" s="5">
        <v>25000</v>
      </c>
      <c r="L413" s="5">
        <v>1000</v>
      </c>
      <c r="M413" s="5">
        <v>55</v>
      </c>
      <c r="N413" s="5">
        <v>31</v>
      </c>
      <c r="O413" s="17" t="s">
        <v>108</v>
      </c>
      <c r="P413" s="8"/>
      <c r="Q413" s="18">
        <v>0.14583333333333334</v>
      </c>
      <c r="R413" s="18">
        <v>0.2860300925925926</v>
      </c>
      <c r="S413" s="17">
        <v>44838</v>
      </c>
      <c r="T413" s="18">
        <v>0.32290509259259259</v>
      </c>
      <c r="U413" s="18">
        <v>0.32303240740740741</v>
      </c>
      <c r="V413" s="17">
        <v>44862</v>
      </c>
      <c r="W413" s="17">
        <v>20</v>
      </c>
      <c r="X413" s="17">
        <v>0</v>
      </c>
      <c r="Y413" s="12">
        <v>20</v>
      </c>
      <c r="Z413" s="12">
        <v>24</v>
      </c>
      <c r="AA413" s="12">
        <v>24</v>
      </c>
      <c r="AB413" s="12">
        <v>0</v>
      </c>
      <c r="AC413" s="12">
        <v>0</v>
      </c>
      <c r="AD413" s="13">
        <v>0</v>
      </c>
      <c r="AE413" s="12">
        <v>0</v>
      </c>
      <c r="AF413" s="14">
        <v>0</v>
      </c>
      <c r="AG413" s="5">
        <v>0</v>
      </c>
      <c r="AH413" s="5">
        <v>0</v>
      </c>
      <c r="AI413" s="5">
        <v>0</v>
      </c>
      <c r="AJ413" s="5">
        <v>806.45</v>
      </c>
      <c r="AK413" s="5">
        <v>0</v>
      </c>
      <c r="AL413" s="5">
        <v>806.45</v>
      </c>
      <c r="AM413" s="8"/>
      <c r="AN413" s="8"/>
    </row>
    <row r="414" spans="1:40" ht="16" thickBot="1">
      <c r="A414" s="3">
        <v>413</v>
      </c>
      <c r="B414" s="19">
        <v>45948</v>
      </c>
      <c r="C414" s="5" t="s">
        <v>40</v>
      </c>
      <c r="D414" s="5" t="s">
        <v>41</v>
      </c>
      <c r="E414" s="6" t="s">
        <v>42</v>
      </c>
      <c r="F414" s="7" t="s">
        <v>68</v>
      </c>
      <c r="G414" s="5" t="s">
        <v>44</v>
      </c>
      <c r="H414" s="5" t="s">
        <v>45</v>
      </c>
      <c r="I414" s="5">
        <v>4</v>
      </c>
      <c r="J414" s="5">
        <v>8</v>
      </c>
      <c r="K414" s="5">
        <v>25000</v>
      </c>
      <c r="L414" s="5">
        <v>1000</v>
      </c>
      <c r="M414" s="5">
        <v>55</v>
      </c>
      <c r="N414" s="5">
        <v>31</v>
      </c>
      <c r="O414" s="17" t="s">
        <v>81</v>
      </c>
      <c r="P414" s="8"/>
      <c r="Q414" s="18">
        <v>4.7916666666666663E-2</v>
      </c>
      <c r="R414" s="18">
        <v>0.16855324074074074</v>
      </c>
      <c r="S414" s="17">
        <v>84252</v>
      </c>
      <c r="T414" s="18">
        <v>0.30768518518518517</v>
      </c>
      <c r="U414" s="18">
        <v>0.30778935185185186</v>
      </c>
      <c r="V414" s="17">
        <v>84269</v>
      </c>
      <c r="W414" s="17">
        <v>35</v>
      </c>
      <c r="X414" s="17">
        <v>26</v>
      </c>
      <c r="Y414" s="12">
        <v>9</v>
      </c>
      <c r="Z414" s="12">
        <v>17</v>
      </c>
      <c r="AA414" s="12">
        <v>17</v>
      </c>
      <c r="AB414" s="12">
        <v>0</v>
      </c>
      <c r="AC414" s="12">
        <v>0</v>
      </c>
      <c r="AD414" s="13">
        <v>0</v>
      </c>
      <c r="AE414" s="12">
        <v>0</v>
      </c>
      <c r="AF414" s="14">
        <v>0</v>
      </c>
      <c r="AG414" s="5">
        <v>0</v>
      </c>
      <c r="AH414" s="5">
        <v>0</v>
      </c>
      <c r="AI414" s="5">
        <v>0</v>
      </c>
      <c r="AJ414" s="5">
        <v>806.45</v>
      </c>
      <c r="AK414" s="5">
        <v>0</v>
      </c>
      <c r="AL414" s="5">
        <v>806.45</v>
      </c>
      <c r="AM414" s="8"/>
      <c r="AN414" s="8"/>
    </row>
    <row r="415" spans="1:40" ht="16" thickBot="1">
      <c r="A415" s="3">
        <v>414</v>
      </c>
      <c r="B415" s="19">
        <v>45948</v>
      </c>
      <c r="C415" s="5" t="s">
        <v>40</v>
      </c>
      <c r="D415" s="5" t="s">
        <v>41</v>
      </c>
      <c r="E415" s="6" t="s">
        <v>42</v>
      </c>
      <c r="F415" s="7" t="s">
        <v>70</v>
      </c>
      <c r="G415" s="5" t="s">
        <v>44</v>
      </c>
      <c r="H415" s="5" t="s">
        <v>45</v>
      </c>
      <c r="I415" s="5">
        <v>4</v>
      </c>
      <c r="J415" s="5">
        <v>8</v>
      </c>
      <c r="K415" s="5">
        <v>25000</v>
      </c>
      <c r="L415" s="5">
        <v>1000</v>
      </c>
      <c r="M415" s="5">
        <v>55</v>
      </c>
      <c r="N415" s="5">
        <v>31</v>
      </c>
      <c r="O415" s="17" t="s">
        <v>191</v>
      </c>
      <c r="P415" s="8"/>
      <c r="Q415" s="18">
        <v>9.1666666666666674E-2</v>
      </c>
      <c r="R415" s="18">
        <v>0.16546296296296295</v>
      </c>
      <c r="S415" s="17">
        <v>37073</v>
      </c>
      <c r="T415" s="18">
        <v>0.36380787037037038</v>
      </c>
      <c r="U415" s="18">
        <v>0.36398148148148146</v>
      </c>
      <c r="V415" s="17">
        <v>37082</v>
      </c>
      <c r="W415" s="17">
        <v>34</v>
      </c>
      <c r="X415" s="17">
        <v>41</v>
      </c>
      <c r="Y415" s="12">
        <v>-7</v>
      </c>
      <c r="Z415" s="12">
        <v>9</v>
      </c>
      <c r="AA415" s="12">
        <v>9</v>
      </c>
      <c r="AB415" s="12">
        <v>0</v>
      </c>
      <c r="AC415" s="12">
        <v>0</v>
      </c>
      <c r="AD415" s="13">
        <v>1</v>
      </c>
      <c r="AE415" s="12">
        <v>150</v>
      </c>
      <c r="AF415" s="14">
        <v>0</v>
      </c>
      <c r="AG415" s="5">
        <v>0</v>
      </c>
      <c r="AH415" s="5">
        <v>0</v>
      </c>
      <c r="AI415" s="5">
        <v>0</v>
      </c>
      <c r="AJ415" s="5">
        <v>956.45</v>
      </c>
      <c r="AK415" s="5">
        <v>0</v>
      </c>
      <c r="AL415" s="5">
        <v>956.45</v>
      </c>
      <c r="AM415" s="8"/>
      <c r="AN415" s="8"/>
    </row>
    <row r="416" spans="1:40" ht="16" thickBot="1">
      <c r="A416" s="3">
        <v>415</v>
      </c>
      <c r="B416" s="19">
        <v>45948</v>
      </c>
      <c r="C416" s="5" t="s">
        <v>40</v>
      </c>
      <c r="D416" s="5" t="s">
        <v>41</v>
      </c>
      <c r="E416" s="6" t="s">
        <v>42</v>
      </c>
      <c r="F416" s="7" t="s">
        <v>72</v>
      </c>
      <c r="G416" s="5" t="s">
        <v>44</v>
      </c>
      <c r="H416" s="5" t="s">
        <v>45</v>
      </c>
      <c r="I416" s="5">
        <v>6</v>
      </c>
      <c r="J416" s="5">
        <v>8</v>
      </c>
      <c r="K416" s="5">
        <v>33000</v>
      </c>
      <c r="L416" s="5">
        <v>2000</v>
      </c>
      <c r="M416" s="5">
        <v>55</v>
      </c>
      <c r="N416" s="5">
        <v>31</v>
      </c>
      <c r="O416" s="17" t="s">
        <v>73</v>
      </c>
      <c r="P416" s="8"/>
      <c r="Q416" s="18">
        <v>8.819444444444445E-2</v>
      </c>
      <c r="R416" s="18">
        <v>0.1645601851851852</v>
      </c>
      <c r="S416" s="17">
        <v>34030</v>
      </c>
      <c r="T416" s="18">
        <v>0.31182870370370369</v>
      </c>
      <c r="U416" s="18">
        <v>0.3119675925925926</v>
      </c>
      <c r="V416" s="17">
        <v>34099</v>
      </c>
      <c r="W416" s="17">
        <v>34</v>
      </c>
      <c r="X416" s="17">
        <v>31</v>
      </c>
      <c r="Y416" s="12">
        <v>3</v>
      </c>
      <c r="Z416" s="12">
        <v>69</v>
      </c>
      <c r="AA416" s="12">
        <v>69</v>
      </c>
      <c r="AB416" s="12">
        <v>0</v>
      </c>
      <c r="AC416" s="12">
        <v>0</v>
      </c>
      <c r="AD416" s="13">
        <v>0</v>
      </c>
      <c r="AE416" s="12">
        <v>0</v>
      </c>
      <c r="AF416" s="14">
        <v>0</v>
      </c>
      <c r="AG416" s="5">
        <v>0</v>
      </c>
      <c r="AH416" s="5">
        <v>0</v>
      </c>
      <c r="AI416" s="5">
        <v>0</v>
      </c>
      <c r="AJ416" s="5">
        <v>1064.52</v>
      </c>
      <c r="AK416" s="5">
        <v>0</v>
      </c>
      <c r="AL416" s="5">
        <v>1064.52</v>
      </c>
      <c r="AM416" s="8"/>
      <c r="AN416" s="8"/>
    </row>
    <row r="417" spans="1:40" ht="16" thickBot="1">
      <c r="A417" s="3">
        <v>416</v>
      </c>
      <c r="B417" s="19">
        <v>45948</v>
      </c>
      <c r="C417" s="5" t="s">
        <v>40</v>
      </c>
      <c r="D417" s="5" t="s">
        <v>41</v>
      </c>
      <c r="E417" s="6" t="s">
        <v>42</v>
      </c>
      <c r="F417" s="7" t="s">
        <v>74</v>
      </c>
      <c r="G417" s="5" t="s">
        <v>44</v>
      </c>
      <c r="H417" s="5" t="s">
        <v>45</v>
      </c>
      <c r="I417" s="5">
        <v>4</v>
      </c>
      <c r="J417" s="5">
        <v>8</v>
      </c>
      <c r="K417" s="5">
        <v>25000</v>
      </c>
      <c r="L417" s="5">
        <v>1000</v>
      </c>
      <c r="M417" s="5">
        <v>55</v>
      </c>
      <c r="N417" s="5">
        <v>31</v>
      </c>
      <c r="O417" s="17" t="s">
        <v>136</v>
      </c>
      <c r="P417" s="8"/>
      <c r="Q417" s="18">
        <v>4.7222222222222221E-2</v>
      </c>
      <c r="R417" s="18">
        <v>0.16043981481481481</v>
      </c>
      <c r="S417" s="17">
        <v>39027</v>
      </c>
      <c r="T417" s="18">
        <v>0.29496527777777776</v>
      </c>
      <c r="U417" s="18">
        <v>0.29506944444444444</v>
      </c>
      <c r="V417" s="17">
        <v>39044</v>
      </c>
      <c r="W417" s="17">
        <v>30</v>
      </c>
      <c r="X417" s="17">
        <v>40</v>
      </c>
      <c r="Y417" s="12">
        <v>-10</v>
      </c>
      <c r="Z417" s="12">
        <v>17</v>
      </c>
      <c r="AA417" s="12">
        <v>17</v>
      </c>
      <c r="AB417" s="12">
        <v>0</v>
      </c>
      <c r="AC417" s="12">
        <v>0</v>
      </c>
      <c r="AD417" s="13">
        <v>0</v>
      </c>
      <c r="AE417" s="12">
        <v>0</v>
      </c>
      <c r="AF417" s="14">
        <v>0</v>
      </c>
      <c r="AG417" s="5">
        <v>0</v>
      </c>
      <c r="AH417" s="5">
        <v>0</v>
      </c>
      <c r="AI417" s="5">
        <v>0</v>
      </c>
      <c r="AJ417" s="5">
        <v>806.45</v>
      </c>
      <c r="AK417" s="5">
        <v>0</v>
      </c>
      <c r="AL417" s="5">
        <v>806.45</v>
      </c>
      <c r="AM417" s="8"/>
      <c r="AN417" s="8"/>
    </row>
    <row r="418" spans="1:40" ht="16" thickBot="1">
      <c r="A418" s="3">
        <v>417</v>
      </c>
      <c r="B418" s="19">
        <v>45948</v>
      </c>
      <c r="C418" s="5" t="s">
        <v>40</v>
      </c>
      <c r="D418" s="5" t="s">
        <v>41</v>
      </c>
      <c r="E418" s="6" t="s">
        <v>42</v>
      </c>
      <c r="F418" s="7" t="s">
        <v>78</v>
      </c>
      <c r="G418" s="5" t="s">
        <v>44</v>
      </c>
      <c r="H418" s="5" t="s">
        <v>45</v>
      </c>
      <c r="I418" s="5">
        <v>4</v>
      </c>
      <c r="J418" s="5">
        <v>8</v>
      </c>
      <c r="K418" s="5">
        <v>25000</v>
      </c>
      <c r="L418" s="5">
        <v>1000</v>
      </c>
      <c r="M418" s="5">
        <v>55</v>
      </c>
      <c r="N418" s="5">
        <v>31</v>
      </c>
      <c r="O418" s="17" t="s">
        <v>79</v>
      </c>
      <c r="P418" s="8"/>
      <c r="Q418" s="18">
        <v>4.9305555555555554E-2</v>
      </c>
      <c r="R418" s="18">
        <v>0.15726851851851853</v>
      </c>
      <c r="S418" s="17">
        <v>7605</v>
      </c>
      <c r="T418" s="18">
        <v>0.33476851851851852</v>
      </c>
      <c r="U418" s="18">
        <v>0.33489583333333334</v>
      </c>
      <c r="V418" s="17">
        <v>7638</v>
      </c>
      <c r="W418" s="17">
        <v>20</v>
      </c>
      <c r="X418" s="17">
        <v>33</v>
      </c>
      <c r="Y418" s="12">
        <v>-13</v>
      </c>
      <c r="Z418" s="12">
        <v>33</v>
      </c>
      <c r="AA418" s="12">
        <v>33</v>
      </c>
      <c r="AB418" s="12">
        <v>0</v>
      </c>
      <c r="AC418" s="12">
        <v>0</v>
      </c>
      <c r="AD418" s="13">
        <v>1</v>
      </c>
      <c r="AE418" s="12">
        <v>150</v>
      </c>
      <c r="AF418" s="14">
        <v>0</v>
      </c>
      <c r="AG418" s="5">
        <v>0</v>
      </c>
      <c r="AH418" s="5">
        <v>0</v>
      </c>
      <c r="AI418" s="5">
        <v>0</v>
      </c>
      <c r="AJ418" s="5">
        <v>956.45</v>
      </c>
      <c r="AK418" s="5">
        <v>0</v>
      </c>
      <c r="AL418" s="5">
        <v>956.45</v>
      </c>
      <c r="AM418" s="8"/>
      <c r="AN418" s="8"/>
    </row>
    <row r="419" spans="1:40" ht="16" thickBot="1">
      <c r="A419" s="3">
        <v>418</v>
      </c>
      <c r="B419" s="19">
        <v>45948</v>
      </c>
      <c r="C419" s="5" t="s">
        <v>40</v>
      </c>
      <c r="D419" s="5" t="s">
        <v>41</v>
      </c>
      <c r="E419" s="6" t="s">
        <v>42</v>
      </c>
      <c r="F419" s="7" t="s">
        <v>80</v>
      </c>
      <c r="G419" s="5" t="s">
        <v>44</v>
      </c>
      <c r="H419" s="5" t="s">
        <v>45</v>
      </c>
      <c r="I419" s="5">
        <v>4</v>
      </c>
      <c r="J419" s="5">
        <v>8</v>
      </c>
      <c r="K419" s="5">
        <v>25000</v>
      </c>
      <c r="L419" s="5">
        <v>1000</v>
      </c>
      <c r="M419" s="5">
        <v>55</v>
      </c>
      <c r="N419" s="5">
        <v>31</v>
      </c>
      <c r="O419" s="17" t="s">
        <v>104</v>
      </c>
      <c r="P419" s="8"/>
      <c r="Q419" s="18">
        <v>4.7916666666666663E-2</v>
      </c>
      <c r="R419" s="18">
        <v>0.16008101851851853</v>
      </c>
      <c r="S419" s="17">
        <v>5364</v>
      </c>
      <c r="T419" s="18">
        <v>0.31145833333333334</v>
      </c>
      <c r="U419" s="18">
        <v>0.31157407407407406</v>
      </c>
      <c r="V419" s="17">
        <v>5379</v>
      </c>
      <c r="W419" s="17">
        <v>37</v>
      </c>
      <c r="X419" s="17">
        <v>50</v>
      </c>
      <c r="Y419" s="12">
        <v>-13</v>
      </c>
      <c r="Z419" s="12">
        <v>15</v>
      </c>
      <c r="AA419" s="12">
        <v>15</v>
      </c>
      <c r="AB419" s="12">
        <v>0</v>
      </c>
      <c r="AC419" s="12">
        <v>0</v>
      </c>
      <c r="AD419" s="13">
        <v>0</v>
      </c>
      <c r="AE419" s="12">
        <v>0</v>
      </c>
      <c r="AF419" s="14">
        <v>0</v>
      </c>
      <c r="AG419" s="5">
        <v>0</v>
      </c>
      <c r="AH419" s="5">
        <v>0</v>
      </c>
      <c r="AI419" s="5">
        <v>0</v>
      </c>
      <c r="AJ419" s="5">
        <v>806.45</v>
      </c>
      <c r="AK419" s="5">
        <v>0</v>
      </c>
      <c r="AL419" s="5">
        <v>806.45</v>
      </c>
      <c r="AM419" s="8"/>
      <c r="AN419" s="8"/>
    </row>
    <row r="420" spans="1:40" ht="16" thickBot="1">
      <c r="A420" s="3">
        <v>419</v>
      </c>
      <c r="B420" s="19">
        <v>45948</v>
      </c>
      <c r="C420" s="5" t="s">
        <v>40</v>
      </c>
      <c r="D420" s="5" t="s">
        <v>41</v>
      </c>
      <c r="E420" s="6" t="s">
        <v>42</v>
      </c>
      <c r="F420" s="7" t="s">
        <v>105</v>
      </c>
      <c r="G420" s="5" t="s">
        <v>44</v>
      </c>
      <c r="H420" s="5" t="s">
        <v>45</v>
      </c>
      <c r="I420" s="5">
        <v>4</v>
      </c>
      <c r="J420" s="5">
        <v>8</v>
      </c>
      <c r="K420" s="5">
        <v>25000</v>
      </c>
      <c r="L420" s="5">
        <v>1000</v>
      </c>
      <c r="M420" s="5">
        <v>55</v>
      </c>
      <c r="N420" s="5">
        <v>31</v>
      </c>
      <c r="O420" s="17" t="s">
        <v>95</v>
      </c>
      <c r="P420" s="8"/>
      <c r="Q420" s="18">
        <v>9.930555555555555E-2</v>
      </c>
      <c r="R420" s="18">
        <v>0.16035879629629629</v>
      </c>
      <c r="S420" s="17">
        <v>41624</v>
      </c>
      <c r="T420" s="18">
        <v>0.32780092592592591</v>
      </c>
      <c r="U420" s="18">
        <v>0.3323726851851852</v>
      </c>
      <c r="V420" s="17">
        <v>41654</v>
      </c>
      <c r="W420" s="17">
        <v>60</v>
      </c>
      <c r="X420" s="17">
        <v>26</v>
      </c>
      <c r="Y420" s="12">
        <v>34</v>
      </c>
      <c r="Z420" s="12">
        <v>30</v>
      </c>
      <c r="AA420" s="12">
        <v>30</v>
      </c>
      <c r="AB420" s="12">
        <v>0</v>
      </c>
      <c r="AC420" s="12">
        <v>0</v>
      </c>
      <c r="AD420" s="13">
        <v>0</v>
      </c>
      <c r="AE420" s="12">
        <v>0</v>
      </c>
      <c r="AF420" s="14">
        <v>0</v>
      </c>
      <c r="AG420" s="5">
        <v>0</v>
      </c>
      <c r="AH420" s="5">
        <v>0</v>
      </c>
      <c r="AI420" s="5">
        <v>0</v>
      </c>
      <c r="AJ420" s="5">
        <v>806.45</v>
      </c>
      <c r="AK420" s="5">
        <v>0</v>
      </c>
      <c r="AL420" s="5">
        <v>806.45</v>
      </c>
      <c r="AM420" s="8"/>
      <c r="AN420" s="8"/>
    </row>
    <row r="421" spans="1:40" ht="16" thickBot="1">
      <c r="A421" s="3">
        <v>420</v>
      </c>
      <c r="B421" s="19">
        <v>45948</v>
      </c>
      <c r="C421" s="5" t="s">
        <v>40</v>
      </c>
      <c r="D421" s="5" t="s">
        <v>41</v>
      </c>
      <c r="E421" s="6" t="s">
        <v>42</v>
      </c>
      <c r="F421" s="7" t="s">
        <v>85</v>
      </c>
      <c r="G421" s="10" t="s">
        <v>83</v>
      </c>
      <c r="H421" s="5" t="s">
        <v>84</v>
      </c>
      <c r="I421" s="5">
        <v>4</v>
      </c>
      <c r="J421" s="5">
        <v>10</v>
      </c>
      <c r="K421" s="6">
        <v>29000</v>
      </c>
      <c r="L421" s="5">
        <v>1000</v>
      </c>
      <c r="M421" s="5">
        <v>55</v>
      </c>
      <c r="N421" s="5">
        <v>31</v>
      </c>
      <c r="O421" s="17" t="s">
        <v>183</v>
      </c>
      <c r="P421" s="8"/>
      <c r="Q421" s="18">
        <v>6.3194444444444442E-2</v>
      </c>
      <c r="R421" s="18">
        <v>0.16489583333333332</v>
      </c>
      <c r="S421" s="17">
        <v>39152</v>
      </c>
      <c r="T421" s="18">
        <v>0.30822916666666667</v>
      </c>
      <c r="U421" s="18">
        <v>0.30842592592592594</v>
      </c>
      <c r="V421" s="17">
        <v>39176</v>
      </c>
      <c r="W421" s="17">
        <v>40</v>
      </c>
      <c r="X421" s="17">
        <v>38</v>
      </c>
      <c r="Y421" s="12">
        <v>2</v>
      </c>
      <c r="Z421" s="12">
        <v>24</v>
      </c>
      <c r="AA421" s="12">
        <v>24</v>
      </c>
      <c r="AB421" s="12">
        <v>0</v>
      </c>
      <c r="AC421" s="12">
        <v>0</v>
      </c>
      <c r="AD421" s="13">
        <v>0</v>
      </c>
      <c r="AE421" s="12">
        <v>0</v>
      </c>
      <c r="AF421" s="14">
        <v>0</v>
      </c>
      <c r="AG421" s="5">
        <v>0</v>
      </c>
      <c r="AH421" s="5">
        <v>0</v>
      </c>
      <c r="AI421" s="5">
        <v>0</v>
      </c>
      <c r="AJ421" s="5">
        <v>935.48</v>
      </c>
      <c r="AK421" s="5">
        <v>0</v>
      </c>
      <c r="AL421" s="5">
        <v>935.48</v>
      </c>
      <c r="AM421" s="8"/>
      <c r="AN421" s="8"/>
    </row>
    <row r="422" spans="1:40" ht="16" thickBot="1">
      <c r="A422" s="3">
        <v>421</v>
      </c>
      <c r="B422" s="19">
        <v>45948</v>
      </c>
      <c r="C422" s="5" t="s">
        <v>40</v>
      </c>
      <c r="D422" s="5" t="s">
        <v>41</v>
      </c>
      <c r="E422" s="6" t="s">
        <v>42</v>
      </c>
      <c r="F422" s="7" t="s">
        <v>87</v>
      </c>
      <c r="G422" s="10" t="s">
        <v>83</v>
      </c>
      <c r="H422" s="5" t="s">
        <v>84</v>
      </c>
      <c r="I422" s="5">
        <v>4</v>
      </c>
      <c r="J422" s="5">
        <v>10</v>
      </c>
      <c r="K422" s="6">
        <v>29000</v>
      </c>
      <c r="L422" s="5">
        <v>1000</v>
      </c>
      <c r="M422" s="5">
        <v>55</v>
      </c>
      <c r="N422" s="5">
        <v>31</v>
      </c>
      <c r="O422" s="17" t="s">
        <v>86</v>
      </c>
      <c r="P422" s="8"/>
      <c r="Q422" s="18">
        <v>0.10416666666666667</v>
      </c>
      <c r="R422" s="18">
        <v>0.16679398148148147</v>
      </c>
      <c r="S422" s="17">
        <v>3344</v>
      </c>
      <c r="T422" s="18">
        <v>0.32800925925925922</v>
      </c>
      <c r="U422" s="18">
        <v>0.32822916666666663</v>
      </c>
      <c r="V422" s="17">
        <v>3368</v>
      </c>
      <c r="W422" s="17">
        <v>44</v>
      </c>
      <c r="X422" s="17">
        <v>42</v>
      </c>
      <c r="Y422" s="12">
        <v>2</v>
      </c>
      <c r="Z422" s="12">
        <v>24</v>
      </c>
      <c r="AA422" s="12">
        <v>24</v>
      </c>
      <c r="AB422" s="12">
        <v>0</v>
      </c>
      <c r="AC422" s="12">
        <v>0</v>
      </c>
      <c r="AD422" s="13">
        <v>0</v>
      </c>
      <c r="AE422" s="12">
        <v>0</v>
      </c>
      <c r="AF422" s="14">
        <v>0</v>
      </c>
      <c r="AG422" s="5">
        <v>0</v>
      </c>
      <c r="AH422" s="5">
        <v>0</v>
      </c>
      <c r="AI422" s="5">
        <v>0</v>
      </c>
      <c r="AJ422" s="5">
        <v>935.48</v>
      </c>
      <c r="AK422" s="5">
        <v>0</v>
      </c>
      <c r="AL422" s="5">
        <v>935.48</v>
      </c>
      <c r="AM422" s="8"/>
      <c r="AN422" s="8"/>
    </row>
    <row r="423" spans="1:40" ht="16" thickBot="1">
      <c r="A423" s="3">
        <v>422</v>
      </c>
      <c r="B423" s="19">
        <v>45948</v>
      </c>
      <c r="C423" s="5" t="s">
        <v>40</v>
      </c>
      <c r="D423" s="5" t="s">
        <v>41</v>
      </c>
      <c r="E423" s="6" t="s">
        <v>42</v>
      </c>
      <c r="F423" s="7" t="s">
        <v>89</v>
      </c>
      <c r="G423" s="10" t="s">
        <v>83</v>
      </c>
      <c r="H423" s="5" t="s">
        <v>84</v>
      </c>
      <c r="I423" s="5">
        <v>4</v>
      </c>
      <c r="J423" s="5">
        <v>10</v>
      </c>
      <c r="K423" s="6">
        <v>29000</v>
      </c>
      <c r="L423" s="5">
        <v>1000</v>
      </c>
      <c r="M423" s="5">
        <v>55</v>
      </c>
      <c r="N423" s="5">
        <v>31</v>
      </c>
      <c r="O423" s="17" t="s">
        <v>153</v>
      </c>
      <c r="P423" s="8"/>
      <c r="Q423" s="18">
        <v>8.9583333333333334E-2</v>
      </c>
      <c r="R423" s="18">
        <v>0.1590162037037037</v>
      </c>
      <c r="S423" s="17">
        <v>139383</v>
      </c>
      <c r="T423" s="18">
        <v>0.35741898148148149</v>
      </c>
      <c r="U423" s="18">
        <v>0.35752314814814817</v>
      </c>
      <c r="V423" s="17">
        <v>139410</v>
      </c>
      <c r="W423" s="17">
        <v>30</v>
      </c>
      <c r="X423" s="17">
        <v>39</v>
      </c>
      <c r="Y423" s="12">
        <v>-9</v>
      </c>
      <c r="Z423" s="12">
        <v>27</v>
      </c>
      <c r="AA423" s="12">
        <v>27</v>
      </c>
      <c r="AB423" s="12">
        <v>0</v>
      </c>
      <c r="AC423" s="12">
        <v>0</v>
      </c>
      <c r="AD423" s="13">
        <v>1</v>
      </c>
      <c r="AE423" s="12">
        <v>150</v>
      </c>
      <c r="AF423" s="14">
        <v>0</v>
      </c>
      <c r="AG423" s="5">
        <v>0</v>
      </c>
      <c r="AH423" s="5">
        <v>0</v>
      </c>
      <c r="AI423" s="5">
        <v>0</v>
      </c>
      <c r="AJ423" s="5">
        <v>1085.48</v>
      </c>
      <c r="AK423" s="5">
        <v>0</v>
      </c>
      <c r="AL423" s="5">
        <v>1085.48</v>
      </c>
      <c r="AM423" s="8"/>
      <c r="AN423" s="8"/>
    </row>
    <row r="424" spans="1:40" ht="16" thickBot="1">
      <c r="A424" s="3">
        <v>423</v>
      </c>
      <c r="B424" s="19">
        <v>45949</v>
      </c>
      <c r="C424" s="5" t="s">
        <v>40</v>
      </c>
      <c r="D424" s="5" t="s">
        <v>41</v>
      </c>
      <c r="E424" s="6" t="s">
        <v>42</v>
      </c>
      <c r="F424" s="7" t="s">
        <v>57</v>
      </c>
      <c r="G424" s="5" t="s">
        <v>44</v>
      </c>
      <c r="H424" s="5" t="s">
        <v>45</v>
      </c>
      <c r="I424" s="5">
        <v>4</v>
      </c>
      <c r="J424" s="5">
        <v>8</v>
      </c>
      <c r="K424" s="5">
        <v>25000</v>
      </c>
      <c r="L424" s="5">
        <v>1000</v>
      </c>
      <c r="M424" s="5">
        <v>55</v>
      </c>
      <c r="N424" s="5">
        <v>31</v>
      </c>
      <c r="O424" s="17" t="s">
        <v>192</v>
      </c>
      <c r="P424" s="8"/>
      <c r="Q424" s="18">
        <v>4.7222222222222221E-2</v>
      </c>
      <c r="R424" s="18">
        <v>4.7222222222222221E-2</v>
      </c>
      <c r="S424" s="17">
        <v>144750</v>
      </c>
      <c r="T424" s="18">
        <v>0.36874999999999997</v>
      </c>
      <c r="U424" s="18">
        <v>0.36874999999999997</v>
      </c>
      <c r="V424" s="17">
        <v>144772</v>
      </c>
      <c r="W424" s="17">
        <v>34</v>
      </c>
      <c r="X424" s="17">
        <v>34</v>
      </c>
      <c r="Y424" s="12">
        <v>0</v>
      </c>
      <c r="Z424" s="12">
        <v>22</v>
      </c>
      <c r="AA424" s="12">
        <v>22</v>
      </c>
      <c r="AB424" s="12">
        <v>0</v>
      </c>
      <c r="AC424" s="12">
        <v>0</v>
      </c>
      <c r="AD424" s="13">
        <v>1</v>
      </c>
      <c r="AE424" s="12">
        <v>150</v>
      </c>
      <c r="AF424" s="14">
        <v>0</v>
      </c>
      <c r="AG424" s="5">
        <v>0</v>
      </c>
      <c r="AH424" s="5">
        <v>0</v>
      </c>
      <c r="AI424" s="5">
        <v>0</v>
      </c>
      <c r="AJ424" s="5">
        <v>956.45</v>
      </c>
      <c r="AK424" s="5">
        <v>0</v>
      </c>
      <c r="AL424" s="5">
        <v>956.45</v>
      </c>
      <c r="AM424" s="8"/>
      <c r="AN424" s="8"/>
    </row>
    <row r="425" spans="1:40" ht="16" thickBot="1">
      <c r="A425" s="3">
        <v>424</v>
      </c>
      <c r="B425" s="19">
        <v>45949</v>
      </c>
      <c r="C425" s="5" t="s">
        <v>40</v>
      </c>
      <c r="D425" s="5" t="s">
        <v>41</v>
      </c>
      <c r="E425" s="6" t="s">
        <v>42</v>
      </c>
      <c r="F425" s="7" t="s">
        <v>43</v>
      </c>
      <c r="G425" s="5" t="s">
        <v>44</v>
      </c>
      <c r="H425" s="5" t="s">
        <v>45</v>
      </c>
      <c r="I425" s="5">
        <v>4</v>
      </c>
      <c r="J425" s="5">
        <v>8</v>
      </c>
      <c r="K425" s="5">
        <v>25000</v>
      </c>
      <c r="L425" s="5">
        <v>1000</v>
      </c>
      <c r="M425" s="5">
        <v>55</v>
      </c>
      <c r="N425" s="5">
        <v>31</v>
      </c>
      <c r="O425" s="17" t="s">
        <v>193</v>
      </c>
      <c r="P425" s="8"/>
      <c r="Q425" s="18">
        <v>4.8611111111111112E-2</v>
      </c>
      <c r="R425" s="18">
        <v>4.8611111111111112E-2</v>
      </c>
      <c r="S425" s="17">
        <v>57764</v>
      </c>
      <c r="T425" s="18">
        <v>0.25625000000000003</v>
      </c>
      <c r="U425" s="18">
        <v>0.25625000000000003</v>
      </c>
      <c r="V425" s="17">
        <v>57778</v>
      </c>
      <c r="W425" s="17">
        <v>31</v>
      </c>
      <c r="X425" s="17">
        <v>31</v>
      </c>
      <c r="Y425" s="12">
        <v>0</v>
      </c>
      <c r="Z425" s="12">
        <v>14</v>
      </c>
      <c r="AA425" s="12">
        <v>14</v>
      </c>
      <c r="AB425" s="12">
        <v>0</v>
      </c>
      <c r="AC425" s="12">
        <v>0</v>
      </c>
      <c r="AD425" s="13">
        <v>0</v>
      </c>
      <c r="AE425" s="12">
        <v>0</v>
      </c>
      <c r="AF425" s="14">
        <v>0</v>
      </c>
      <c r="AG425" s="5">
        <v>0</v>
      </c>
      <c r="AH425" s="5">
        <v>0</v>
      </c>
      <c r="AI425" s="5">
        <v>0</v>
      </c>
      <c r="AJ425" s="5">
        <v>806.45</v>
      </c>
      <c r="AK425" s="5">
        <v>0</v>
      </c>
      <c r="AL425" s="5">
        <v>806.45</v>
      </c>
      <c r="AM425" s="8"/>
      <c r="AN425" s="8"/>
    </row>
    <row r="426" spans="1:40" ht="16" thickBot="1">
      <c r="A426" s="3">
        <v>425</v>
      </c>
      <c r="B426" s="19">
        <v>45949</v>
      </c>
      <c r="C426" s="5" t="s">
        <v>40</v>
      </c>
      <c r="D426" s="5" t="s">
        <v>41</v>
      </c>
      <c r="E426" s="6" t="s">
        <v>42</v>
      </c>
      <c r="F426" s="7" t="s">
        <v>120</v>
      </c>
      <c r="G426" s="5" t="s">
        <v>44</v>
      </c>
      <c r="H426" s="5" t="s">
        <v>45</v>
      </c>
      <c r="I426" s="5">
        <v>4</v>
      </c>
      <c r="J426" s="5">
        <v>8</v>
      </c>
      <c r="K426" s="5">
        <v>25000</v>
      </c>
      <c r="L426" s="5">
        <v>1000</v>
      </c>
      <c r="M426" s="5">
        <v>55</v>
      </c>
      <c r="N426" s="5">
        <v>31</v>
      </c>
      <c r="O426" s="17" t="s">
        <v>194</v>
      </c>
      <c r="P426" s="8"/>
      <c r="Q426" s="18">
        <v>4.9305555555555554E-2</v>
      </c>
      <c r="R426" s="18">
        <v>4.9305555555555554E-2</v>
      </c>
      <c r="S426" s="17">
        <v>15781</v>
      </c>
      <c r="T426" s="18">
        <v>0.2986111111111111</v>
      </c>
      <c r="U426" s="18">
        <v>0.2986111111111111</v>
      </c>
      <c r="V426" s="17">
        <v>15812</v>
      </c>
      <c r="W426" s="17">
        <v>27</v>
      </c>
      <c r="X426" s="17">
        <v>27</v>
      </c>
      <c r="Y426" s="12">
        <v>0</v>
      </c>
      <c r="Z426" s="12">
        <v>31</v>
      </c>
      <c r="AA426" s="12">
        <v>31</v>
      </c>
      <c r="AB426" s="12">
        <v>0</v>
      </c>
      <c r="AC426" s="12">
        <v>0</v>
      </c>
      <c r="AD426" s="13">
        <v>0</v>
      </c>
      <c r="AE426" s="12">
        <v>0</v>
      </c>
      <c r="AF426" s="14">
        <v>0</v>
      </c>
      <c r="AG426" s="5">
        <v>0</v>
      </c>
      <c r="AH426" s="5">
        <v>0</v>
      </c>
      <c r="AI426" s="5">
        <v>0</v>
      </c>
      <c r="AJ426" s="5">
        <v>806.45</v>
      </c>
      <c r="AK426" s="5">
        <v>0</v>
      </c>
      <c r="AL426" s="5">
        <v>806.45</v>
      </c>
      <c r="AM426" s="8"/>
      <c r="AN426" s="8"/>
    </row>
    <row r="427" spans="1:40" ht="16" thickBot="1">
      <c r="A427" s="3">
        <v>426</v>
      </c>
      <c r="B427" s="19">
        <v>45949</v>
      </c>
      <c r="C427" s="5" t="s">
        <v>40</v>
      </c>
      <c r="D427" s="5" t="s">
        <v>41</v>
      </c>
      <c r="E427" s="6" t="s">
        <v>42</v>
      </c>
      <c r="F427" s="7" t="s">
        <v>60</v>
      </c>
      <c r="G427" s="5" t="s">
        <v>44</v>
      </c>
      <c r="H427" s="5" t="s">
        <v>45</v>
      </c>
      <c r="I427" s="5">
        <v>4</v>
      </c>
      <c r="J427" s="5">
        <v>8</v>
      </c>
      <c r="K427" s="5">
        <v>25000</v>
      </c>
      <c r="L427" s="5">
        <v>1000</v>
      </c>
      <c r="M427" s="5">
        <v>55</v>
      </c>
      <c r="N427" s="5">
        <v>31</v>
      </c>
      <c r="O427" s="17" t="s">
        <v>195</v>
      </c>
      <c r="P427" s="8"/>
      <c r="Q427" s="18">
        <v>4.9305555555555554E-2</v>
      </c>
      <c r="R427" s="18">
        <v>4.9305555555555554E-2</v>
      </c>
      <c r="S427" s="17">
        <v>113672</v>
      </c>
      <c r="T427" s="18">
        <v>0.30486111111111108</v>
      </c>
      <c r="U427" s="18">
        <v>0.30486111111111108</v>
      </c>
      <c r="V427" s="17">
        <v>113687</v>
      </c>
      <c r="W427" s="17">
        <v>40</v>
      </c>
      <c r="X427" s="17">
        <v>40</v>
      </c>
      <c r="Y427" s="12">
        <v>0</v>
      </c>
      <c r="Z427" s="12">
        <v>15</v>
      </c>
      <c r="AA427" s="12">
        <v>15</v>
      </c>
      <c r="AB427" s="12">
        <v>0</v>
      </c>
      <c r="AC427" s="12">
        <v>0</v>
      </c>
      <c r="AD427" s="13">
        <v>0</v>
      </c>
      <c r="AE427" s="12">
        <v>0</v>
      </c>
      <c r="AF427" s="14">
        <v>0</v>
      </c>
      <c r="AG427" s="5">
        <v>0</v>
      </c>
      <c r="AH427" s="5">
        <v>0</v>
      </c>
      <c r="AI427" s="5">
        <v>0</v>
      </c>
      <c r="AJ427" s="5">
        <v>806.45</v>
      </c>
      <c r="AK427" s="5">
        <v>0</v>
      </c>
      <c r="AL427" s="5">
        <v>806.45</v>
      </c>
      <c r="AM427" s="8"/>
      <c r="AN427" s="8"/>
    </row>
    <row r="428" spans="1:40" ht="16" thickBot="1">
      <c r="A428" s="3">
        <v>427</v>
      </c>
      <c r="B428" s="19">
        <v>45949</v>
      </c>
      <c r="C428" s="5" t="s">
        <v>40</v>
      </c>
      <c r="D428" s="5" t="s">
        <v>41</v>
      </c>
      <c r="E428" s="6" t="s">
        <v>42</v>
      </c>
      <c r="F428" s="7" t="s">
        <v>74</v>
      </c>
      <c r="G428" s="5" t="s">
        <v>44</v>
      </c>
      <c r="H428" s="5" t="s">
        <v>45</v>
      </c>
      <c r="I428" s="5">
        <v>4</v>
      </c>
      <c r="J428" s="5">
        <v>8</v>
      </c>
      <c r="K428" s="5">
        <v>25000</v>
      </c>
      <c r="L428" s="5">
        <v>1000</v>
      </c>
      <c r="M428" s="5">
        <v>55</v>
      </c>
      <c r="N428" s="5">
        <v>31</v>
      </c>
      <c r="O428" s="17" t="s">
        <v>196</v>
      </c>
      <c r="P428" s="8"/>
      <c r="Q428" s="18">
        <v>4.9305555555555554E-2</v>
      </c>
      <c r="R428" s="18">
        <v>4.9305555555555554E-2</v>
      </c>
      <c r="S428" s="17">
        <v>39161</v>
      </c>
      <c r="T428" s="18">
        <v>0.30486111111111108</v>
      </c>
      <c r="U428" s="18">
        <v>0.30486111111111108</v>
      </c>
      <c r="V428" s="17">
        <v>39174</v>
      </c>
      <c r="W428" s="17">
        <v>29</v>
      </c>
      <c r="X428" s="17">
        <v>29</v>
      </c>
      <c r="Y428" s="12">
        <v>0</v>
      </c>
      <c r="Z428" s="12">
        <v>13</v>
      </c>
      <c r="AA428" s="12">
        <v>13</v>
      </c>
      <c r="AB428" s="12">
        <v>0</v>
      </c>
      <c r="AC428" s="12">
        <v>0</v>
      </c>
      <c r="AD428" s="13">
        <v>0</v>
      </c>
      <c r="AE428" s="12">
        <v>0</v>
      </c>
      <c r="AF428" s="14">
        <v>0</v>
      </c>
      <c r="AG428" s="5">
        <v>0</v>
      </c>
      <c r="AH428" s="5">
        <v>0</v>
      </c>
      <c r="AI428" s="5">
        <v>0</v>
      </c>
      <c r="AJ428" s="5">
        <v>806.45</v>
      </c>
      <c r="AK428" s="5">
        <v>0</v>
      </c>
      <c r="AL428" s="5">
        <v>806.45</v>
      </c>
      <c r="AM428" s="8"/>
      <c r="AN428" s="8"/>
    </row>
    <row r="429" spans="1:40" ht="16" thickBot="1">
      <c r="A429" s="3">
        <v>428</v>
      </c>
      <c r="B429" s="19">
        <v>45949</v>
      </c>
      <c r="C429" s="5" t="s">
        <v>40</v>
      </c>
      <c r="D429" s="5" t="s">
        <v>41</v>
      </c>
      <c r="E429" s="6" t="s">
        <v>42</v>
      </c>
      <c r="F429" s="7" t="s">
        <v>182</v>
      </c>
      <c r="G429" s="5" t="s">
        <v>44</v>
      </c>
      <c r="H429" s="5" t="s">
        <v>45</v>
      </c>
      <c r="I429" s="5">
        <v>4</v>
      </c>
      <c r="J429" s="5">
        <v>8</v>
      </c>
      <c r="K429" s="5">
        <v>25000</v>
      </c>
      <c r="L429" s="5">
        <v>1000</v>
      </c>
      <c r="M429" s="5">
        <v>55</v>
      </c>
      <c r="N429" s="5">
        <v>31</v>
      </c>
      <c r="O429" s="17" t="s">
        <v>197</v>
      </c>
      <c r="P429" s="8"/>
      <c r="Q429" s="18">
        <v>4.9999999999999996E-2</v>
      </c>
      <c r="R429" s="18">
        <v>4.9999999999999996E-2</v>
      </c>
      <c r="S429" s="17">
        <v>115943</v>
      </c>
      <c r="T429" s="18">
        <v>0.34027777777777773</v>
      </c>
      <c r="U429" s="18">
        <v>0.34027777777777773</v>
      </c>
      <c r="V429" s="17">
        <v>115968</v>
      </c>
      <c r="W429" s="17">
        <v>37</v>
      </c>
      <c r="X429" s="17">
        <v>37</v>
      </c>
      <c r="Y429" s="12">
        <v>0</v>
      </c>
      <c r="Z429" s="12">
        <v>25</v>
      </c>
      <c r="AA429" s="12">
        <v>25</v>
      </c>
      <c r="AB429" s="12">
        <v>0</v>
      </c>
      <c r="AC429" s="12">
        <v>0</v>
      </c>
      <c r="AD429" s="13">
        <v>1</v>
      </c>
      <c r="AE429" s="12">
        <v>150</v>
      </c>
      <c r="AF429" s="14">
        <v>0</v>
      </c>
      <c r="AG429" s="5">
        <v>0</v>
      </c>
      <c r="AH429" s="5">
        <v>0</v>
      </c>
      <c r="AI429" s="5">
        <v>0</v>
      </c>
      <c r="AJ429" s="5">
        <v>956.45</v>
      </c>
      <c r="AK429" s="5">
        <v>0</v>
      </c>
      <c r="AL429" s="5">
        <v>956.45</v>
      </c>
      <c r="AM429" s="8"/>
      <c r="AN429" s="8"/>
    </row>
    <row r="430" spans="1:40" ht="16" thickBot="1">
      <c r="A430" s="3">
        <v>429</v>
      </c>
      <c r="B430" s="19">
        <v>45949</v>
      </c>
      <c r="C430" s="5" t="s">
        <v>40</v>
      </c>
      <c r="D430" s="5" t="s">
        <v>41</v>
      </c>
      <c r="E430" s="6" t="s">
        <v>42</v>
      </c>
      <c r="F430" s="7" t="s">
        <v>68</v>
      </c>
      <c r="G430" s="5" t="s">
        <v>44</v>
      </c>
      <c r="H430" s="5" t="s">
        <v>45</v>
      </c>
      <c r="I430" s="5">
        <v>4</v>
      </c>
      <c r="J430" s="5">
        <v>8</v>
      </c>
      <c r="K430" s="5">
        <v>25000</v>
      </c>
      <c r="L430" s="5">
        <v>1000</v>
      </c>
      <c r="M430" s="5">
        <v>55</v>
      </c>
      <c r="N430" s="5">
        <v>31</v>
      </c>
      <c r="O430" s="17" t="s">
        <v>198</v>
      </c>
      <c r="P430" s="8"/>
      <c r="Q430" s="18">
        <v>4.9999999999999996E-2</v>
      </c>
      <c r="R430" s="18">
        <v>4.9999999999999996E-2</v>
      </c>
      <c r="S430" s="17">
        <v>84363</v>
      </c>
      <c r="T430" s="18">
        <v>0.3</v>
      </c>
      <c r="U430" s="18">
        <v>0.3</v>
      </c>
      <c r="V430" s="17">
        <v>84380</v>
      </c>
      <c r="W430" s="17">
        <v>17</v>
      </c>
      <c r="X430" s="17">
        <v>17</v>
      </c>
      <c r="Y430" s="12">
        <v>0</v>
      </c>
      <c r="Z430" s="12">
        <v>17</v>
      </c>
      <c r="AA430" s="12">
        <v>17</v>
      </c>
      <c r="AB430" s="12">
        <v>0</v>
      </c>
      <c r="AC430" s="12">
        <v>0</v>
      </c>
      <c r="AD430" s="13">
        <v>0</v>
      </c>
      <c r="AE430" s="12">
        <v>0</v>
      </c>
      <c r="AF430" s="14">
        <v>0</v>
      </c>
      <c r="AG430" s="5">
        <v>0</v>
      </c>
      <c r="AH430" s="5">
        <v>0</v>
      </c>
      <c r="AI430" s="5">
        <v>0</v>
      </c>
      <c r="AJ430" s="5">
        <v>806.45</v>
      </c>
      <c r="AK430" s="5">
        <v>0</v>
      </c>
      <c r="AL430" s="5">
        <v>806.45</v>
      </c>
      <c r="AM430" s="8"/>
      <c r="AN430" s="8"/>
    </row>
    <row r="431" spans="1:40" ht="16" thickBot="1">
      <c r="A431" s="3">
        <v>430</v>
      </c>
      <c r="B431" s="19">
        <v>45949</v>
      </c>
      <c r="C431" s="5" t="s">
        <v>40</v>
      </c>
      <c r="D431" s="5" t="s">
        <v>41</v>
      </c>
      <c r="E431" s="6" t="s">
        <v>42</v>
      </c>
      <c r="F431" s="7" t="s">
        <v>80</v>
      </c>
      <c r="G431" s="5" t="s">
        <v>44</v>
      </c>
      <c r="H431" s="5" t="s">
        <v>45</v>
      </c>
      <c r="I431" s="5">
        <v>4</v>
      </c>
      <c r="J431" s="5">
        <v>8</v>
      </c>
      <c r="K431" s="5">
        <v>25000</v>
      </c>
      <c r="L431" s="5">
        <v>1000</v>
      </c>
      <c r="M431" s="5">
        <v>55</v>
      </c>
      <c r="N431" s="5">
        <v>31</v>
      </c>
      <c r="O431" s="17" t="s">
        <v>199</v>
      </c>
      <c r="P431" s="8"/>
      <c r="Q431" s="18">
        <v>4.9999999999999996E-2</v>
      </c>
      <c r="R431" s="18">
        <v>4.9999999999999996E-2</v>
      </c>
      <c r="S431" s="17">
        <v>5482</v>
      </c>
      <c r="T431" s="18">
        <v>0.31736111111111115</v>
      </c>
      <c r="U431" s="18">
        <v>0.31736111111111115</v>
      </c>
      <c r="V431" s="17">
        <v>5497</v>
      </c>
      <c r="W431" s="17">
        <v>30</v>
      </c>
      <c r="X431" s="17">
        <v>30</v>
      </c>
      <c r="Y431" s="12">
        <v>0</v>
      </c>
      <c r="Z431" s="12">
        <v>15</v>
      </c>
      <c r="AA431" s="12">
        <v>15</v>
      </c>
      <c r="AB431" s="12">
        <v>0</v>
      </c>
      <c r="AC431" s="12">
        <v>0</v>
      </c>
      <c r="AD431" s="13">
        <v>0</v>
      </c>
      <c r="AE431" s="12">
        <v>0</v>
      </c>
      <c r="AF431" s="14">
        <v>0</v>
      </c>
      <c r="AG431" s="5">
        <v>0</v>
      </c>
      <c r="AH431" s="5">
        <v>0</v>
      </c>
      <c r="AI431" s="5">
        <v>0</v>
      </c>
      <c r="AJ431" s="5">
        <v>806.45</v>
      </c>
      <c r="AK431" s="5">
        <v>0</v>
      </c>
      <c r="AL431" s="5">
        <v>806.45</v>
      </c>
      <c r="AM431" s="8"/>
      <c r="AN431" s="8"/>
    </row>
    <row r="432" spans="1:40" ht="16" thickBot="1">
      <c r="A432" s="3">
        <v>431</v>
      </c>
      <c r="B432" s="19">
        <v>45949</v>
      </c>
      <c r="C432" s="5" t="s">
        <v>40</v>
      </c>
      <c r="D432" s="5" t="s">
        <v>41</v>
      </c>
      <c r="E432" s="6" t="s">
        <v>42</v>
      </c>
      <c r="F432" s="7" t="s">
        <v>78</v>
      </c>
      <c r="G432" s="5" t="s">
        <v>44</v>
      </c>
      <c r="H432" s="5" t="s">
        <v>45</v>
      </c>
      <c r="I432" s="5">
        <v>4</v>
      </c>
      <c r="J432" s="5">
        <v>8</v>
      </c>
      <c r="K432" s="5">
        <v>25000</v>
      </c>
      <c r="L432" s="5">
        <v>1000</v>
      </c>
      <c r="M432" s="5">
        <v>55</v>
      </c>
      <c r="N432" s="5">
        <v>31</v>
      </c>
      <c r="O432" s="17" t="s">
        <v>200</v>
      </c>
      <c r="P432" s="8"/>
      <c r="Q432" s="18">
        <v>5.1388888888888894E-2</v>
      </c>
      <c r="R432" s="18">
        <v>5.1388888888888894E-2</v>
      </c>
      <c r="S432" s="17">
        <v>7708</v>
      </c>
      <c r="T432" s="18">
        <v>0.29722222222222222</v>
      </c>
      <c r="U432" s="18">
        <v>0.29722222222222222</v>
      </c>
      <c r="V432" s="17">
        <v>7731</v>
      </c>
      <c r="W432" s="17">
        <v>27</v>
      </c>
      <c r="X432" s="17">
        <v>27</v>
      </c>
      <c r="Y432" s="12">
        <v>0</v>
      </c>
      <c r="Z432" s="12">
        <v>23</v>
      </c>
      <c r="AA432" s="12">
        <v>23</v>
      </c>
      <c r="AB432" s="12">
        <v>0</v>
      </c>
      <c r="AC432" s="12">
        <v>0</v>
      </c>
      <c r="AD432" s="13">
        <v>0</v>
      </c>
      <c r="AE432" s="12">
        <v>0</v>
      </c>
      <c r="AF432" s="14">
        <v>0</v>
      </c>
      <c r="AG432" s="5">
        <v>0</v>
      </c>
      <c r="AH432" s="5">
        <v>0</v>
      </c>
      <c r="AI432" s="5">
        <v>0</v>
      </c>
      <c r="AJ432" s="5">
        <v>806.45</v>
      </c>
      <c r="AK432" s="5">
        <v>0</v>
      </c>
      <c r="AL432" s="5">
        <v>806.45</v>
      </c>
      <c r="AM432" s="8"/>
      <c r="AN432" s="8"/>
    </row>
    <row r="433" spans="1:40" ht="16" thickBot="1">
      <c r="A433" s="3">
        <v>432</v>
      </c>
      <c r="B433" s="19">
        <v>45949</v>
      </c>
      <c r="C433" s="5" t="s">
        <v>40</v>
      </c>
      <c r="D433" s="5" t="s">
        <v>41</v>
      </c>
      <c r="E433" s="6" t="s">
        <v>42</v>
      </c>
      <c r="F433" s="7" t="s">
        <v>145</v>
      </c>
      <c r="G433" s="5" t="s">
        <v>44</v>
      </c>
      <c r="H433" s="5" t="s">
        <v>45</v>
      </c>
      <c r="I433" s="5">
        <v>4</v>
      </c>
      <c r="J433" s="5">
        <v>8</v>
      </c>
      <c r="K433" s="5">
        <v>25000</v>
      </c>
      <c r="L433" s="5">
        <v>1000</v>
      </c>
      <c r="M433" s="5">
        <v>55</v>
      </c>
      <c r="N433" s="5">
        <v>31</v>
      </c>
      <c r="O433" s="17" t="s">
        <v>201</v>
      </c>
      <c r="P433" s="8"/>
      <c r="Q433" s="18">
        <v>5.2083333333333336E-2</v>
      </c>
      <c r="R433" s="18">
        <v>5.2083333333333336E-2</v>
      </c>
      <c r="S433" s="17">
        <v>38619</v>
      </c>
      <c r="T433" s="18">
        <v>0.27986111111111112</v>
      </c>
      <c r="U433" s="18">
        <v>0.27986111111111112</v>
      </c>
      <c r="V433" s="17">
        <v>38619</v>
      </c>
      <c r="W433" s="17">
        <v>37</v>
      </c>
      <c r="X433" s="17">
        <v>37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3">
        <v>0</v>
      </c>
      <c r="AE433" s="12">
        <v>0</v>
      </c>
      <c r="AF433" s="14">
        <v>0</v>
      </c>
      <c r="AG433" s="5">
        <v>0</v>
      </c>
      <c r="AH433" s="5">
        <v>0</v>
      </c>
      <c r="AI433" s="5">
        <v>0</v>
      </c>
      <c r="AJ433" s="5">
        <v>806.45</v>
      </c>
      <c r="AK433" s="5">
        <v>0</v>
      </c>
      <c r="AL433" s="5">
        <v>806.45</v>
      </c>
      <c r="AM433" s="8"/>
      <c r="AN433" s="8"/>
    </row>
    <row r="434" spans="1:40" ht="16" thickBot="1">
      <c r="A434" s="3">
        <v>433</v>
      </c>
      <c r="B434" s="19">
        <v>45949</v>
      </c>
      <c r="C434" s="5" t="s">
        <v>40</v>
      </c>
      <c r="D434" s="5" t="s">
        <v>41</v>
      </c>
      <c r="E434" s="6" t="s">
        <v>42</v>
      </c>
      <c r="F434" s="7" t="s">
        <v>132</v>
      </c>
      <c r="G434" s="5" t="s">
        <v>44</v>
      </c>
      <c r="H434" s="5" t="s">
        <v>45</v>
      </c>
      <c r="I434" s="5">
        <v>4</v>
      </c>
      <c r="J434" s="5">
        <v>8</v>
      </c>
      <c r="K434" s="5">
        <v>25000</v>
      </c>
      <c r="L434" s="5">
        <v>1000</v>
      </c>
      <c r="M434" s="5">
        <v>55</v>
      </c>
      <c r="N434" s="5">
        <v>31</v>
      </c>
      <c r="O434" s="17" t="s">
        <v>202</v>
      </c>
      <c r="P434" s="8"/>
      <c r="Q434" s="18">
        <v>5.347222222222222E-2</v>
      </c>
      <c r="R434" s="18">
        <v>5.347222222222222E-2</v>
      </c>
      <c r="S434" s="17">
        <v>110639</v>
      </c>
      <c r="T434" s="18">
        <v>0.2951388888888889</v>
      </c>
      <c r="U434" s="18">
        <v>0.2951388888888889</v>
      </c>
      <c r="V434" s="17">
        <v>110652</v>
      </c>
      <c r="W434" s="17">
        <v>22</v>
      </c>
      <c r="X434" s="17">
        <v>22</v>
      </c>
      <c r="Y434" s="12">
        <v>0</v>
      </c>
      <c r="Z434" s="12">
        <v>13</v>
      </c>
      <c r="AA434" s="12">
        <v>13</v>
      </c>
      <c r="AB434" s="12">
        <v>0</v>
      </c>
      <c r="AC434" s="12">
        <v>0</v>
      </c>
      <c r="AD434" s="13">
        <v>0</v>
      </c>
      <c r="AE434" s="12">
        <v>0</v>
      </c>
      <c r="AF434" s="14">
        <v>0</v>
      </c>
      <c r="AG434" s="5">
        <v>0</v>
      </c>
      <c r="AH434" s="5">
        <v>0</v>
      </c>
      <c r="AI434" s="5">
        <v>0</v>
      </c>
      <c r="AJ434" s="5">
        <v>806.45</v>
      </c>
      <c r="AK434" s="5">
        <v>0</v>
      </c>
      <c r="AL434" s="5">
        <v>806.45</v>
      </c>
      <c r="AM434" s="8"/>
      <c r="AN434" s="8"/>
    </row>
    <row r="435" spans="1:40" ht="16" thickBot="1">
      <c r="A435" s="3">
        <v>434</v>
      </c>
      <c r="B435" s="19">
        <v>45949</v>
      </c>
      <c r="C435" s="5" t="s">
        <v>40</v>
      </c>
      <c r="D435" s="5" t="s">
        <v>41</v>
      </c>
      <c r="E435" s="6" t="s">
        <v>42</v>
      </c>
      <c r="F435" s="7" t="s">
        <v>97</v>
      </c>
      <c r="G435" s="5" t="s">
        <v>44</v>
      </c>
      <c r="H435" s="5" t="s">
        <v>45</v>
      </c>
      <c r="I435" s="5">
        <v>4</v>
      </c>
      <c r="J435" s="5">
        <v>8</v>
      </c>
      <c r="K435" s="5">
        <v>25000</v>
      </c>
      <c r="L435" s="5">
        <v>1000</v>
      </c>
      <c r="M435" s="5">
        <v>55</v>
      </c>
      <c r="N435" s="5">
        <v>31</v>
      </c>
      <c r="O435" s="17" t="s">
        <v>203</v>
      </c>
      <c r="P435" s="8"/>
      <c r="Q435" s="18">
        <v>5.9722222222222225E-2</v>
      </c>
      <c r="R435" s="18">
        <v>5.9722222222222225E-2</v>
      </c>
      <c r="S435" s="17">
        <v>78558</v>
      </c>
      <c r="T435" s="18">
        <v>0.30624999999999997</v>
      </c>
      <c r="U435" s="18">
        <v>0.30624999999999997</v>
      </c>
      <c r="V435" s="17">
        <v>78568</v>
      </c>
      <c r="W435" s="17">
        <v>23</v>
      </c>
      <c r="X435" s="17">
        <v>23</v>
      </c>
      <c r="Y435" s="12">
        <v>0</v>
      </c>
      <c r="Z435" s="12">
        <v>10</v>
      </c>
      <c r="AA435" s="12">
        <v>10</v>
      </c>
      <c r="AB435" s="12">
        <v>0</v>
      </c>
      <c r="AC435" s="12">
        <v>0</v>
      </c>
      <c r="AD435" s="13">
        <v>0</v>
      </c>
      <c r="AE435" s="12">
        <v>0</v>
      </c>
      <c r="AF435" s="14">
        <v>0</v>
      </c>
      <c r="AG435" s="5">
        <v>0</v>
      </c>
      <c r="AH435" s="5">
        <v>0</v>
      </c>
      <c r="AI435" s="5">
        <v>0</v>
      </c>
      <c r="AJ435" s="5">
        <v>806.45</v>
      </c>
      <c r="AK435" s="5">
        <v>0</v>
      </c>
      <c r="AL435" s="5">
        <v>806.45</v>
      </c>
      <c r="AM435" s="8"/>
      <c r="AN435" s="8"/>
    </row>
    <row r="436" spans="1:40" ht="16" thickBot="1">
      <c r="A436" s="3">
        <v>435</v>
      </c>
      <c r="B436" s="19">
        <v>45949</v>
      </c>
      <c r="C436" s="5" t="s">
        <v>40</v>
      </c>
      <c r="D436" s="5" t="s">
        <v>41</v>
      </c>
      <c r="E436" s="6" t="s">
        <v>42</v>
      </c>
      <c r="F436" s="7" t="s">
        <v>72</v>
      </c>
      <c r="G436" s="5" t="s">
        <v>44</v>
      </c>
      <c r="H436" s="5" t="s">
        <v>45</v>
      </c>
      <c r="I436" s="5">
        <v>6</v>
      </c>
      <c r="J436" s="5">
        <v>8</v>
      </c>
      <c r="K436" s="5">
        <v>33000</v>
      </c>
      <c r="L436" s="5">
        <v>2000</v>
      </c>
      <c r="M436" s="5">
        <v>55</v>
      </c>
      <c r="N436" s="5">
        <v>31</v>
      </c>
      <c r="O436" s="17" t="s">
        <v>204</v>
      </c>
      <c r="P436" s="8"/>
      <c r="Q436" s="18">
        <v>6.0416666666666667E-2</v>
      </c>
      <c r="R436" s="18">
        <v>6.0416666666666667E-2</v>
      </c>
      <c r="S436" s="17">
        <v>34209</v>
      </c>
      <c r="T436" s="18">
        <v>0.30624999999999997</v>
      </c>
      <c r="U436" s="18">
        <v>0.30624999999999997</v>
      </c>
      <c r="V436" s="17">
        <v>34275</v>
      </c>
      <c r="W436" s="17">
        <v>26</v>
      </c>
      <c r="X436" s="17">
        <v>26</v>
      </c>
      <c r="Y436" s="12">
        <v>0</v>
      </c>
      <c r="Z436" s="12">
        <v>66</v>
      </c>
      <c r="AA436" s="12">
        <v>66</v>
      </c>
      <c r="AB436" s="12">
        <v>0</v>
      </c>
      <c r="AC436" s="12">
        <v>0</v>
      </c>
      <c r="AD436" s="13">
        <v>0</v>
      </c>
      <c r="AE436" s="12">
        <v>0</v>
      </c>
      <c r="AF436" s="14">
        <v>0</v>
      </c>
      <c r="AG436" s="5">
        <v>0</v>
      </c>
      <c r="AH436" s="5">
        <v>0</v>
      </c>
      <c r="AI436" s="5">
        <v>0</v>
      </c>
      <c r="AJ436" s="5">
        <v>1064.52</v>
      </c>
      <c r="AK436" s="5">
        <v>0</v>
      </c>
      <c r="AL436" s="5">
        <v>1064.52</v>
      </c>
      <c r="AM436" s="8"/>
      <c r="AN436" s="8"/>
    </row>
    <row r="437" spans="1:40" ht="16" thickBot="1">
      <c r="A437" s="3">
        <v>436</v>
      </c>
      <c r="B437" s="19">
        <v>45949</v>
      </c>
      <c r="C437" s="5" t="s">
        <v>40</v>
      </c>
      <c r="D437" s="5" t="s">
        <v>41</v>
      </c>
      <c r="E437" s="6" t="s">
        <v>42</v>
      </c>
      <c r="F437" s="7" t="s">
        <v>176</v>
      </c>
      <c r="G437" s="5" t="s">
        <v>44</v>
      </c>
      <c r="H437" s="5" t="s">
        <v>45</v>
      </c>
      <c r="I437" s="5">
        <v>4</v>
      </c>
      <c r="J437" s="5">
        <v>8</v>
      </c>
      <c r="K437" s="5">
        <v>25000</v>
      </c>
      <c r="L437" s="5">
        <v>1000</v>
      </c>
      <c r="M437" s="5">
        <v>55</v>
      </c>
      <c r="N437" s="5">
        <v>31</v>
      </c>
      <c r="O437" s="17" t="s">
        <v>205</v>
      </c>
      <c r="P437" s="8"/>
      <c r="Q437" s="18">
        <v>6.8749999999999992E-2</v>
      </c>
      <c r="R437" s="18">
        <v>6.8749999999999992E-2</v>
      </c>
      <c r="S437" s="17">
        <v>165732</v>
      </c>
      <c r="T437" s="18">
        <v>0.29166666666666669</v>
      </c>
      <c r="U437" s="18">
        <v>0.29166666666666669</v>
      </c>
      <c r="V437" s="17">
        <v>165732</v>
      </c>
      <c r="W437" s="17">
        <v>33</v>
      </c>
      <c r="X437" s="17">
        <v>33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3">
        <v>0</v>
      </c>
      <c r="AE437" s="12">
        <v>0</v>
      </c>
      <c r="AF437" s="14">
        <v>0</v>
      </c>
      <c r="AG437" s="5">
        <v>0</v>
      </c>
      <c r="AH437" s="5">
        <v>0</v>
      </c>
      <c r="AI437" s="5">
        <v>0</v>
      </c>
      <c r="AJ437" s="5">
        <v>806.45</v>
      </c>
      <c r="AK437" s="5">
        <v>0</v>
      </c>
      <c r="AL437" s="5">
        <v>806.45</v>
      </c>
      <c r="AM437" s="8"/>
      <c r="AN437" s="8"/>
    </row>
    <row r="438" spans="1:40" ht="16" thickBot="1">
      <c r="A438" s="3">
        <v>437</v>
      </c>
      <c r="B438" s="19">
        <v>45949</v>
      </c>
      <c r="C438" s="5" t="s">
        <v>40</v>
      </c>
      <c r="D438" s="5" t="s">
        <v>41</v>
      </c>
      <c r="E438" s="6" t="s">
        <v>42</v>
      </c>
      <c r="F438" s="7" t="s">
        <v>64</v>
      </c>
      <c r="G438" s="5" t="s">
        <v>44</v>
      </c>
      <c r="H438" s="5" t="s">
        <v>45</v>
      </c>
      <c r="I438" s="5">
        <v>4</v>
      </c>
      <c r="J438" s="5">
        <v>8</v>
      </c>
      <c r="K438" s="5">
        <v>25000</v>
      </c>
      <c r="L438" s="5">
        <v>1000</v>
      </c>
      <c r="M438" s="5">
        <v>55</v>
      </c>
      <c r="N438" s="5">
        <v>31</v>
      </c>
      <c r="O438" s="17" t="s">
        <v>206</v>
      </c>
      <c r="P438" s="8"/>
      <c r="Q438" s="18">
        <v>6.9444444444444434E-2</v>
      </c>
      <c r="R438" s="18">
        <v>6.9444444444444434E-2</v>
      </c>
      <c r="S438" s="17">
        <v>75753</v>
      </c>
      <c r="T438" s="18">
        <v>0.30624999999999997</v>
      </c>
      <c r="U438" s="18">
        <v>0.30624999999999997</v>
      </c>
      <c r="V438" s="17">
        <v>75780</v>
      </c>
      <c r="W438" s="17">
        <v>0</v>
      </c>
      <c r="X438" s="17">
        <v>0</v>
      </c>
      <c r="Y438" s="12">
        <v>0</v>
      </c>
      <c r="Z438" s="12">
        <v>27</v>
      </c>
      <c r="AA438" s="12">
        <v>27</v>
      </c>
      <c r="AB438" s="12">
        <v>0</v>
      </c>
      <c r="AC438" s="12">
        <v>0</v>
      </c>
      <c r="AD438" s="13">
        <v>0</v>
      </c>
      <c r="AE438" s="12">
        <v>0</v>
      </c>
      <c r="AF438" s="14">
        <v>0</v>
      </c>
      <c r="AG438" s="5">
        <v>0</v>
      </c>
      <c r="AH438" s="5">
        <v>0</v>
      </c>
      <c r="AI438" s="5">
        <v>0</v>
      </c>
      <c r="AJ438" s="5">
        <v>806.45</v>
      </c>
      <c r="AK438" s="5">
        <v>0</v>
      </c>
      <c r="AL438" s="5">
        <v>806.45</v>
      </c>
      <c r="AM438" s="8"/>
      <c r="AN438" s="8"/>
    </row>
    <row r="439" spans="1:40" ht="16" thickBot="1">
      <c r="A439" s="3">
        <v>438</v>
      </c>
      <c r="B439" s="19">
        <v>45949</v>
      </c>
      <c r="C439" s="5" t="s">
        <v>40</v>
      </c>
      <c r="D439" s="5" t="s">
        <v>41</v>
      </c>
      <c r="E439" s="6" t="s">
        <v>42</v>
      </c>
      <c r="F439" s="7" t="s">
        <v>101</v>
      </c>
      <c r="G439" s="5" t="s">
        <v>44</v>
      </c>
      <c r="H439" s="5" t="s">
        <v>45</v>
      </c>
      <c r="I439" s="5">
        <v>4</v>
      </c>
      <c r="J439" s="5">
        <v>8</v>
      </c>
      <c r="K439" s="5">
        <v>25000</v>
      </c>
      <c r="L439" s="5">
        <v>1000</v>
      </c>
      <c r="M439" s="5">
        <v>55</v>
      </c>
      <c r="N439" s="5">
        <v>31</v>
      </c>
      <c r="O439" s="17" t="s">
        <v>207</v>
      </c>
      <c r="P439" s="8"/>
      <c r="Q439" s="18">
        <v>7.4305555555555555E-2</v>
      </c>
      <c r="R439" s="18">
        <v>7.4305555555555555E-2</v>
      </c>
      <c r="S439" s="17">
        <v>118593</v>
      </c>
      <c r="T439" s="18">
        <v>0.30486111111111108</v>
      </c>
      <c r="U439" s="18">
        <v>0.30486111111111108</v>
      </c>
      <c r="V439" s="17">
        <v>118627</v>
      </c>
      <c r="W439" s="17">
        <v>11</v>
      </c>
      <c r="X439" s="17">
        <v>11</v>
      </c>
      <c r="Y439" s="12">
        <v>0</v>
      </c>
      <c r="Z439" s="12">
        <v>34</v>
      </c>
      <c r="AA439" s="12">
        <v>34</v>
      </c>
      <c r="AB439" s="12">
        <v>0</v>
      </c>
      <c r="AC439" s="12">
        <v>0</v>
      </c>
      <c r="AD439" s="13">
        <v>0</v>
      </c>
      <c r="AE439" s="12">
        <v>0</v>
      </c>
      <c r="AF439" s="14">
        <v>0</v>
      </c>
      <c r="AG439" s="5">
        <v>0</v>
      </c>
      <c r="AH439" s="5">
        <v>0</v>
      </c>
      <c r="AI439" s="5">
        <v>0</v>
      </c>
      <c r="AJ439" s="5">
        <v>806.45</v>
      </c>
      <c r="AK439" s="5">
        <v>0</v>
      </c>
      <c r="AL439" s="5">
        <v>806.45</v>
      </c>
      <c r="AM439" s="8"/>
      <c r="AN439" s="8"/>
    </row>
    <row r="440" spans="1:40" ht="16" thickBot="1">
      <c r="A440" s="3">
        <v>439</v>
      </c>
      <c r="B440" s="19">
        <v>45949</v>
      </c>
      <c r="C440" s="5" t="s">
        <v>40</v>
      </c>
      <c r="D440" s="5" t="s">
        <v>41</v>
      </c>
      <c r="E440" s="6" t="s">
        <v>42</v>
      </c>
      <c r="F440" s="7" t="s">
        <v>49</v>
      </c>
      <c r="G440" s="5" t="s">
        <v>44</v>
      </c>
      <c r="H440" s="5" t="s">
        <v>45</v>
      </c>
      <c r="I440" s="5">
        <v>6</v>
      </c>
      <c r="J440" s="5">
        <v>8</v>
      </c>
      <c r="K440" s="5">
        <v>33000</v>
      </c>
      <c r="L440" s="5">
        <v>2000</v>
      </c>
      <c r="M440" s="5">
        <v>55</v>
      </c>
      <c r="N440" s="5">
        <v>31</v>
      </c>
      <c r="O440" s="17" t="s">
        <v>208</v>
      </c>
      <c r="P440" s="8"/>
      <c r="Q440" s="18">
        <v>7.4999999999999997E-2</v>
      </c>
      <c r="R440" s="18">
        <v>7.4999999999999997E-2</v>
      </c>
      <c r="S440" s="17">
        <v>101037</v>
      </c>
      <c r="T440" s="18">
        <v>0.34027777777777773</v>
      </c>
      <c r="U440" s="18">
        <v>0.34027777777777773</v>
      </c>
      <c r="V440" s="17">
        <v>101079</v>
      </c>
      <c r="W440" s="17">
        <v>97</v>
      </c>
      <c r="X440" s="17">
        <v>97</v>
      </c>
      <c r="Y440" s="12">
        <v>0</v>
      </c>
      <c r="Z440" s="12">
        <v>42</v>
      </c>
      <c r="AA440" s="12">
        <v>42</v>
      </c>
      <c r="AB440" s="12">
        <v>0</v>
      </c>
      <c r="AC440" s="12">
        <v>0</v>
      </c>
      <c r="AD440" s="13">
        <v>0</v>
      </c>
      <c r="AE440" s="12">
        <v>0</v>
      </c>
      <c r="AF440" s="14">
        <v>0</v>
      </c>
      <c r="AG440" s="5">
        <v>0</v>
      </c>
      <c r="AH440" s="5">
        <v>0</v>
      </c>
      <c r="AI440" s="5">
        <v>0</v>
      </c>
      <c r="AJ440" s="5">
        <v>1064.52</v>
      </c>
      <c r="AK440" s="5">
        <v>0</v>
      </c>
      <c r="AL440" s="5">
        <v>1064.52</v>
      </c>
      <c r="AM440" s="8"/>
      <c r="AN440" s="8"/>
    </row>
    <row r="441" spans="1:40" ht="16" thickBot="1">
      <c r="A441" s="3">
        <v>440</v>
      </c>
      <c r="B441" s="19">
        <v>45949</v>
      </c>
      <c r="C441" s="5" t="s">
        <v>40</v>
      </c>
      <c r="D441" s="5" t="s">
        <v>41</v>
      </c>
      <c r="E441" s="6" t="s">
        <v>42</v>
      </c>
      <c r="F441" s="7" t="s">
        <v>85</v>
      </c>
      <c r="G441" s="10" t="s">
        <v>83</v>
      </c>
      <c r="H441" s="5" t="s">
        <v>84</v>
      </c>
      <c r="I441" s="5">
        <v>4</v>
      </c>
      <c r="J441" s="5">
        <v>10</v>
      </c>
      <c r="K441" s="6">
        <v>29000</v>
      </c>
      <c r="L441" s="5">
        <v>1000</v>
      </c>
      <c r="M441" s="5">
        <v>55</v>
      </c>
      <c r="N441" s="5">
        <v>31</v>
      </c>
      <c r="O441" s="17" t="s">
        <v>209</v>
      </c>
      <c r="P441" s="8"/>
      <c r="Q441" s="18">
        <v>8.5416666666666655E-2</v>
      </c>
      <c r="R441" s="18">
        <v>8.5416666666666655E-2</v>
      </c>
      <c r="S441" s="17">
        <v>39244</v>
      </c>
      <c r="T441" s="18">
        <v>0.30555555555555552</v>
      </c>
      <c r="U441" s="18">
        <v>0.30555555555555552</v>
      </c>
      <c r="V441" s="17">
        <v>39264</v>
      </c>
      <c r="W441" s="17">
        <v>43</v>
      </c>
      <c r="X441" s="17">
        <v>43</v>
      </c>
      <c r="Y441" s="12">
        <v>0</v>
      </c>
      <c r="Z441" s="12">
        <v>20</v>
      </c>
      <c r="AA441" s="12">
        <v>20</v>
      </c>
      <c r="AB441" s="12">
        <v>0</v>
      </c>
      <c r="AC441" s="12">
        <v>0</v>
      </c>
      <c r="AD441" s="13">
        <v>0</v>
      </c>
      <c r="AE441" s="12">
        <v>0</v>
      </c>
      <c r="AF441" s="14">
        <v>0</v>
      </c>
      <c r="AG441" s="5">
        <v>0</v>
      </c>
      <c r="AH441" s="5">
        <v>0</v>
      </c>
      <c r="AI441" s="5">
        <v>0</v>
      </c>
      <c r="AJ441" s="5">
        <v>935.48</v>
      </c>
      <c r="AK441" s="5">
        <v>0</v>
      </c>
      <c r="AL441" s="5">
        <v>935.48</v>
      </c>
      <c r="AM441" s="8"/>
      <c r="AN441" s="8"/>
    </row>
    <row r="442" spans="1:40" ht="16" thickBot="1">
      <c r="A442" s="3">
        <v>441</v>
      </c>
      <c r="B442" s="19">
        <v>45949</v>
      </c>
      <c r="C442" s="5" t="s">
        <v>40</v>
      </c>
      <c r="D442" s="5" t="s">
        <v>41</v>
      </c>
      <c r="E442" s="6" t="s">
        <v>42</v>
      </c>
      <c r="F442" s="7" t="s">
        <v>55</v>
      </c>
      <c r="G442" s="5" t="s">
        <v>44</v>
      </c>
      <c r="H442" s="5" t="s">
        <v>45</v>
      </c>
      <c r="I442" s="5">
        <v>4</v>
      </c>
      <c r="J442" s="5">
        <v>8</v>
      </c>
      <c r="K442" s="5">
        <v>25000</v>
      </c>
      <c r="L442" s="5">
        <v>1000</v>
      </c>
      <c r="M442" s="5">
        <v>55</v>
      </c>
      <c r="N442" s="5">
        <v>31</v>
      </c>
      <c r="O442" s="17" t="s">
        <v>210</v>
      </c>
      <c r="P442" s="8"/>
      <c r="Q442" s="18">
        <v>8.819444444444445E-2</v>
      </c>
      <c r="R442" s="18">
        <v>8.819444444444445E-2</v>
      </c>
      <c r="S442" s="17">
        <v>145420</v>
      </c>
      <c r="T442" s="18">
        <v>0.27638888888888885</v>
      </c>
      <c r="U442" s="18">
        <v>0.27638888888888885</v>
      </c>
      <c r="V442" s="17">
        <v>145438</v>
      </c>
      <c r="W442" s="17">
        <v>20</v>
      </c>
      <c r="X442" s="17">
        <v>20</v>
      </c>
      <c r="Y442" s="12">
        <v>0</v>
      </c>
      <c r="Z442" s="12">
        <v>18</v>
      </c>
      <c r="AA442" s="12">
        <v>18</v>
      </c>
      <c r="AB442" s="12">
        <v>0</v>
      </c>
      <c r="AC442" s="12">
        <v>0</v>
      </c>
      <c r="AD442" s="13">
        <v>0</v>
      </c>
      <c r="AE442" s="12">
        <v>0</v>
      </c>
      <c r="AF442" s="14">
        <v>0</v>
      </c>
      <c r="AG442" s="5">
        <v>0</v>
      </c>
      <c r="AH442" s="5">
        <v>0</v>
      </c>
      <c r="AI442" s="5">
        <v>0</v>
      </c>
      <c r="AJ442" s="5">
        <v>806.45</v>
      </c>
      <c r="AK442" s="5">
        <v>0</v>
      </c>
      <c r="AL442" s="5">
        <v>806.45</v>
      </c>
      <c r="AM442" s="8"/>
      <c r="AN442" s="8"/>
    </row>
    <row r="443" spans="1:40" ht="16" thickBot="1">
      <c r="A443" s="3">
        <v>442</v>
      </c>
      <c r="B443" s="19">
        <v>45949</v>
      </c>
      <c r="C443" s="5" t="s">
        <v>40</v>
      </c>
      <c r="D443" s="5" t="s">
        <v>41</v>
      </c>
      <c r="E443" s="6" t="s">
        <v>42</v>
      </c>
      <c r="F443" s="7" t="s">
        <v>89</v>
      </c>
      <c r="G443" s="10" t="s">
        <v>83</v>
      </c>
      <c r="H443" s="5" t="s">
        <v>84</v>
      </c>
      <c r="I443" s="5">
        <v>4</v>
      </c>
      <c r="J443" s="5">
        <v>10</v>
      </c>
      <c r="K443" s="6">
        <v>29000</v>
      </c>
      <c r="L443" s="5">
        <v>1000</v>
      </c>
      <c r="M443" s="5">
        <v>55</v>
      </c>
      <c r="N443" s="5">
        <v>31</v>
      </c>
      <c r="O443" s="17" t="s">
        <v>211</v>
      </c>
      <c r="P443" s="8"/>
      <c r="Q443" s="18">
        <v>9.0277777777777776E-2</v>
      </c>
      <c r="R443" s="18">
        <v>9.0277777777777776E-2</v>
      </c>
      <c r="S443" s="17">
        <v>139448</v>
      </c>
      <c r="T443" s="18">
        <v>0.30486111111111108</v>
      </c>
      <c r="U443" s="18">
        <v>0.30486111111111108</v>
      </c>
      <c r="V443" s="17">
        <v>139477</v>
      </c>
      <c r="W443" s="17">
        <v>89</v>
      </c>
      <c r="X443" s="17">
        <v>89</v>
      </c>
      <c r="Y443" s="12">
        <v>0</v>
      </c>
      <c r="Z443" s="12">
        <v>29</v>
      </c>
      <c r="AA443" s="12">
        <v>29</v>
      </c>
      <c r="AB443" s="12">
        <v>0</v>
      </c>
      <c r="AC443" s="12">
        <v>0</v>
      </c>
      <c r="AD443" s="13">
        <v>0</v>
      </c>
      <c r="AE443" s="12">
        <v>0</v>
      </c>
      <c r="AF443" s="14">
        <v>0</v>
      </c>
      <c r="AG443" s="5">
        <v>0</v>
      </c>
      <c r="AH443" s="5">
        <v>0</v>
      </c>
      <c r="AI443" s="5">
        <v>0</v>
      </c>
      <c r="AJ443" s="5">
        <v>935.48</v>
      </c>
      <c r="AK443" s="5">
        <v>0</v>
      </c>
      <c r="AL443" s="5">
        <v>935.48</v>
      </c>
      <c r="AM443" s="8"/>
      <c r="AN443" s="8"/>
    </row>
    <row r="444" spans="1:40" ht="16" thickBot="1">
      <c r="A444" s="3">
        <v>443</v>
      </c>
      <c r="B444" s="19">
        <v>45949</v>
      </c>
      <c r="C444" s="5" t="s">
        <v>40</v>
      </c>
      <c r="D444" s="5" t="s">
        <v>41</v>
      </c>
      <c r="E444" s="6" t="s">
        <v>42</v>
      </c>
      <c r="F444" s="7" t="s">
        <v>177</v>
      </c>
      <c r="G444" s="5" t="s">
        <v>44</v>
      </c>
      <c r="H444" s="5" t="s">
        <v>45</v>
      </c>
      <c r="I444" s="5">
        <v>4</v>
      </c>
      <c r="J444" s="5">
        <v>8</v>
      </c>
      <c r="K444" s="5">
        <v>25000</v>
      </c>
      <c r="L444" s="5">
        <v>1000</v>
      </c>
      <c r="M444" s="5">
        <v>55</v>
      </c>
      <c r="N444" s="5">
        <v>31</v>
      </c>
      <c r="O444" s="17" t="s">
        <v>212</v>
      </c>
      <c r="P444" s="8"/>
      <c r="Q444" s="18">
        <v>9.6527777777777768E-2</v>
      </c>
      <c r="R444" s="18">
        <v>9.6527777777777768E-2</v>
      </c>
      <c r="S444" s="17">
        <v>89202</v>
      </c>
      <c r="T444" s="18">
        <v>0.29166666666666669</v>
      </c>
      <c r="U444" s="18">
        <v>0.29166666666666669</v>
      </c>
      <c r="V444" s="17">
        <v>89202</v>
      </c>
      <c r="W444" s="17">
        <v>60</v>
      </c>
      <c r="X444" s="17">
        <v>60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3">
        <v>0</v>
      </c>
      <c r="AE444" s="12">
        <v>0</v>
      </c>
      <c r="AF444" s="14">
        <v>0</v>
      </c>
      <c r="AG444" s="5">
        <v>0</v>
      </c>
      <c r="AH444" s="5">
        <v>0</v>
      </c>
      <c r="AI444" s="5">
        <v>0</v>
      </c>
      <c r="AJ444" s="5">
        <v>806.45</v>
      </c>
      <c r="AK444" s="5">
        <v>0</v>
      </c>
      <c r="AL444" s="5">
        <v>806.45</v>
      </c>
      <c r="AM444" s="8"/>
      <c r="AN444" s="8"/>
    </row>
    <row r="445" spans="1:40" ht="16" thickBot="1">
      <c r="A445" s="3">
        <v>444</v>
      </c>
      <c r="B445" s="19">
        <v>45949</v>
      </c>
      <c r="C445" s="5" t="s">
        <v>40</v>
      </c>
      <c r="D445" s="5" t="s">
        <v>41</v>
      </c>
      <c r="E445" s="6" t="s">
        <v>42</v>
      </c>
      <c r="F445" s="7" t="s">
        <v>70</v>
      </c>
      <c r="G445" s="5" t="s">
        <v>44</v>
      </c>
      <c r="H445" s="5" t="s">
        <v>45</v>
      </c>
      <c r="I445" s="5">
        <v>4</v>
      </c>
      <c r="J445" s="5">
        <v>8</v>
      </c>
      <c r="K445" s="5">
        <v>25000</v>
      </c>
      <c r="L445" s="5">
        <v>1000</v>
      </c>
      <c r="M445" s="5">
        <v>55</v>
      </c>
      <c r="N445" s="5">
        <v>31</v>
      </c>
      <c r="O445" s="17" t="s">
        <v>213</v>
      </c>
      <c r="P445" s="8"/>
      <c r="Q445" s="18">
        <v>9.6527777777777768E-2</v>
      </c>
      <c r="R445" s="18">
        <v>9.6527777777777768E-2</v>
      </c>
      <c r="S445" s="17">
        <v>37135</v>
      </c>
      <c r="T445" s="18">
        <v>0.30972222222222223</v>
      </c>
      <c r="U445" s="18">
        <v>0.30972222222222223</v>
      </c>
      <c r="V445" s="17">
        <v>37170</v>
      </c>
      <c r="W445" s="17">
        <v>30</v>
      </c>
      <c r="X445" s="17">
        <v>30</v>
      </c>
      <c r="Y445" s="12">
        <v>0</v>
      </c>
      <c r="Z445" s="12">
        <v>35</v>
      </c>
      <c r="AA445" s="12">
        <v>35</v>
      </c>
      <c r="AB445" s="12">
        <v>0</v>
      </c>
      <c r="AC445" s="12">
        <v>0</v>
      </c>
      <c r="AD445" s="13">
        <v>0</v>
      </c>
      <c r="AE445" s="12">
        <v>0</v>
      </c>
      <c r="AF445" s="14">
        <v>0</v>
      </c>
      <c r="AG445" s="5">
        <v>0</v>
      </c>
      <c r="AH445" s="5">
        <v>0</v>
      </c>
      <c r="AI445" s="5">
        <v>0</v>
      </c>
      <c r="AJ445" s="5">
        <v>806.45</v>
      </c>
      <c r="AK445" s="5">
        <v>0</v>
      </c>
      <c r="AL445" s="5">
        <v>806.45</v>
      </c>
      <c r="AM445" s="8"/>
      <c r="AN445" s="8"/>
    </row>
    <row r="446" spans="1:40" ht="16" thickBot="1">
      <c r="A446" s="3">
        <v>445</v>
      </c>
      <c r="B446" s="19">
        <v>45949</v>
      </c>
      <c r="C446" s="5" t="s">
        <v>40</v>
      </c>
      <c r="D446" s="5" t="s">
        <v>41</v>
      </c>
      <c r="E446" s="6" t="s">
        <v>42</v>
      </c>
      <c r="F446" s="7" t="s">
        <v>87</v>
      </c>
      <c r="G446" s="10" t="s">
        <v>83</v>
      </c>
      <c r="H446" s="5" t="s">
        <v>84</v>
      </c>
      <c r="I446" s="5">
        <v>4</v>
      </c>
      <c r="J446" s="5">
        <v>10</v>
      </c>
      <c r="K446" s="6">
        <v>29000</v>
      </c>
      <c r="L446" s="5">
        <v>1000</v>
      </c>
      <c r="M446" s="5">
        <v>55</v>
      </c>
      <c r="N446" s="5">
        <v>31</v>
      </c>
      <c r="O446" s="17" t="s">
        <v>214</v>
      </c>
      <c r="P446" s="8"/>
      <c r="Q446" s="18">
        <v>9.7222222222222224E-2</v>
      </c>
      <c r="R446" s="18">
        <v>9.7222222222222224E-2</v>
      </c>
      <c r="S446" s="17">
        <v>3390</v>
      </c>
      <c r="T446" s="18">
        <v>0.32500000000000001</v>
      </c>
      <c r="U446" s="18">
        <v>0.32500000000000001</v>
      </c>
      <c r="V446" s="17">
        <v>3431</v>
      </c>
      <c r="W446" s="17">
        <v>84</v>
      </c>
      <c r="X446" s="17">
        <v>84</v>
      </c>
      <c r="Y446" s="12">
        <v>0</v>
      </c>
      <c r="Z446" s="12">
        <v>41</v>
      </c>
      <c r="AA446" s="12">
        <v>41</v>
      </c>
      <c r="AB446" s="12">
        <v>0</v>
      </c>
      <c r="AC446" s="12">
        <v>0</v>
      </c>
      <c r="AD446" s="13">
        <v>0</v>
      </c>
      <c r="AE446" s="12">
        <v>0</v>
      </c>
      <c r="AF446" s="14">
        <v>0</v>
      </c>
      <c r="AG446" s="5">
        <v>0</v>
      </c>
      <c r="AH446" s="5">
        <v>0</v>
      </c>
      <c r="AI446" s="5">
        <v>0</v>
      </c>
      <c r="AJ446" s="5">
        <v>935.48</v>
      </c>
      <c r="AK446" s="5">
        <v>0</v>
      </c>
      <c r="AL446" s="5">
        <v>935.48</v>
      </c>
      <c r="AM446" s="8"/>
      <c r="AN446" s="8"/>
    </row>
    <row r="447" spans="1:40" ht="16" thickBot="1">
      <c r="A447" s="3">
        <v>446</v>
      </c>
      <c r="B447" s="19">
        <v>45949</v>
      </c>
      <c r="C447" s="5" t="s">
        <v>40</v>
      </c>
      <c r="D447" s="5" t="s">
        <v>41</v>
      </c>
      <c r="E447" s="6" t="s">
        <v>42</v>
      </c>
      <c r="F447" s="7" t="s">
        <v>150</v>
      </c>
      <c r="G447" s="10" t="s">
        <v>83</v>
      </c>
      <c r="H447" s="5" t="s">
        <v>84</v>
      </c>
      <c r="I447" s="5">
        <v>4</v>
      </c>
      <c r="J447" s="5">
        <v>10</v>
      </c>
      <c r="K447" s="6">
        <v>29000</v>
      </c>
      <c r="L447" s="5">
        <v>1000</v>
      </c>
      <c r="M447" s="5">
        <v>55</v>
      </c>
      <c r="N447" s="5">
        <v>31</v>
      </c>
      <c r="O447" s="17" t="s">
        <v>215</v>
      </c>
      <c r="P447" s="8"/>
      <c r="Q447" s="18">
        <v>0.11388888888888889</v>
      </c>
      <c r="R447" s="18">
        <v>0.11388888888888889</v>
      </c>
      <c r="S447" s="17">
        <v>60973</v>
      </c>
      <c r="T447" s="18">
        <v>0.31666666666666665</v>
      </c>
      <c r="U447" s="18">
        <v>0.31666666666666665</v>
      </c>
      <c r="V447" s="17">
        <v>60998</v>
      </c>
      <c r="W447" s="17">
        <v>54</v>
      </c>
      <c r="X447" s="17">
        <v>54</v>
      </c>
      <c r="Y447" s="12">
        <v>0</v>
      </c>
      <c r="Z447" s="12">
        <v>25</v>
      </c>
      <c r="AA447" s="12">
        <v>25</v>
      </c>
      <c r="AB447" s="12">
        <v>0</v>
      </c>
      <c r="AC447" s="12">
        <v>0</v>
      </c>
      <c r="AD447" s="13">
        <v>0</v>
      </c>
      <c r="AE447" s="12">
        <v>0</v>
      </c>
      <c r="AF447" s="14">
        <v>0</v>
      </c>
      <c r="AG447" s="5">
        <v>0</v>
      </c>
      <c r="AH447" s="5">
        <v>0</v>
      </c>
      <c r="AI447" s="5">
        <v>0</v>
      </c>
      <c r="AJ447" s="5">
        <v>935.48</v>
      </c>
      <c r="AK447" s="5">
        <v>0</v>
      </c>
      <c r="AL447" s="5">
        <v>935.48</v>
      </c>
      <c r="AM447" s="8"/>
      <c r="AN447" s="8"/>
    </row>
    <row r="448" spans="1:40" ht="16" thickBot="1">
      <c r="A448" s="3">
        <v>447</v>
      </c>
      <c r="B448" s="19">
        <v>45949</v>
      </c>
      <c r="C448" s="5" t="s">
        <v>40</v>
      </c>
      <c r="D448" s="5" t="s">
        <v>41</v>
      </c>
      <c r="E448" s="6" t="s">
        <v>42</v>
      </c>
      <c r="F448" s="7" t="s">
        <v>105</v>
      </c>
      <c r="G448" s="5" t="s">
        <v>44</v>
      </c>
      <c r="H448" s="5" t="s">
        <v>45</v>
      </c>
      <c r="I448" s="5">
        <v>4</v>
      </c>
      <c r="J448" s="5">
        <v>8</v>
      </c>
      <c r="K448" s="5">
        <v>25000</v>
      </c>
      <c r="L448" s="5">
        <v>1000</v>
      </c>
      <c r="M448" s="5">
        <v>55</v>
      </c>
      <c r="N448" s="5">
        <v>31</v>
      </c>
      <c r="O448" s="17" t="s">
        <v>216</v>
      </c>
      <c r="P448" s="8"/>
      <c r="Q448" s="18">
        <v>0.11458333333333333</v>
      </c>
      <c r="R448" s="18">
        <v>0.11458333333333333</v>
      </c>
      <c r="S448" s="17">
        <v>41706</v>
      </c>
      <c r="T448" s="18">
        <v>0.31597222222222221</v>
      </c>
      <c r="U448" s="18">
        <v>0.31597222222222221</v>
      </c>
      <c r="V448" s="17">
        <v>41731</v>
      </c>
      <c r="W448" s="17">
        <v>46</v>
      </c>
      <c r="X448" s="17">
        <v>46</v>
      </c>
      <c r="Y448" s="12">
        <v>0</v>
      </c>
      <c r="Z448" s="12">
        <v>25</v>
      </c>
      <c r="AA448" s="12">
        <v>25</v>
      </c>
      <c r="AB448" s="12">
        <v>0</v>
      </c>
      <c r="AC448" s="12">
        <v>0</v>
      </c>
      <c r="AD448" s="13">
        <v>0</v>
      </c>
      <c r="AE448" s="12">
        <v>0</v>
      </c>
      <c r="AF448" s="14">
        <v>0</v>
      </c>
      <c r="AG448" s="5">
        <v>0</v>
      </c>
      <c r="AH448" s="5">
        <v>0</v>
      </c>
      <c r="AI448" s="5">
        <v>0</v>
      </c>
      <c r="AJ448" s="5">
        <v>806.45</v>
      </c>
      <c r="AK448" s="5">
        <v>0</v>
      </c>
      <c r="AL448" s="5">
        <v>806.45</v>
      </c>
      <c r="AM448" s="8"/>
      <c r="AN448" s="8"/>
    </row>
    <row r="449" spans="1:40" ht="16" thickBot="1">
      <c r="A449" s="3">
        <v>448</v>
      </c>
      <c r="B449" s="19">
        <v>45949</v>
      </c>
      <c r="C449" s="5" t="s">
        <v>40</v>
      </c>
      <c r="D449" s="5" t="s">
        <v>41</v>
      </c>
      <c r="E449" s="6" t="s">
        <v>42</v>
      </c>
      <c r="F449" s="7" t="s">
        <v>178</v>
      </c>
      <c r="G449" s="5" t="s">
        <v>44</v>
      </c>
      <c r="H449" s="5" t="s">
        <v>45</v>
      </c>
      <c r="I449" s="5">
        <v>4</v>
      </c>
      <c r="J449" s="5">
        <v>8</v>
      </c>
      <c r="K449" s="5">
        <v>25000</v>
      </c>
      <c r="L449" s="5">
        <v>1000</v>
      </c>
      <c r="M449" s="5">
        <v>55</v>
      </c>
      <c r="N449" s="5">
        <v>31</v>
      </c>
      <c r="O449" s="17" t="s">
        <v>206</v>
      </c>
      <c r="P449" s="8"/>
      <c r="Q449" s="18">
        <v>0.11666666666666665</v>
      </c>
      <c r="R449" s="18">
        <v>0.11666666666666665</v>
      </c>
      <c r="S449" s="17">
        <v>44956</v>
      </c>
      <c r="T449" s="18">
        <v>0.29166666666666669</v>
      </c>
      <c r="U449" s="18">
        <v>0.29166666666666669</v>
      </c>
      <c r="V449" s="17">
        <v>44956</v>
      </c>
      <c r="W449" s="17">
        <v>0</v>
      </c>
      <c r="X449" s="17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3">
        <v>0</v>
      </c>
      <c r="AE449" s="12">
        <v>0</v>
      </c>
      <c r="AF449" s="14">
        <v>0</v>
      </c>
      <c r="AG449" s="5">
        <v>0</v>
      </c>
      <c r="AH449" s="5">
        <v>0</v>
      </c>
      <c r="AI449" s="5">
        <v>0</v>
      </c>
      <c r="AJ449" s="5">
        <v>806.45</v>
      </c>
      <c r="AK449" s="5">
        <v>0</v>
      </c>
      <c r="AL449" s="5">
        <v>806.45</v>
      </c>
      <c r="AM449" s="8"/>
      <c r="AN449" s="8"/>
    </row>
    <row r="450" spans="1:40" ht="16" thickBot="1">
      <c r="A450" s="3">
        <v>449</v>
      </c>
      <c r="B450" s="19">
        <v>45949</v>
      </c>
      <c r="C450" s="5" t="s">
        <v>40</v>
      </c>
      <c r="D450" s="5" t="s">
        <v>41</v>
      </c>
      <c r="E450" s="6" t="s">
        <v>42</v>
      </c>
      <c r="F450" s="7" t="s">
        <v>51</v>
      </c>
      <c r="G450" s="5" t="s">
        <v>44</v>
      </c>
      <c r="H450" s="5" t="s">
        <v>45</v>
      </c>
      <c r="I450" s="5">
        <v>4</v>
      </c>
      <c r="J450" s="5">
        <v>8</v>
      </c>
      <c r="K450" s="5">
        <v>25000</v>
      </c>
      <c r="L450" s="5">
        <v>1000</v>
      </c>
      <c r="M450" s="5">
        <v>55</v>
      </c>
      <c r="N450" s="5">
        <v>31</v>
      </c>
      <c r="O450" s="17" t="s">
        <v>217</v>
      </c>
      <c r="P450" s="8"/>
      <c r="Q450" s="18">
        <v>0.12013888888888889</v>
      </c>
      <c r="R450" s="18">
        <v>0.12013888888888889</v>
      </c>
      <c r="S450" s="17">
        <v>84259</v>
      </c>
      <c r="T450" s="18">
        <v>0.3125</v>
      </c>
      <c r="U450" s="18">
        <v>0.3125</v>
      </c>
      <c r="V450" s="17">
        <v>84259</v>
      </c>
      <c r="W450" s="17">
        <v>0</v>
      </c>
      <c r="X450" s="17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3">
        <v>0</v>
      </c>
      <c r="AE450" s="12">
        <v>0</v>
      </c>
      <c r="AF450" s="14">
        <v>0</v>
      </c>
      <c r="AG450" s="5">
        <v>0</v>
      </c>
      <c r="AH450" s="5">
        <v>0</v>
      </c>
      <c r="AI450" s="5">
        <v>0</v>
      </c>
      <c r="AJ450" s="5">
        <v>806.45</v>
      </c>
      <c r="AK450" s="5">
        <v>0</v>
      </c>
      <c r="AL450" s="5">
        <v>806.45</v>
      </c>
      <c r="AM450" s="8"/>
      <c r="AN450" s="8"/>
    </row>
    <row r="451" spans="1:40" ht="16" thickBot="1">
      <c r="A451" s="3">
        <v>450</v>
      </c>
      <c r="B451" s="19">
        <v>45949</v>
      </c>
      <c r="C451" s="5" t="s">
        <v>40</v>
      </c>
      <c r="D451" s="5" t="s">
        <v>41</v>
      </c>
      <c r="E451" s="6" t="s">
        <v>42</v>
      </c>
      <c r="F451" s="7" t="s">
        <v>53</v>
      </c>
      <c r="G451" s="5" t="s">
        <v>44</v>
      </c>
      <c r="H451" s="5" t="s">
        <v>45</v>
      </c>
      <c r="I451" s="5">
        <v>4</v>
      </c>
      <c r="J451" s="5">
        <v>8</v>
      </c>
      <c r="K451" s="5">
        <v>25000</v>
      </c>
      <c r="L451" s="5">
        <v>1000</v>
      </c>
      <c r="M451" s="5">
        <v>55</v>
      </c>
      <c r="N451" s="5">
        <v>31</v>
      </c>
      <c r="O451" s="17" t="s">
        <v>206</v>
      </c>
      <c r="P451" s="8"/>
      <c r="Q451" s="18">
        <v>0.12083333333333333</v>
      </c>
      <c r="R451" s="18">
        <v>0.12083333333333333</v>
      </c>
      <c r="S451" s="17">
        <v>12797</v>
      </c>
      <c r="T451" s="18">
        <v>0.29166666666666669</v>
      </c>
      <c r="U451" s="18">
        <v>0.29166666666666669</v>
      </c>
      <c r="V451" s="17">
        <v>12797</v>
      </c>
      <c r="W451" s="17">
        <v>0</v>
      </c>
      <c r="X451" s="17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3">
        <v>0</v>
      </c>
      <c r="AE451" s="12">
        <v>0</v>
      </c>
      <c r="AF451" s="14">
        <v>0</v>
      </c>
      <c r="AG451" s="5">
        <v>0</v>
      </c>
      <c r="AH451" s="5">
        <v>0</v>
      </c>
      <c r="AI451" s="5">
        <v>0</v>
      </c>
      <c r="AJ451" s="5">
        <v>806.45</v>
      </c>
      <c r="AK451" s="5">
        <v>0</v>
      </c>
      <c r="AL451" s="5">
        <v>806.45</v>
      </c>
      <c r="AM451" s="8"/>
      <c r="AN451" s="8"/>
    </row>
    <row r="452" spans="1:40" ht="16" thickBot="1">
      <c r="A452" s="3">
        <v>451</v>
      </c>
      <c r="B452" s="19">
        <v>45949</v>
      </c>
      <c r="C452" s="5" t="s">
        <v>40</v>
      </c>
      <c r="D452" s="5" t="s">
        <v>41</v>
      </c>
      <c r="E452" s="6" t="s">
        <v>42</v>
      </c>
      <c r="F452" s="7" t="s">
        <v>185</v>
      </c>
      <c r="G452" s="5" t="s">
        <v>44</v>
      </c>
      <c r="H452" s="5" t="s">
        <v>45</v>
      </c>
      <c r="I452" s="5">
        <v>4</v>
      </c>
      <c r="J452" s="5">
        <v>8</v>
      </c>
      <c r="K452" s="5">
        <v>25000</v>
      </c>
      <c r="L452" s="5">
        <v>1000</v>
      </c>
      <c r="M452" s="5">
        <v>55</v>
      </c>
      <c r="N452" s="5">
        <v>31</v>
      </c>
      <c r="O452" s="17" t="s">
        <v>206</v>
      </c>
      <c r="P452" s="8"/>
      <c r="Q452" s="18">
        <v>0.13263888888888889</v>
      </c>
      <c r="R452" s="18">
        <v>0.13263888888888889</v>
      </c>
      <c r="S452" s="17">
        <v>66286</v>
      </c>
      <c r="T452" s="18">
        <v>0.29166666666666669</v>
      </c>
      <c r="U452" s="18">
        <v>0.29166666666666669</v>
      </c>
      <c r="V452" s="17">
        <v>66311</v>
      </c>
      <c r="W452" s="17">
        <v>0</v>
      </c>
      <c r="X452" s="17">
        <v>0</v>
      </c>
      <c r="Y452" s="12">
        <v>0</v>
      </c>
      <c r="Z452" s="12">
        <v>25</v>
      </c>
      <c r="AA452" s="12">
        <v>25</v>
      </c>
      <c r="AB452" s="12">
        <v>0</v>
      </c>
      <c r="AC452" s="12">
        <v>0</v>
      </c>
      <c r="AD452" s="13">
        <v>0</v>
      </c>
      <c r="AE452" s="12">
        <v>0</v>
      </c>
      <c r="AF452" s="14">
        <v>0</v>
      </c>
      <c r="AG452" s="5">
        <v>0</v>
      </c>
      <c r="AH452" s="5">
        <v>0</v>
      </c>
      <c r="AI452" s="5">
        <v>0</v>
      </c>
      <c r="AJ452" s="5">
        <v>806.45</v>
      </c>
      <c r="AK452" s="5">
        <v>0</v>
      </c>
      <c r="AL452" s="5">
        <v>806.45</v>
      </c>
      <c r="AM452" s="8"/>
      <c r="AN452" s="8"/>
    </row>
    <row r="453" spans="1:40" ht="16" thickBot="1">
      <c r="A453" s="3">
        <v>452</v>
      </c>
      <c r="B453" s="19">
        <v>45949</v>
      </c>
      <c r="C453" s="5" t="s">
        <v>40</v>
      </c>
      <c r="D453" s="5" t="s">
        <v>41</v>
      </c>
      <c r="E453" s="6" t="s">
        <v>42</v>
      </c>
      <c r="F453" s="7" t="s">
        <v>82</v>
      </c>
      <c r="G453" s="10" t="s">
        <v>83</v>
      </c>
      <c r="H453" s="5" t="s">
        <v>84</v>
      </c>
      <c r="I453" s="5">
        <v>4</v>
      </c>
      <c r="J453" s="5">
        <v>10</v>
      </c>
      <c r="K453" s="6">
        <v>29000</v>
      </c>
      <c r="L453" s="5">
        <v>1000</v>
      </c>
      <c r="M453" s="5">
        <v>55</v>
      </c>
      <c r="N453" s="5">
        <v>31</v>
      </c>
      <c r="O453" s="17" t="s">
        <v>206</v>
      </c>
      <c r="P453" s="8"/>
      <c r="Q453" s="18">
        <v>0.13194444444444445</v>
      </c>
      <c r="R453" s="18">
        <v>0.13194444444444445</v>
      </c>
      <c r="S453" s="17">
        <v>33069</v>
      </c>
      <c r="T453" s="18">
        <v>0.29166666666666669</v>
      </c>
      <c r="U453" s="18">
        <v>0.29166666666666669</v>
      </c>
      <c r="V453" s="17">
        <v>33099</v>
      </c>
      <c r="W453" s="17">
        <v>0</v>
      </c>
      <c r="X453" s="17">
        <v>0</v>
      </c>
      <c r="Y453" s="12">
        <v>0</v>
      </c>
      <c r="Z453" s="12">
        <v>30</v>
      </c>
      <c r="AA453" s="12">
        <v>30</v>
      </c>
      <c r="AB453" s="12">
        <v>0</v>
      </c>
      <c r="AC453" s="12">
        <v>0</v>
      </c>
      <c r="AD453" s="13">
        <v>0</v>
      </c>
      <c r="AE453" s="12">
        <v>0</v>
      </c>
      <c r="AF453" s="14">
        <v>0</v>
      </c>
      <c r="AG453" s="5">
        <v>0</v>
      </c>
      <c r="AH453" s="5">
        <v>0</v>
      </c>
      <c r="AI453" s="5">
        <v>0</v>
      </c>
      <c r="AJ453" s="5">
        <v>935.48</v>
      </c>
      <c r="AK453" s="5">
        <v>0</v>
      </c>
      <c r="AL453" s="5">
        <v>935.48</v>
      </c>
      <c r="AM453" s="8"/>
      <c r="AN453" s="8"/>
    </row>
    <row r="454" spans="1:40" ht="16" thickBot="1">
      <c r="A454" s="3">
        <v>453</v>
      </c>
      <c r="B454" s="19">
        <v>45950</v>
      </c>
      <c r="C454" s="5" t="s">
        <v>40</v>
      </c>
      <c r="D454" s="5" t="s">
        <v>41</v>
      </c>
      <c r="E454" s="6" t="s">
        <v>42</v>
      </c>
      <c r="F454" s="7" t="s">
        <v>57</v>
      </c>
      <c r="G454" s="5" t="s">
        <v>44</v>
      </c>
      <c r="H454" s="5" t="s">
        <v>45</v>
      </c>
      <c r="I454" s="5">
        <v>4</v>
      </c>
      <c r="J454" s="5">
        <v>8</v>
      </c>
      <c r="K454" s="5">
        <v>25000</v>
      </c>
      <c r="L454" s="5">
        <v>1000</v>
      </c>
      <c r="M454" s="5">
        <v>55</v>
      </c>
      <c r="N454" s="5">
        <v>31</v>
      </c>
      <c r="O454" s="17" t="s">
        <v>58</v>
      </c>
      <c r="P454" s="8"/>
      <c r="Q454" s="18">
        <v>5.1388888888888894E-2</v>
      </c>
      <c r="R454" s="18">
        <v>5.1388888888888894E-2</v>
      </c>
      <c r="S454" s="17">
        <v>144875</v>
      </c>
      <c r="T454" s="18">
        <v>0.34027777777777773</v>
      </c>
      <c r="U454" s="18">
        <v>0.34027777777777773</v>
      </c>
      <c r="V454" s="17">
        <v>144901</v>
      </c>
      <c r="W454" s="17">
        <v>41</v>
      </c>
      <c r="X454" s="17">
        <v>41</v>
      </c>
      <c r="Y454" s="12">
        <v>0</v>
      </c>
      <c r="Z454" s="12">
        <v>26</v>
      </c>
      <c r="AA454" s="12">
        <v>26</v>
      </c>
      <c r="AB454" s="12">
        <v>0</v>
      </c>
      <c r="AC454" s="12">
        <v>0</v>
      </c>
      <c r="AD454" s="13">
        <v>1</v>
      </c>
      <c r="AE454" s="12">
        <v>150</v>
      </c>
      <c r="AF454" s="14">
        <v>0</v>
      </c>
      <c r="AG454" s="5">
        <v>0</v>
      </c>
      <c r="AH454" s="5">
        <v>0</v>
      </c>
      <c r="AI454" s="5">
        <v>0</v>
      </c>
      <c r="AJ454" s="5">
        <v>956.45</v>
      </c>
      <c r="AK454" s="5">
        <v>0</v>
      </c>
      <c r="AL454" s="5">
        <v>956.45</v>
      </c>
      <c r="AM454" s="8"/>
      <c r="AN454" s="8"/>
    </row>
    <row r="455" spans="1:40" ht="16" thickBot="1">
      <c r="A455" s="3">
        <v>454</v>
      </c>
      <c r="B455" s="19">
        <v>45950</v>
      </c>
      <c r="C455" s="5" t="s">
        <v>40</v>
      </c>
      <c r="D455" s="5" t="s">
        <v>41</v>
      </c>
      <c r="E455" s="6" t="s">
        <v>42</v>
      </c>
      <c r="F455" s="7" t="s">
        <v>43</v>
      </c>
      <c r="G455" s="5" t="s">
        <v>44</v>
      </c>
      <c r="H455" s="5" t="s">
        <v>45</v>
      </c>
      <c r="I455" s="5">
        <v>4</v>
      </c>
      <c r="J455" s="5">
        <v>8</v>
      </c>
      <c r="K455" s="5">
        <v>25000</v>
      </c>
      <c r="L455" s="5">
        <v>1000</v>
      </c>
      <c r="M455" s="5">
        <v>55</v>
      </c>
      <c r="N455" s="5">
        <v>31</v>
      </c>
      <c r="O455" s="17" t="s">
        <v>46</v>
      </c>
      <c r="P455" s="8"/>
      <c r="Q455" s="18">
        <v>5.1388888888888894E-2</v>
      </c>
      <c r="R455" s="18">
        <v>5.1388888888888894E-2</v>
      </c>
      <c r="S455" s="17">
        <v>57797</v>
      </c>
      <c r="T455" s="18">
        <v>0.26180555555555557</v>
      </c>
      <c r="U455" s="18">
        <v>0.26180555555555557</v>
      </c>
      <c r="V455" s="17">
        <v>57803</v>
      </c>
      <c r="W455" s="17">
        <v>35</v>
      </c>
      <c r="X455" s="17">
        <v>35</v>
      </c>
      <c r="Y455" s="12">
        <v>0</v>
      </c>
      <c r="Z455" s="12">
        <v>6</v>
      </c>
      <c r="AA455" s="12">
        <v>6</v>
      </c>
      <c r="AB455" s="12">
        <v>0</v>
      </c>
      <c r="AC455" s="12">
        <v>0</v>
      </c>
      <c r="AD455" s="13">
        <v>0</v>
      </c>
      <c r="AE455" s="12">
        <v>0</v>
      </c>
      <c r="AF455" s="14">
        <v>0</v>
      </c>
      <c r="AG455" s="5">
        <v>0</v>
      </c>
      <c r="AH455" s="5">
        <v>0</v>
      </c>
      <c r="AI455" s="5">
        <v>0</v>
      </c>
      <c r="AJ455" s="5">
        <v>806.45</v>
      </c>
      <c r="AK455" s="5">
        <v>0</v>
      </c>
      <c r="AL455" s="5">
        <v>806.45</v>
      </c>
      <c r="AM455" s="8"/>
      <c r="AN455" s="8"/>
    </row>
    <row r="456" spans="1:40" ht="16" thickBot="1">
      <c r="A456" s="3">
        <v>455</v>
      </c>
      <c r="B456" s="19">
        <v>45950</v>
      </c>
      <c r="C456" s="5" t="s">
        <v>40</v>
      </c>
      <c r="D456" s="5" t="s">
        <v>41</v>
      </c>
      <c r="E456" s="6" t="s">
        <v>42</v>
      </c>
      <c r="F456" s="7" t="s">
        <v>80</v>
      </c>
      <c r="G456" s="5" t="s">
        <v>44</v>
      </c>
      <c r="H456" s="5" t="s">
        <v>45</v>
      </c>
      <c r="I456" s="5">
        <v>4</v>
      </c>
      <c r="J456" s="5">
        <v>8</v>
      </c>
      <c r="K456" s="5">
        <v>25000</v>
      </c>
      <c r="L456" s="5">
        <v>1000</v>
      </c>
      <c r="M456" s="5">
        <v>55</v>
      </c>
      <c r="N456" s="5">
        <v>31</v>
      </c>
      <c r="O456" s="17" t="s">
        <v>48</v>
      </c>
      <c r="P456" s="8"/>
      <c r="Q456" s="18">
        <v>5.4166666666666669E-2</v>
      </c>
      <c r="R456" s="18">
        <v>5.4166666666666669E-2</v>
      </c>
      <c r="S456" s="17">
        <v>5612</v>
      </c>
      <c r="T456" s="18">
        <v>0.26874999999999999</v>
      </c>
      <c r="U456" s="18">
        <v>0.26874999999999999</v>
      </c>
      <c r="V456" s="17">
        <v>5621</v>
      </c>
      <c r="W456" s="17">
        <v>28</v>
      </c>
      <c r="X456" s="17">
        <v>28</v>
      </c>
      <c r="Y456" s="12">
        <v>0</v>
      </c>
      <c r="Z456" s="12">
        <v>9</v>
      </c>
      <c r="AA456" s="12">
        <v>9</v>
      </c>
      <c r="AB456" s="12">
        <v>0</v>
      </c>
      <c r="AC456" s="12">
        <v>0</v>
      </c>
      <c r="AD456" s="13">
        <v>0</v>
      </c>
      <c r="AE456" s="12">
        <v>0</v>
      </c>
      <c r="AF456" s="14">
        <v>0</v>
      </c>
      <c r="AG456" s="5">
        <v>0</v>
      </c>
      <c r="AH456" s="5">
        <v>0</v>
      </c>
      <c r="AI456" s="5">
        <v>0</v>
      </c>
      <c r="AJ456" s="5">
        <v>806.45</v>
      </c>
      <c r="AK456" s="5">
        <v>0</v>
      </c>
      <c r="AL456" s="5">
        <v>806.45</v>
      </c>
      <c r="AM456" s="8"/>
      <c r="AN456" s="8"/>
    </row>
    <row r="457" spans="1:40" ht="16" thickBot="1">
      <c r="A457" s="3">
        <v>456</v>
      </c>
      <c r="B457" s="19">
        <v>45950</v>
      </c>
      <c r="C457" s="5" t="s">
        <v>40</v>
      </c>
      <c r="D457" s="5" t="s">
        <v>41</v>
      </c>
      <c r="E457" s="6" t="s">
        <v>42</v>
      </c>
      <c r="F457" s="7" t="s">
        <v>74</v>
      </c>
      <c r="G457" s="5" t="s">
        <v>44</v>
      </c>
      <c r="H457" s="5" t="s">
        <v>45</v>
      </c>
      <c r="I457" s="5">
        <v>4</v>
      </c>
      <c r="J457" s="5">
        <v>8</v>
      </c>
      <c r="K457" s="5">
        <v>25000</v>
      </c>
      <c r="L457" s="5">
        <v>1000</v>
      </c>
      <c r="M457" s="5">
        <v>55</v>
      </c>
      <c r="N457" s="5">
        <v>31</v>
      </c>
      <c r="O457" s="17" t="s">
        <v>136</v>
      </c>
      <c r="P457" s="8"/>
      <c r="Q457" s="18">
        <v>5.486111111111111E-2</v>
      </c>
      <c r="R457" s="18">
        <v>5.486111111111111E-2</v>
      </c>
      <c r="S457" s="17">
        <v>39184</v>
      </c>
      <c r="T457" s="18">
        <v>0.31041666666666667</v>
      </c>
      <c r="U457" s="18">
        <v>0.31041666666666667</v>
      </c>
      <c r="V457" s="17">
        <v>39202</v>
      </c>
      <c r="W457" s="17">
        <v>35</v>
      </c>
      <c r="X457" s="17">
        <v>35</v>
      </c>
      <c r="Y457" s="12">
        <v>0</v>
      </c>
      <c r="Z457" s="12">
        <v>18</v>
      </c>
      <c r="AA457" s="12">
        <v>18</v>
      </c>
      <c r="AB457" s="12">
        <v>0</v>
      </c>
      <c r="AC457" s="12">
        <v>0</v>
      </c>
      <c r="AD457" s="13">
        <v>0</v>
      </c>
      <c r="AE457" s="12">
        <v>0</v>
      </c>
      <c r="AF457" s="14">
        <v>0</v>
      </c>
      <c r="AG457" s="5">
        <v>0</v>
      </c>
      <c r="AH457" s="5">
        <v>0</v>
      </c>
      <c r="AI457" s="5">
        <v>0</v>
      </c>
      <c r="AJ457" s="5">
        <v>806.45</v>
      </c>
      <c r="AK457" s="5">
        <v>0</v>
      </c>
      <c r="AL457" s="5">
        <v>806.45</v>
      </c>
      <c r="AM457" s="8"/>
      <c r="AN457" s="8"/>
    </row>
    <row r="458" spans="1:40" ht="16" thickBot="1">
      <c r="A458" s="3">
        <v>457</v>
      </c>
      <c r="B458" s="19">
        <v>45950</v>
      </c>
      <c r="C458" s="5" t="s">
        <v>40</v>
      </c>
      <c r="D458" s="5" t="s">
        <v>41</v>
      </c>
      <c r="E458" s="6" t="s">
        <v>42</v>
      </c>
      <c r="F458" s="7" t="s">
        <v>101</v>
      </c>
      <c r="G458" s="5" t="s">
        <v>44</v>
      </c>
      <c r="H458" s="5" t="s">
        <v>45</v>
      </c>
      <c r="I458" s="5">
        <v>4</v>
      </c>
      <c r="J458" s="5">
        <v>8</v>
      </c>
      <c r="K458" s="5">
        <v>25000</v>
      </c>
      <c r="L458" s="5">
        <v>1000</v>
      </c>
      <c r="M458" s="5">
        <v>55</v>
      </c>
      <c r="N458" s="5">
        <v>31</v>
      </c>
      <c r="O458" s="17" t="s">
        <v>100</v>
      </c>
      <c r="P458" s="8"/>
      <c r="Q458" s="18">
        <v>5.486111111111111E-2</v>
      </c>
      <c r="R458" s="18">
        <v>5.486111111111111E-2</v>
      </c>
      <c r="S458" s="17">
        <v>118651</v>
      </c>
      <c r="T458" s="18">
        <v>0.2902777777777778</v>
      </c>
      <c r="U458" s="18">
        <v>0.2902777777777778</v>
      </c>
      <c r="V458" s="17">
        <v>118680</v>
      </c>
      <c r="W458" s="17">
        <v>50</v>
      </c>
      <c r="X458" s="17">
        <v>50</v>
      </c>
      <c r="Y458" s="12">
        <v>0</v>
      </c>
      <c r="Z458" s="12">
        <v>29</v>
      </c>
      <c r="AA458" s="12">
        <v>29</v>
      </c>
      <c r="AB458" s="12">
        <v>0</v>
      </c>
      <c r="AC458" s="12">
        <v>0</v>
      </c>
      <c r="AD458" s="13">
        <v>0</v>
      </c>
      <c r="AE458" s="12">
        <v>0</v>
      </c>
      <c r="AF458" s="14">
        <v>0</v>
      </c>
      <c r="AG458" s="5">
        <v>0</v>
      </c>
      <c r="AH458" s="5">
        <v>0</v>
      </c>
      <c r="AI458" s="5">
        <v>0</v>
      </c>
      <c r="AJ458" s="5">
        <v>806.45</v>
      </c>
      <c r="AK458" s="5">
        <v>0</v>
      </c>
      <c r="AL458" s="5">
        <v>806.45</v>
      </c>
      <c r="AM458" s="8"/>
      <c r="AN458" s="8"/>
    </row>
    <row r="459" spans="1:40" ht="16" thickBot="1">
      <c r="A459" s="3">
        <v>458</v>
      </c>
      <c r="B459" s="19">
        <v>45950</v>
      </c>
      <c r="C459" s="5" t="s">
        <v>40</v>
      </c>
      <c r="D459" s="5" t="s">
        <v>41</v>
      </c>
      <c r="E459" s="6" t="s">
        <v>42</v>
      </c>
      <c r="F459" s="7" t="s">
        <v>145</v>
      </c>
      <c r="G459" s="5" t="s">
        <v>44</v>
      </c>
      <c r="H459" s="5" t="s">
        <v>45</v>
      </c>
      <c r="I459" s="5">
        <v>4</v>
      </c>
      <c r="J459" s="5">
        <v>8</v>
      </c>
      <c r="K459" s="5">
        <v>25000</v>
      </c>
      <c r="L459" s="5">
        <v>1000</v>
      </c>
      <c r="M459" s="5">
        <v>55</v>
      </c>
      <c r="N459" s="5">
        <v>31</v>
      </c>
      <c r="O459" s="17" t="s">
        <v>174</v>
      </c>
      <c r="P459" s="8"/>
      <c r="Q459" s="18">
        <v>5.5555555555555552E-2</v>
      </c>
      <c r="R459" s="18">
        <v>5.5555555555555552E-2</v>
      </c>
      <c r="S459" s="17">
        <v>38691</v>
      </c>
      <c r="T459" s="18">
        <v>0.28472222222222221</v>
      </c>
      <c r="U459" s="18">
        <v>0.28472222222222221</v>
      </c>
      <c r="V459" s="17">
        <v>38716</v>
      </c>
      <c r="W459" s="17">
        <v>53</v>
      </c>
      <c r="X459" s="17">
        <v>53</v>
      </c>
      <c r="Y459" s="12">
        <v>0</v>
      </c>
      <c r="Z459" s="12">
        <v>25</v>
      </c>
      <c r="AA459" s="12">
        <v>25</v>
      </c>
      <c r="AB459" s="12">
        <v>0</v>
      </c>
      <c r="AC459" s="12">
        <v>0</v>
      </c>
      <c r="AD459" s="13">
        <v>0</v>
      </c>
      <c r="AE459" s="12">
        <v>0</v>
      </c>
      <c r="AF459" s="14">
        <v>0</v>
      </c>
      <c r="AG459" s="5">
        <v>0</v>
      </c>
      <c r="AH459" s="5">
        <v>0</v>
      </c>
      <c r="AI459" s="5">
        <v>0</v>
      </c>
      <c r="AJ459" s="5">
        <v>806.45</v>
      </c>
      <c r="AK459" s="5">
        <v>0</v>
      </c>
      <c r="AL459" s="5">
        <v>806.45</v>
      </c>
      <c r="AM459" s="8"/>
      <c r="AN459" s="8"/>
    </row>
    <row r="460" spans="1:40" ht="16" thickBot="1">
      <c r="A460" s="3">
        <v>459</v>
      </c>
      <c r="B460" s="19">
        <v>45950</v>
      </c>
      <c r="C460" s="5" t="s">
        <v>40</v>
      </c>
      <c r="D460" s="5" t="s">
        <v>41</v>
      </c>
      <c r="E460" s="6" t="s">
        <v>42</v>
      </c>
      <c r="F460" s="7" t="s">
        <v>85</v>
      </c>
      <c r="G460" s="10" t="s">
        <v>83</v>
      </c>
      <c r="H460" s="5" t="s">
        <v>84</v>
      </c>
      <c r="I460" s="5">
        <v>4</v>
      </c>
      <c r="J460" s="5">
        <v>10</v>
      </c>
      <c r="K460" s="6">
        <v>29000</v>
      </c>
      <c r="L460" s="5">
        <v>1000</v>
      </c>
      <c r="M460" s="5">
        <v>55</v>
      </c>
      <c r="N460" s="5">
        <v>31</v>
      </c>
      <c r="O460" s="17" t="s">
        <v>106</v>
      </c>
      <c r="P460" s="8"/>
      <c r="Q460" s="18">
        <v>6.3194444444444442E-2</v>
      </c>
      <c r="R460" s="18">
        <v>6.3194444444444442E-2</v>
      </c>
      <c r="S460" s="17">
        <v>39333</v>
      </c>
      <c r="T460" s="18">
        <v>0.32569444444444445</v>
      </c>
      <c r="U460" s="18">
        <v>0.32569444444444445</v>
      </c>
      <c r="V460" s="17">
        <v>39364</v>
      </c>
      <c r="W460" s="17">
        <v>50</v>
      </c>
      <c r="X460" s="17">
        <v>50</v>
      </c>
      <c r="Y460" s="12">
        <v>0</v>
      </c>
      <c r="Z460" s="12">
        <v>31</v>
      </c>
      <c r="AA460" s="12">
        <v>31</v>
      </c>
      <c r="AB460" s="12">
        <v>0</v>
      </c>
      <c r="AC460" s="12">
        <v>0</v>
      </c>
      <c r="AD460" s="13">
        <v>0</v>
      </c>
      <c r="AE460" s="12">
        <v>0</v>
      </c>
      <c r="AF460" s="14">
        <v>0</v>
      </c>
      <c r="AG460" s="5">
        <v>0</v>
      </c>
      <c r="AH460" s="5">
        <v>0</v>
      </c>
      <c r="AI460" s="5">
        <v>0</v>
      </c>
      <c r="AJ460" s="5">
        <v>935.48</v>
      </c>
      <c r="AK460" s="5">
        <v>0</v>
      </c>
      <c r="AL460" s="5">
        <v>935.48</v>
      </c>
      <c r="AM460" s="8"/>
      <c r="AN460" s="8"/>
    </row>
    <row r="461" spans="1:40" ht="16" thickBot="1">
      <c r="A461" s="3">
        <v>460</v>
      </c>
      <c r="B461" s="19">
        <v>45950</v>
      </c>
      <c r="C461" s="5" t="s">
        <v>40</v>
      </c>
      <c r="D461" s="5" t="s">
        <v>41</v>
      </c>
      <c r="E461" s="6" t="s">
        <v>42</v>
      </c>
      <c r="F461" s="7" t="s">
        <v>49</v>
      </c>
      <c r="G461" s="5" t="s">
        <v>44</v>
      </c>
      <c r="H461" s="5" t="s">
        <v>45</v>
      </c>
      <c r="I461" s="5">
        <v>6</v>
      </c>
      <c r="J461" s="5">
        <v>8</v>
      </c>
      <c r="K461" s="5">
        <v>33000</v>
      </c>
      <c r="L461" s="5">
        <v>2000</v>
      </c>
      <c r="M461" s="5">
        <v>55</v>
      </c>
      <c r="N461" s="5">
        <v>31</v>
      </c>
      <c r="O461" s="17" t="s">
        <v>161</v>
      </c>
      <c r="P461" s="8"/>
      <c r="Q461" s="18">
        <v>6.3888888888888884E-2</v>
      </c>
      <c r="R461" s="18">
        <v>6.3888888888888884E-2</v>
      </c>
      <c r="S461" s="17">
        <v>101134</v>
      </c>
      <c r="T461" s="18">
        <v>0.34027777777777773</v>
      </c>
      <c r="U461" s="18">
        <v>0.34027777777777773</v>
      </c>
      <c r="V461" s="17">
        <v>101185</v>
      </c>
      <c r="W461" s="17">
        <v>20</v>
      </c>
      <c r="X461" s="17">
        <v>20</v>
      </c>
      <c r="Y461" s="12">
        <v>0</v>
      </c>
      <c r="Z461" s="12">
        <v>51</v>
      </c>
      <c r="AA461" s="12">
        <v>51</v>
      </c>
      <c r="AB461" s="12">
        <v>0</v>
      </c>
      <c r="AC461" s="12">
        <v>0</v>
      </c>
      <c r="AD461" s="13">
        <v>0</v>
      </c>
      <c r="AE461" s="12">
        <v>0</v>
      </c>
      <c r="AF461" s="14">
        <v>0</v>
      </c>
      <c r="AG461" s="5">
        <v>0</v>
      </c>
      <c r="AH461" s="5">
        <v>0</v>
      </c>
      <c r="AI461" s="5">
        <v>0</v>
      </c>
      <c r="AJ461" s="5">
        <v>1064.52</v>
      </c>
      <c r="AK461" s="5">
        <v>0</v>
      </c>
      <c r="AL461" s="5">
        <v>1064.52</v>
      </c>
      <c r="AM461" s="8"/>
      <c r="AN461" s="8"/>
    </row>
    <row r="462" spans="1:40" ht="16" thickBot="1">
      <c r="A462" s="3">
        <v>461</v>
      </c>
      <c r="B462" s="19">
        <v>45950</v>
      </c>
      <c r="C462" s="5" t="s">
        <v>40</v>
      </c>
      <c r="D462" s="5" t="s">
        <v>41</v>
      </c>
      <c r="E462" s="6" t="s">
        <v>42</v>
      </c>
      <c r="F462" s="7" t="s">
        <v>185</v>
      </c>
      <c r="G462" s="5" t="s">
        <v>44</v>
      </c>
      <c r="H462" s="5" t="s">
        <v>45</v>
      </c>
      <c r="I462" s="5">
        <v>4</v>
      </c>
      <c r="J462" s="5">
        <v>8</v>
      </c>
      <c r="K462" s="5">
        <v>25000</v>
      </c>
      <c r="L462" s="5">
        <v>1000</v>
      </c>
      <c r="M462" s="5">
        <v>55</v>
      </c>
      <c r="N462" s="5">
        <v>31</v>
      </c>
      <c r="O462" s="17" t="s">
        <v>135</v>
      </c>
      <c r="P462" s="8"/>
      <c r="Q462" s="18">
        <v>6.8749999999999992E-2</v>
      </c>
      <c r="R462" s="18">
        <v>6.8749999999999992E-2</v>
      </c>
      <c r="S462" s="17">
        <v>66362</v>
      </c>
      <c r="T462" s="18">
        <v>0.34722222222222227</v>
      </c>
      <c r="U462" s="18">
        <v>0.34722222222222227</v>
      </c>
      <c r="V462" s="17">
        <v>66376</v>
      </c>
      <c r="W462" s="17">
        <v>30</v>
      </c>
      <c r="X462" s="17">
        <v>30</v>
      </c>
      <c r="Y462" s="12">
        <v>0</v>
      </c>
      <c r="Z462" s="12">
        <v>14</v>
      </c>
      <c r="AA462" s="12">
        <v>14</v>
      </c>
      <c r="AB462" s="12">
        <v>0</v>
      </c>
      <c r="AC462" s="12">
        <v>0</v>
      </c>
      <c r="AD462" s="13">
        <v>1</v>
      </c>
      <c r="AE462" s="12">
        <v>150</v>
      </c>
      <c r="AF462" s="14">
        <v>0</v>
      </c>
      <c r="AG462" s="5">
        <v>0</v>
      </c>
      <c r="AH462" s="5">
        <v>0</v>
      </c>
      <c r="AI462" s="5">
        <v>0</v>
      </c>
      <c r="AJ462" s="5">
        <v>956.45</v>
      </c>
      <c r="AK462" s="5">
        <v>0</v>
      </c>
      <c r="AL462" s="5">
        <v>956.45</v>
      </c>
      <c r="AM462" s="8"/>
      <c r="AN462" s="8"/>
    </row>
    <row r="463" spans="1:40" ht="16" thickBot="1">
      <c r="A463" s="3">
        <v>462</v>
      </c>
      <c r="B463" s="19">
        <v>45950</v>
      </c>
      <c r="C463" s="5" t="s">
        <v>40</v>
      </c>
      <c r="D463" s="5" t="s">
        <v>41</v>
      </c>
      <c r="E463" s="6" t="s">
        <v>42</v>
      </c>
      <c r="F463" s="7" t="s">
        <v>176</v>
      </c>
      <c r="G463" s="5" t="s">
        <v>44</v>
      </c>
      <c r="H463" s="5" t="s">
        <v>45</v>
      </c>
      <c r="I463" s="5">
        <v>4</v>
      </c>
      <c r="J463" s="5">
        <v>8</v>
      </c>
      <c r="K463" s="5">
        <v>25000</v>
      </c>
      <c r="L463" s="5">
        <v>1000</v>
      </c>
      <c r="M463" s="5">
        <v>55</v>
      </c>
      <c r="N463" s="5">
        <v>31</v>
      </c>
      <c r="O463" s="17" t="s">
        <v>155</v>
      </c>
      <c r="P463" s="8"/>
      <c r="Q463" s="18">
        <v>7.4305555555555555E-2</v>
      </c>
      <c r="R463" s="18">
        <v>7.4305555555555555E-2</v>
      </c>
      <c r="S463" s="17">
        <v>165871</v>
      </c>
      <c r="T463" s="18">
        <v>0.34166666666666662</v>
      </c>
      <c r="U463" s="18">
        <v>0.34166666666666662</v>
      </c>
      <c r="V463" s="17">
        <v>165890</v>
      </c>
      <c r="W463" s="17">
        <v>35</v>
      </c>
      <c r="X463" s="17">
        <v>35</v>
      </c>
      <c r="Y463" s="12">
        <v>0</v>
      </c>
      <c r="Z463" s="12">
        <v>19</v>
      </c>
      <c r="AA463" s="12">
        <v>19</v>
      </c>
      <c r="AB463" s="12">
        <v>0</v>
      </c>
      <c r="AC463" s="12">
        <v>0</v>
      </c>
      <c r="AD463" s="13">
        <v>1</v>
      </c>
      <c r="AE463" s="12">
        <v>150</v>
      </c>
      <c r="AF463" s="14">
        <v>0</v>
      </c>
      <c r="AG463" s="5">
        <v>0</v>
      </c>
      <c r="AH463" s="5">
        <v>0</v>
      </c>
      <c r="AI463" s="5">
        <v>0</v>
      </c>
      <c r="AJ463" s="5">
        <v>956.45</v>
      </c>
      <c r="AK463" s="5">
        <v>0</v>
      </c>
      <c r="AL463" s="5">
        <v>956.45</v>
      </c>
      <c r="AM463" s="8"/>
      <c r="AN463" s="8"/>
    </row>
    <row r="464" spans="1:40" ht="16" thickBot="1">
      <c r="A464" s="3">
        <v>463</v>
      </c>
      <c r="B464" s="19">
        <v>45950</v>
      </c>
      <c r="C464" s="5" t="s">
        <v>40</v>
      </c>
      <c r="D464" s="5" t="s">
        <v>41</v>
      </c>
      <c r="E464" s="6" t="s">
        <v>42</v>
      </c>
      <c r="F464" s="7" t="s">
        <v>72</v>
      </c>
      <c r="G464" s="5" t="s">
        <v>44</v>
      </c>
      <c r="H464" s="5" t="s">
        <v>45</v>
      </c>
      <c r="I464" s="5">
        <v>6</v>
      </c>
      <c r="J464" s="5">
        <v>8</v>
      </c>
      <c r="K464" s="5">
        <v>33000</v>
      </c>
      <c r="L464" s="5">
        <v>2000</v>
      </c>
      <c r="M464" s="5">
        <v>55</v>
      </c>
      <c r="N464" s="5">
        <v>31</v>
      </c>
      <c r="O464" s="17" t="s">
        <v>73</v>
      </c>
      <c r="P464" s="8"/>
      <c r="Q464" s="18">
        <v>7.4999999999999997E-2</v>
      </c>
      <c r="R464" s="18">
        <v>7.4999999999999997E-2</v>
      </c>
      <c r="S464" s="17">
        <v>34391</v>
      </c>
      <c r="T464" s="18">
        <v>0.32361111111111113</v>
      </c>
      <c r="U464" s="18">
        <v>0.32361111111111113</v>
      </c>
      <c r="V464" s="17">
        <v>34461</v>
      </c>
      <c r="W464" s="17">
        <v>24</v>
      </c>
      <c r="X464" s="17">
        <v>24</v>
      </c>
      <c r="Y464" s="12">
        <v>0</v>
      </c>
      <c r="Z464" s="12">
        <v>70</v>
      </c>
      <c r="AA464" s="12">
        <v>70</v>
      </c>
      <c r="AB464" s="12">
        <v>0</v>
      </c>
      <c r="AC464" s="12">
        <v>0</v>
      </c>
      <c r="AD464" s="13">
        <v>0</v>
      </c>
      <c r="AE464" s="12">
        <v>0</v>
      </c>
      <c r="AF464" s="14">
        <v>0</v>
      </c>
      <c r="AG464" s="5">
        <v>0</v>
      </c>
      <c r="AH464" s="5">
        <v>0</v>
      </c>
      <c r="AI464" s="5">
        <v>0</v>
      </c>
      <c r="AJ464" s="5">
        <v>1064.52</v>
      </c>
      <c r="AK464" s="5">
        <v>0</v>
      </c>
      <c r="AL464" s="5">
        <v>1064.52</v>
      </c>
      <c r="AM464" s="8"/>
      <c r="AN464" s="8"/>
    </row>
    <row r="465" spans="1:40" ht="16" thickBot="1">
      <c r="A465" s="3">
        <v>464</v>
      </c>
      <c r="B465" s="19">
        <v>45950</v>
      </c>
      <c r="C465" s="5" t="s">
        <v>40</v>
      </c>
      <c r="D465" s="5" t="s">
        <v>41</v>
      </c>
      <c r="E465" s="6" t="s">
        <v>42</v>
      </c>
      <c r="F465" s="7" t="s">
        <v>62</v>
      </c>
      <c r="G465" s="5" t="s">
        <v>44</v>
      </c>
      <c r="H465" s="5" t="s">
        <v>45</v>
      </c>
      <c r="I465" s="5">
        <v>6</v>
      </c>
      <c r="J465" s="5">
        <v>8</v>
      </c>
      <c r="K465" s="5">
        <v>33000</v>
      </c>
      <c r="L465" s="5">
        <v>2000</v>
      </c>
      <c r="M465" s="5">
        <v>55</v>
      </c>
      <c r="N465" s="5">
        <v>31</v>
      </c>
      <c r="O465" s="17" t="s">
        <v>218</v>
      </c>
      <c r="P465" s="8"/>
      <c r="Q465" s="18">
        <v>8.5416666666666655E-2</v>
      </c>
      <c r="R465" s="18">
        <v>8.5416666666666655E-2</v>
      </c>
      <c r="S465" s="17">
        <v>48352</v>
      </c>
      <c r="T465" s="18">
        <v>0.36458333333333331</v>
      </c>
      <c r="U465" s="18">
        <v>0.36458333333333331</v>
      </c>
      <c r="V465" s="17">
        <v>48407</v>
      </c>
      <c r="W465" s="17">
        <v>29</v>
      </c>
      <c r="X465" s="17">
        <v>27</v>
      </c>
      <c r="Y465" s="12">
        <v>2</v>
      </c>
      <c r="Z465" s="12">
        <v>55</v>
      </c>
      <c r="AA465" s="12">
        <v>55</v>
      </c>
      <c r="AB465" s="12">
        <v>0</v>
      </c>
      <c r="AC465" s="12">
        <v>0</v>
      </c>
      <c r="AD465" s="13">
        <v>0</v>
      </c>
      <c r="AE465" s="12">
        <v>0</v>
      </c>
      <c r="AF465" s="14">
        <v>0</v>
      </c>
      <c r="AG465" s="5">
        <v>0</v>
      </c>
      <c r="AH465" s="5">
        <v>0</v>
      </c>
      <c r="AI465" s="5">
        <v>0</v>
      </c>
      <c r="AJ465" s="5">
        <v>1064.52</v>
      </c>
      <c r="AK465" s="5">
        <v>0</v>
      </c>
      <c r="AL465" s="5">
        <v>1064.52</v>
      </c>
      <c r="AM465" s="8"/>
      <c r="AN465" s="8"/>
    </row>
    <row r="466" spans="1:40" ht="16" thickBot="1">
      <c r="A466" s="3">
        <v>465</v>
      </c>
      <c r="B466" s="19">
        <v>45950</v>
      </c>
      <c r="C466" s="5" t="s">
        <v>40</v>
      </c>
      <c r="D466" s="5" t="s">
        <v>41</v>
      </c>
      <c r="E466" s="6" t="s">
        <v>42</v>
      </c>
      <c r="F466" s="7" t="s">
        <v>89</v>
      </c>
      <c r="G466" s="10" t="s">
        <v>83</v>
      </c>
      <c r="H466" s="5" t="s">
        <v>84</v>
      </c>
      <c r="I466" s="5">
        <v>4</v>
      </c>
      <c r="J466" s="5">
        <v>10</v>
      </c>
      <c r="K466" s="6">
        <v>29000</v>
      </c>
      <c r="L466" s="5">
        <v>1000</v>
      </c>
      <c r="M466" s="5">
        <v>55</v>
      </c>
      <c r="N466" s="5">
        <v>31</v>
      </c>
      <c r="O466" s="17" t="s">
        <v>124</v>
      </c>
      <c r="P466" s="8"/>
      <c r="Q466" s="18">
        <v>8.5416666666666655E-2</v>
      </c>
      <c r="R466" s="18">
        <v>8.5416666666666655E-2</v>
      </c>
      <c r="S466" s="17">
        <v>139507</v>
      </c>
      <c r="T466" s="18">
        <v>0.31944444444444448</v>
      </c>
      <c r="U466" s="18">
        <v>0.31944444444444448</v>
      </c>
      <c r="V466" s="17">
        <v>139536</v>
      </c>
      <c r="W466" s="17">
        <v>29</v>
      </c>
      <c r="X466" s="17">
        <v>29</v>
      </c>
      <c r="Y466" s="12">
        <v>0</v>
      </c>
      <c r="Z466" s="12">
        <v>29</v>
      </c>
      <c r="AA466" s="12">
        <v>29</v>
      </c>
      <c r="AB466" s="12">
        <v>0</v>
      </c>
      <c r="AC466" s="12">
        <v>0</v>
      </c>
      <c r="AD466" s="13">
        <v>0</v>
      </c>
      <c r="AE466" s="12">
        <v>0</v>
      </c>
      <c r="AF466" s="14">
        <v>0</v>
      </c>
      <c r="AG466" s="5">
        <v>0</v>
      </c>
      <c r="AH466" s="5">
        <v>0</v>
      </c>
      <c r="AI466" s="5">
        <v>0</v>
      </c>
      <c r="AJ466" s="5">
        <v>935.48</v>
      </c>
      <c r="AK466" s="5">
        <v>0</v>
      </c>
      <c r="AL466" s="5">
        <v>935.48</v>
      </c>
      <c r="AM466" s="8"/>
      <c r="AN466" s="8"/>
    </row>
    <row r="467" spans="1:40" ht="16" thickBot="1">
      <c r="A467" s="3">
        <v>466</v>
      </c>
      <c r="B467" s="19">
        <v>45950</v>
      </c>
      <c r="C467" s="5" t="s">
        <v>40</v>
      </c>
      <c r="D467" s="5" t="s">
        <v>41</v>
      </c>
      <c r="E467" s="6" t="s">
        <v>42</v>
      </c>
      <c r="F467" s="7" t="s">
        <v>55</v>
      </c>
      <c r="G467" s="5" t="s">
        <v>44</v>
      </c>
      <c r="H467" s="5" t="s">
        <v>45</v>
      </c>
      <c r="I467" s="5">
        <v>4</v>
      </c>
      <c r="J467" s="5">
        <v>8</v>
      </c>
      <c r="K467" s="5">
        <v>25000</v>
      </c>
      <c r="L467" s="5">
        <v>1000</v>
      </c>
      <c r="M467" s="5">
        <v>55</v>
      </c>
      <c r="N467" s="5">
        <v>31</v>
      </c>
      <c r="O467" s="17" t="s">
        <v>56</v>
      </c>
      <c r="P467" s="8"/>
      <c r="Q467" s="18">
        <v>9.0277777777777776E-2</v>
      </c>
      <c r="R467" s="18">
        <v>9.0277777777777776E-2</v>
      </c>
      <c r="S467" s="17">
        <v>145443</v>
      </c>
      <c r="T467" s="18">
        <v>0.31597222222222221</v>
      </c>
      <c r="U467" s="18">
        <v>0.31597222222222221</v>
      </c>
      <c r="V467" s="17">
        <v>145459</v>
      </c>
      <c r="W467" s="17">
        <v>20</v>
      </c>
      <c r="X467" s="17">
        <v>20</v>
      </c>
      <c r="Y467" s="12">
        <v>0</v>
      </c>
      <c r="Z467" s="12">
        <v>16</v>
      </c>
      <c r="AA467" s="12">
        <v>16</v>
      </c>
      <c r="AB467" s="12">
        <v>0</v>
      </c>
      <c r="AC467" s="12">
        <v>0</v>
      </c>
      <c r="AD467" s="13">
        <v>0</v>
      </c>
      <c r="AE467" s="12">
        <v>0</v>
      </c>
      <c r="AF467" s="14">
        <v>0</v>
      </c>
      <c r="AG467" s="5">
        <v>0</v>
      </c>
      <c r="AH467" s="5">
        <v>0</v>
      </c>
      <c r="AI467" s="5">
        <v>0</v>
      </c>
      <c r="AJ467" s="5">
        <v>806.45</v>
      </c>
      <c r="AK467" s="5">
        <v>0</v>
      </c>
      <c r="AL467" s="5">
        <v>806.45</v>
      </c>
      <c r="AM467" s="8"/>
      <c r="AN467" s="8"/>
    </row>
    <row r="468" spans="1:40" ht="16" thickBot="1">
      <c r="A468" s="3">
        <v>467</v>
      </c>
      <c r="B468" s="19">
        <v>45950</v>
      </c>
      <c r="C468" s="5" t="s">
        <v>40</v>
      </c>
      <c r="D468" s="5" t="s">
        <v>41</v>
      </c>
      <c r="E468" s="6" t="s">
        <v>42</v>
      </c>
      <c r="F468" s="7" t="s">
        <v>70</v>
      </c>
      <c r="G468" s="5" t="s">
        <v>44</v>
      </c>
      <c r="H468" s="5" t="s">
        <v>45</v>
      </c>
      <c r="I468" s="5">
        <v>4</v>
      </c>
      <c r="J468" s="5">
        <v>8</v>
      </c>
      <c r="K468" s="5">
        <v>25000</v>
      </c>
      <c r="L468" s="5">
        <v>1000</v>
      </c>
      <c r="M468" s="5">
        <v>55</v>
      </c>
      <c r="N468" s="5">
        <v>31</v>
      </c>
      <c r="O468" s="17" t="s">
        <v>172</v>
      </c>
      <c r="P468" s="8"/>
      <c r="Q468" s="18">
        <v>9.0277777777777776E-2</v>
      </c>
      <c r="R468" s="18">
        <v>9.0277777777777776E-2</v>
      </c>
      <c r="S468" s="17">
        <v>37225</v>
      </c>
      <c r="T468" s="18">
        <v>0.31458333333333333</v>
      </c>
      <c r="U468" s="18">
        <v>0.31458333333333333</v>
      </c>
      <c r="V468" s="17">
        <v>37266</v>
      </c>
      <c r="W468" s="17">
        <v>42</v>
      </c>
      <c r="X468" s="17">
        <v>42</v>
      </c>
      <c r="Y468" s="12">
        <v>0</v>
      </c>
      <c r="Z468" s="12">
        <v>41</v>
      </c>
      <c r="AA468" s="12">
        <v>41</v>
      </c>
      <c r="AB468" s="12">
        <v>0</v>
      </c>
      <c r="AC468" s="12">
        <v>0</v>
      </c>
      <c r="AD468" s="13">
        <v>0</v>
      </c>
      <c r="AE468" s="12">
        <v>0</v>
      </c>
      <c r="AF468" s="14">
        <v>0</v>
      </c>
      <c r="AG468" s="5">
        <v>0</v>
      </c>
      <c r="AH468" s="5">
        <v>0</v>
      </c>
      <c r="AI468" s="5">
        <v>0</v>
      </c>
      <c r="AJ468" s="5">
        <v>806.45</v>
      </c>
      <c r="AK468" s="5">
        <v>0</v>
      </c>
      <c r="AL468" s="5">
        <v>806.45</v>
      </c>
      <c r="AM468" s="8"/>
      <c r="AN468" s="8"/>
    </row>
    <row r="469" spans="1:40" ht="16" thickBot="1">
      <c r="A469" s="3">
        <v>468</v>
      </c>
      <c r="B469" s="21">
        <v>45950</v>
      </c>
      <c r="C469" s="22" t="s">
        <v>40</v>
      </c>
      <c r="D469" s="22" t="s">
        <v>41</v>
      </c>
      <c r="E469" s="6" t="s">
        <v>42</v>
      </c>
      <c r="F469" s="7" t="s">
        <v>219</v>
      </c>
      <c r="G469" s="5" t="s">
        <v>44</v>
      </c>
      <c r="H469" s="5" t="s">
        <v>45</v>
      </c>
      <c r="I469" s="22">
        <v>4</v>
      </c>
      <c r="J469" s="5">
        <v>8</v>
      </c>
      <c r="K469" s="5">
        <v>25000</v>
      </c>
      <c r="L469" s="5">
        <v>1000</v>
      </c>
      <c r="M469" s="5">
        <v>55</v>
      </c>
      <c r="N469" s="5">
        <v>31</v>
      </c>
      <c r="O469" s="23" t="s">
        <v>94</v>
      </c>
      <c r="P469" s="24"/>
      <c r="Q469" s="25">
        <v>9.0277777777777776E-2</v>
      </c>
      <c r="R469" s="25">
        <v>9.0277777777777776E-2</v>
      </c>
      <c r="S469" s="23">
        <v>115538</v>
      </c>
      <c r="T469" s="25">
        <v>0.3263888888888889</v>
      </c>
      <c r="U469" s="25">
        <v>0.3263888888888889</v>
      </c>
      <c r="V469" s="23">
        <v>115575</v>
      </c>
      <c r="W469" s="23">
        <v>30</v>
      </c>
      <c r="X469" s="23">
        <v>30</v>
      </c>
      <c r="Y469" s="12">
        <v>0</v>
      </c>
      <c r="Z469" s="12">
        <v>37</v>
      </c>
      <c r="AA469" s="12">
        <v>37</v>
      </c>
      <c r="AB469" s="12">
        <v>0</v>
      </c>
      <c r="AC469" s="12">
        <v>0</v>
      </c>
      <c r="AD469" s="13">
        <v>0</v>
      </c>
      <c r="AE469" s="12">
        <v>0</v>
      </c>
      <c r="AF469" s="14">
        <v>0</v>
      </c>
      <c r="AG469" s="5">
        <v>0</v>
      </c>
      <c r="AH469" s="5">
        <v>0</v>
      </c>
      <c r="AI469" s="5">
        <v>0</v>
      </c>
      <c r="AJ469" s="5">
        <v>806.45</v>
      </c>
      <c r="AK469" s="5">
        <v>0</v>
      </c>
      <c r="AL469" s="5">
        <v>806.45</v>
      </c>
      <c r="AM469" s="8"/>
      <c r="AN469" s="8"/>
    </row>
    <row r="470" spans="1:40" ht="16" thickBot="1">
      <c r="A470" s="3">
        <v>469</v>
      </c>
      <c r="B470" s="19">
        <v>45950</v>
      </c>
      <c r="C470" s="5" t="s">
        <v>40</v>
      </c>
      <c r="D470" s="5" t="s">
        <v>41</v>
      </c>
      <c r="E470" s="6" t="s">
        <v>42</v>
      </c>
      <c r="F470" s="7" t="s">
        <v>178</v>
      </c>
      <c r="G470" s="5" t="s">
        <v>44</v>
      </c>
      <c r="H470" s="5" t="s">
        <v>45</v>
      </c>
      <c r="I470" s="5">
        <v>4</v>
      </c>
      <c r="J470" s="5">
        <v>8</v>
      </c>
      <c r="K470" s="5">
        <v>25000</v>
      </c>
      <c r="L470" s="5">
        <v>1000</v>
      </c>
      <c r="M470" s="5">
        <v>55</v>
      </c>
      <c r="N470" s="5">
        <v>31</v>
      </c>
      <c r="O470" s="17" t="s">
        <v>116</v>
      </c>
      <c r="P470" s="8"/>
      <c r="Q470" s="18">
        <v>9.5833333333333326E-2</v>
      </c>
      <c r="R470" s="18">
        <v>9.5833333333333326E-2</v>
      </c>
      <c r="S470" s="17">
        <v>45018</v>
      </c>
      <c r="T470" s="18">
        <v>0.27777777777777779</v>
      </c>
      <c r="U470" s="18">
        <v>0.27777777777777779</v>
      </c>
      <c r="V470" s="17">
        <v>45055</v>
      </c>
      <c r="W470" s="17">
        <v>21</v>
      </c>
      <c r="X470" s="17">
        <v>21</v>
      </c>
      <c r="Y470" s="12">
        <v>0</v>
      </c>
      <c r="Z470" s="12">
        <v>37</v>
      </c>
      <c r="AA470" s="12">
        <v>37</v>
      </c>
      <c r="AB470" s="12">
        <v>0</v>
      </c>
      <c r="AC470" s="12">
        <v>0</v>
      </c>
      <c r="AD470" s="13">
        <v>0</v>
      </c>
      <c r="AE470" s="12">
        <v>0</v>
      </c>
      <c r="AF470" s="14">
        <v>0</v>
      </c>
      <c r="AG470" s="5">
        <v>0</v>
      </c>
      <c r="AH470" s="5">
        <v>0</v>
      </c>
      <c r="AI470" s="5">
        <v>0</v>
      </c>
      <c r="AJ470" s="5">
        <v>806.45</v>
      </c>
      <c r="AK470" s="5">
        <v>0</v>
      </c>
      <c r="AL470" s="5">
        <v>806.45</v>
      </c>
      <c r="AM470" s="8"/>
      <c r="AN470" s="8"/>
    </row>
    <row r="471" spans="1:40" ht="16" thickBot="1">
      <c r="A471" s="3">
        <v>470</v>
      </c>
      <c r="B471" s="19">
        <v>45950</v>
      </c>
      <c r="C471" s="5" t="s">
        <v>40</v>
      </c>
      <c r="D471" s="5" t="s">
        <v>41</v>
      </c>
      <c r="E471" s="6" t="s">
        <v>42</v>
      </c>
      <c r="F471" s="7" t="s">
        <v>87</v>
      </c>
      <c r="G471" s="10" t="s">
        <v>83</v>
      </c>
      <c r="H471" s="5" t="s">
        <v>84</v>
      </c>
      <c r="I471" s="5">
        <v>4</v>
      </c>
      <c r="J471" s="5">
        <v>10</v>
      </c>
      <c r="K471" s="6">
        <v>29000</v>
      </c>
      <c r="L471" s="5">
        <v>1000</v>
      </c>
      <c r="M471" s="5">
        <v>55</v>
      </c>
      <c r="N471" s="5">
        <v>31</v>
      </c>
      <c r="O471" s="17" t="s">
        <v>188</v>
      </c>
      <c r="P471" s="8"/>
      <c r="Q471" s="18">
        <v>0.10347222222222223</v>
      </c>
      <c r="R471" s="18">
        <v>0.10347222222222223</v>
      </c>
      <c r="S471" s="17">
        <v>3451</v>
      </c>
      <c r="T471" s="18">
        <v>0.38194444444444442</v>
      </c>
      <c r="U471" s="18">
        <v>0.38194444444444442</v>
      </c>
      <c r="V471" s="17">
        <v>3484</v>
      </c>
      <c r="W471" s="17">
        <v>64</v>
      </c>
      <c r="X471" s="17">
        <v>64</v>
      </c>
      <c r="Y471" s="12">
        <v>0</v>
      </c>
      <c r="Z471" s="12">
        <v>33</v>
      </c>
      <c r="AA471" s="12">
        <v>33</v>
      </c>
      <c r="AB471" s="12">
        <v>0</v>
      </c>
      <c r="AC471" s="12">
        <v>0</v>
      </c>
      <c r="AD471" s="13">
        <v>2</v>
      </c>
      <c r="AE471" s="12">
        <v>300</v>
      </c>
      <c r="AF471" s="14">
        <v>0</v>
      </c>
      <c r="AG471" s="5">
        <v>0</v>
      </c>
      <c r="AH471" s="5">
        <v>0</v>
      </c>
      <c r="AI471" s="5">
        <v>0</v>
      </c>
      <c r="AJ471" s="5">
        <v>1235.48</v>
      </c>
      <c r="AK471" s="5">
        <v>0</v>
      </c>
      <c r="AL471" s="5">
        <v>1235.48</v>
      </c>
      <c r="AM471" s="8"/>
      <c r="AN471" s="8"/>
    </row>
    <row r="472" spans="1:40" ht="16" thickBot="1">
      <c r="A472" s="3">
        <v>471</v>
      </c>
      <c r="B472" s="19">
        <v>45950</v>
      </c>
      <c r="C472" s="5" t="s">
        <v>40</v>
      </c>
      <c r="D472" s="5" t="s">
        <v>41</v>
      </c>
      <c r="E472" s="6" t="s">
        <v>42</v>
      </c>
      <c r="F472" s="7" t="s">
        <v>105</v>
      </c>
      <c r="G472" s="5" t="s">
        <v>44</v>
      </c>
      <c r="H472" s="5" t="s">
        <v>45</v>
      </c>
      <c r="I472" s="5">
        <v>4</v>
      </c>
      <c r="J472" s="5">
        <v>8</v>
      </c>
      <c r="K472" s="5">
        <v>25000</v>
      </c>
      <c r="L472" s="5">
        <v>1000</v>
      </c>
      <c r="M472" s="5">
        <v>55</v>
      </c>
      <c r="N472" s="5">
        <v>31</v>
      </c>
      <c r="O472" s="17" t="s">
        <v>119</v>
      </c>
      <c r="P472" s="8"/>
      <c r="Q472" s="18">
        <v>0.10694444444444444</v>
      </c>
      <c r="R472" s="18">
        <v>0.10694444444444444</v>
      </c>
      <c r="S472" s="17">
        <v>41780</v>
      </c>
      <c r="T472" s="18">
        <v>0.35069444444444442</v>
      </c>
      <c r="U472" s="18">
        <v>0.35069444444444442</v>
      </c>
      <c r="V472" s="17">
        <v>41828</v>
      </c>
      <c r="W472" s="17">
        <v>30</v>
      </c>
      <c r="X472" s="17">
        <v>30</v>
      </c>
      <c r="Y472" s="12">
        <v>0</v>
      </c>
      <c r="Z472" s="12">
        <v>48</v>
      </c>
      <c r="AA472" s="12">
        <v>48</v>
      </c>
      <c r="AB472" s="12">
        <v>0</v>
      </c>
      <c r="AC472" s="12">
        <v>0</v>
      </c>
      <c r="AD472" s="13">
        <v>1</v>
      </c>
      <c r="AE472" s="12">
        <v>150</v>
      </c>
      <c r="AF472" s="14">
        <v>0</v>
      </c>
      <c r="AG472" s="5">
        <v>0</v>
      </c>
      <c r="AH472" s="5">
        <v>0</v>
      </c>
      <c r="AI472" s="5">
        <v>0</v>
      </c>
      <c r="AJ472" s="5">
        <v>956.45</v>
      </c>
      <c r="AK472" s="5">
        <v>0</v>
      </c>
      <c r="AL472" s="5">
        <v>956.45</v>
      </c>
      <c r="AM472" s="8"/>
      <c r="AN472" s="8"/>
    </row>
    <row r="473" spans="1:40" ht="16" thickBot="1">
      <c r="A473" s="3">
        <v>472</v>
      </c>
      <c r="B473" s="19">
        <v>45950</v>
      </c>
      <c r="C473" s="5" t="s">
        <v>40</v>
      </c>
      <c r="D473" s="5" t="s">
        <v>41</v>
      </c>
      <c r="E473" s="6" t="s">
        <v>42</v>
      </c>
      <c r="F473" s="7" t="s">
        <v>177</v>
      </c>
      <c r="G473" s="5" t="s">
        <v>44</v>
      </c>
      <c r="H473" s="5" t="s">
        <v>45</v>
      </c>
      <c r="I473" s="5">
        <v>4</v>
      </c>
      <c r="J473" s="5">
        <v>8</v>
      </c>
      <c r="K473" s="5">
        <v>25000</v>
      </c>
      <c r="L473" s="5">
        <v>1000</v>
      </c>
      <c r="M473" s="5">
        <v>55</v>
      </c>
      <c r="N473" s="5">
        <v>31</v>
      </c>
      <c r="O473" s="17" t="s">
        <v>220</v>
      </c>
      <c r="P473" s="8"/>
      <c r="Q473" s="18">
        <v>0.10694444444444444</v>
      </c>
      <c r="R473" s="18">
        <v>0.10694444444444444</v>
      </c>
      <c r="S473" s="17">
        <v>89301</v>
      </c>
      <c r="T473" s="18">
        <v>0.35416666666666669</v>
      </c>
      <c r="U473" s="18">
        <v>0.35416666666666669</v>
      </c>
      <c r="V473" s="17">
        <v>89335</v>
      </c>
      <c r="W473" s="8"/>
      <c r="X473" s="8"/>
      <c r="Y473" s="12">
        <v>0</v>
      </c>
      <c r="Z473" s="12">
        <v>34</v>
      </c>
      <c r="AA473" s="12">
        <v>34</v>
      </c>
      <c r="AB473" s="12">
        <v>0</v>
      </c>
      <c r="AC473" s="12">
        <v>0</v>
      </c>
      <c r="AD473" s="13">
        <v>1</v>
      </c>
      <c r="AE473" s="12">
        <v>150</v>
      </c>
      <c r="AF473" s="14">
        <v>0</v>
      </c>
      <c r="AG473" s="5">
        <v>0</v>
      </c>
      <c r="AH473" s="5">
        <v>0</v>
      </c>
      <c r="AI473" s="5">
        <v>0</v>
      </c>
      <c r="AJ473" s="5">
        <v>956.45</v>
      </c>
      <c r="AK473" s="5">
        <v>0</v>
      </c>
      <c r="AL473" s="5">
        <v>956.45</v>
      </c>
      <c r="AM473" s="8"/>
      <c r="AN473" s="8"/>
    </row>
    <row r="474" spans="1:40" ht="16" thickBot="1">
      <c r="A474" s="3">
        <v>473</v>
      </c>
      <c r="B474" s="19">
        <v>45950</v>
      </c>
      <c r="C474" s="5" t="s">
        <v>40</v>
      </c>
      <c r="D474" s="5" t="s">
        <v>41</v>
      </c>
      <c r="E474" s="6" t="s">
        <v>42</v>
      </c>
      <c r="F474" s="7" t="s">
        <v>59</v>
      </c>
      <c r="G474" s="5" t="s">
        <v>44</v>
      </c>
      <c r="H474" s="5" t="s">
        <v>45</v>
      </c>
      <c r="I474" s="5">
        <v>4</v>
      </c>
      <c r="J474" s="5">
        <v>8</v>
      </c>
      <c r="K474" s="5">
        <v>25000</v>
      </c>
      <c r="L474" s="5">
        <v>1000</v>
      </c>
      <c r="M474" s="5">
        <v>55</v>
      </c>
      <c r="N474" s="5">
        <v>31</v>
      </c>
      <c r="O474" s="17" t="s">
        <v>221</v>
      </c>
      <c r="P474" s="8"/>
      <c r="Q474" s="18">
        <v>0.10972222222222222</v>
      </c>
      <c r="R474" s="18">
        <v>0.10972222222222222</v>
      </c>
      <c r="S474" s="17">
        <v>159685</v>
      </c>
      <c r="T474" s="18">
        <v>0.31597222222222221</v>
      </c>
      <c r="U474" s="18">
        <v>0.31597222222222221</v>
      </c>
      <c r="V474" s="17">
        <v>159722</v>
      </c>
      <c r="W474" s="17">
        <v>43</v>
      </c>
      <c r="X474" s="17">
        <v>43</v>
      </c>
      <c r="Y474" s="12">
        <v>0</v>
      </c>
      <c r="Z474" s="12">
        <v>37</v>
      </c>
      <c r="AA474" s="12">
        <v>37</v>
      </c>
      <c r="AB474" s="12">
        <v>0</v>
      </c>
      <c r="AC474" s="12">
        <v>0</v>
      </c>
      <c r="AD474" s="13">
        <v>0</v>
      </c>
      <c r="AE474" s="12">
        <v>0</v>
      </c>
      <c r="AF474" s="14">
        <v>0</v>
      </c>
      <c r="AG474" s="5">
        <v>0</v>
      </c>
      <c r="AH474" s="5">
        <v>0</v>
      </c>
      <c r="AI474" s="5">
        <v>0</v>
      </c>
      <c r="AJ474" s="5">
        <v>806.45</v>
      </c>
      <c r="AK474" s="5">
        <v>0</v>
      </c>
      <c r="AL474" s="5">
        <v>806.45</v>
      </c>
      <c r="AM474" s="8"/>
      <c r="AN474" s="8"/>
    </row>
    <row r="475" spans="1:40" ht="16" thickBot="1">
      <c r="A475" s="3">
        <v>474</v>
      </c>
      <c r="B475" s="19">
        <v>45950</v>
      </c>
      <c r="C475" s="5" t="s">
        <v>40</v>
      </c>
      <c r="D475" s="5" t="s">
        <v>41</v>
      </c>
      <c r="E475" s="6" t="s">
        <v>42</v>
      </c>
      <c r="F475" s="7" t="s">
        <v>82</v>
      </c>
      <c r="G475" s="10" t="s">
        <v>83</v>
      </c>
      <c r="H475" s="5" t="s">
        <v>84</v>
      </c>
      <c r="I475" s="5">
        <v>4</v>
      </c>
      <c r="J475" s="5">
        <v>10</v>
      </c>
      <c r="K475" s="6">
        <v>29000</v>
      </c>
      <c r="L475" s="5">
        <v>1000</v>
      </c>
      <c r="M475" s="5">
        <v>55</v>
      </c>
      <c r="N475" s="5">
        <v>31</v>
      </c>
      <c r="O475" s="17" t="s">
        <v>107</v>
      </c>
      <c r="P475" s="8"/>
      <c r="Q475" s="18">
        <v>0.11180555555555556</v>
      </c>
      <c r="R475" s="18">
        <v>0.11180555555555556</v>
      </c>
      <c r="S475" s="17">
        <v>33096</v>
      </c>
      <c r="T475" s="18">
        <v>0.34375</v>
      </c>
      <c r="U475" s="18">
        <v>0.34375</v>
      </c>
      <c r="V475" s="17">
        <v>33120</v>
      </c>
      <c r="W475" s="17">
        <v>40</v>
      </c>
      <c r="X475" s="17">
        <v>40</v>
      </c>
      <c r="Y475" s="12">
        <v>0</v>
      </c>
      <c r="Z475" s="12">
        <v>24</v>
      </c>
      <c r="AA475" s="12">
        <v>24</v>
      </c>
      <c r="AB475" s="12">
        <v>0</v>
      </c>
      <c r="AC475" s="12">
        <v>0</v>
      </c>
      <c r="AD475" s="13">
        <v>1</v>
      </c>
      <c r="AE475" s="12">
        <v>150</v>
      </c>
      <c r="AF475" s="14">
        <v>0</v>
      </c>
      <c r="AG475" s="5">
        <v>0</v>
      </c>
      <c r="AH475" s="5">
        <v>0</v>
      </c>
      <c r="AI475" s="5">
        <v>0</v>
      </c>
      <c r="AJ475" s="5">
        <v>1085.48</v>
      </c>
      <c r="AK475" s="5">
        <v>0</v>
      </c>
      <c r="AL475" s="5">
        <v>1085.48</v>
      </c>
      <c r="AM475" s="8"/>
      <c r="AN475" s="8"/>
    </row>
    <row r="476" spans="1:40" ht="16" thickBot="1">
      <c r="A476" s="3">
        <v>475</v>
      </c>
      <c r="B476" s="19">
        <v>45950</v>
      </c>
      <c r="C476" s="5" t="s">
        <v>40</v>
      </c>
      <c r="D476" s="5" t="s">
        <v>41</v>
      </c>
      <c r="E476" s="6" t="s">
        <v>42</v>
      </c>
      <c r="F476" s="7" t="s">
        <v>150</v>
      </c>
      <c r="G476" s="10" t="s">
        <v>83</v>
      </c>
      <c r="H476" s="5" t="s">
        <v>84</v>
      </c>
      <c r="I476" s="5">
        <v>4</v>
      </c>
      <c r="J476" s="5">
        <v>10</v>
      </c>
      <c r="K476" s="6">
        <v>29000</v>
      </c>
      <c r="L476" s="5">
        <v>1000</v>
      </c>
      <c r="M476" s="5">
        <v>55</v>
      </c>
      <c r="N476" s="5">
        <v>31</v>
      </c>
      <c r="O476" s="17" t="s">
        <v>125</v>
      </c>
      <c r="P476" s="8"/>
      <c r="Q476" s="18">
        <v>0.11388888888888889</v>
      </c>
      <c r="R476" s="18">
        <v>0.11388888888888889</v>
      </c>
      <c r="S476" s="17">
        <v>61063</v>
      </c>
      <c r="T476" s="18">
        <v>0.33263888888888887</v>
      </c>
      <c r="U476" s="18">
        <v>0.33263888888888887</v>
      </c>
      <c r="V476" s="17">
        <v>61092</v>
      </c>
      <c r="W476" s="17">
        <v>53</v>
      </c>
      <c r="X476" s="17">
        <v>53</v>
      </c>
      <c r="Y476" s="12">
        <v>0</v>
      </c>
      <c r="Z476" s="12">
        <v>29</v>
      </c>
      <c r="AA476" s="12">
        <v>29</v>
      </c>
      <c r="AB476" s="12">
        <v>0</v>
      </c>
      <c r="AC476" s="12">
        <v>0</v>
      </c>
      <c r="AD476" s="13">
        <v>0</v>
      </c>
      <c r="AE476" s="12">
        <v>0</v>
      </c>
      <c r="AF476" s="14">
        <v>0</v>
      </c>
      <c r="AG476" s="5">
        <v>0</v>
      </c>
      <c r="AH476" s="5">
        <v>0</v>
      </c>
      <c r="AI476" s="5">
        <v>0</v>
      </c>
      <c r="AJ476" s="5">
        <v>935.48</v>
      </c>
      <c r="AK476" s="5">
        <v>0</v>
      </c>
      <c r="AL476" s="5">
        <v>935.48</v>
      </c>
      <c r="AM476" s="8"/>
      <c r="AN476" s="8"/>
    </row>
    <row r="477" spans="1:40" ht="16" thickBot="1">
      <c r="A477" s="3">
        <v>476</v>
      </c>
      <c r="B477" s="19">
        <v>45950</v>
      </c>
      <c r="C477" s="5" t="s">
        <v>40</v>
      </c>
      <c r="D477" s="5" t="s">
        <v>41</v>
      </c>
      <c r="E477" s="6" t="s">
        <v>42</v>
      </c>
      <c r="F477" s="7" t="s">
        <v>78</v>
      </c>
      <c r="G477" s="5" t="s">
        <v>44</v>
      </c>
      <c r="H477" s="5" t="s">
        <v>45</v>
      </c>
      <c r="I477" s="5">
        <v>4</v>
      </c>
      <c r="J477" s="5">
        <v>8</v>
      </c>
      <c r="K477" s="5">
        <v>25000</v>
      </c>
      <c r="L477" s="5">
        <v>1000</v>
      </c>
      <c r="M477" s="5">
        <v>55</v>
      </c>
      <c r="N477" s="5">
        <v>31</v>
      </c>
      <c r="O477" s="17" t="s">
        <v>67</v>
      </c>
      <c r="P477" s="8"/>
      <c r="Q477" s="18">
        <v>0.1173611111111111</v>
      </c>
      <c r="R477" s="18">
        <v>0.1173611111111111</v>
      </c>
      <c r="S477" s="17">
        <v>7789</v>
      </c>
      <c r="T477" s="18">
        <v>0.30069444444444443</v>
      </c>
      <c r="U477" s="18">
        <v>0.30069444444444443</v>
      </c>
      <c r="V477" s="17">
        <v>7814</v>
      </c>
      <c r="W477" s="17">
        <v>13</v>
      </c>
      <c r="X477" s="17">
        <v>13</v>
      </c>
      <c r="Y477" s="12">
        <v>0</v>
      </c>
      <c r="Z477" s="12">
        <v>25</v>
      </c>
      <c r="AA477" s="12">
        <v>25</v>
      </c>
      <c r="AB477" s="12">
        <v>0</v>
      </c>
      <c r="AC477" s="12">
        <v>0</v>
      </c>
      <c r="AD477" s="13">
        <v>0</v>
      </c>
      <c r="AE477" s="12">
        <v>0</v>
      </c>
      <c r="AF477" s="14">
        <v>0</v>
      </c>
      <c r="AG477" s="5">
        <v>0</v>
      </c>
      <c r="AH477" s="5">
        <v>0</v>
      </c>
      <c r="AI477" s="5">
        <v>0</v>
      </c>
      <c r="AJ477" s="5">
        <v>806.45</v>
      </c>
      <c r="AK477" s="5">
        <v>0</v>
      </c>
      <c r="AL477" s="5">
        <v>806.45</v>
      </c>
      <c r="AM477" s="8"/>
      <c r="AN477" s="8"/>
    </row>
    <row r="478" spans="1:40" ht="16" thickBot="1">
      <c r="A478" s="3">
        <v>477</v>
      </c>
      <c r="B478" s="19">
        <v>45950</v>
      </c>
      <c r="C478" s="5" t="s">
        <v>40</v>
      </c>
      <c r="D478" s="5" t="s">
        <v>41</v>
      </c>
      <c r="E478" s="6" t="s">
        <v>42</v>
      </c>
      <c r="F478" s="7" t="s">
        <v>53</v>
      </c>
      <c r="G478" s="5" t="s">
        <v>44</v>
      </c>
      <c r="H478" s="5" t="s">
        <v>45</v>
      </c>
      <c r="I478" s="5">
        <v>4</v>
      </c>
      <c r="J478" s="5">
        <v>8</v>
      </c>
      <c r="K478" s="5">
        <v>25000</v>
      </c>
      <c r="L478" s="5">
        <v>1000</v>
      </c>
      <c r="M478" s="5">
        <v>55</v>
      </c>
      <c r="N478" s="5">
        <v>31</v>
      </c>
      <c r="O478" s="17" t="s">
        <v>61</v>
      </c>
      <c r="P478" s="8"/>
      <c r="Q478" s="18">
        <v>0.11805555555555557</v>
      </c>
      <c r="R478" s="18">
        <v>0.11805555555555557</v>
      </c>
      <c r="S478" s="17">
        <v>12854</v>
      </c>
      <c r="T478" s="18">
        <v>0.29583333333333334</v>
      </c>
      <c r="U478" s="18">
        <v>0.29583333333333334</v>
      </c>
      <c r="V478" s="17">
        <v>12871</v>
      </c>
      <c r="W478" s="17">
        <v>40</v>
      </c>
      <c r="X478" s="17">
        <v>40</v>
      </c>
      <c r="Y478" s="12">
        <v>0</v>
      </c>
      <c r="Z478" s="12">
        <v>17</v>
      </c>
      <c r="AA478" s="12">
        <v>17</v>
      </c>
      <c r="AB478" s="12">
        <v>0</v>
      </c>
      <c r="AC478" s="12">
        <v>0</v>
      </c>
      <c r="AD478" s="13">
        <v>0</v>
      </c>
      <c r="AE478" s="12">
        <v>0</v>
      </c>
      <c r="AF478" s="14">
        <v>0</v>
      </c>
      <c r="AG478" s="5">
        <v>0</v>
      </c>
      <c r="AH478" s="5">
        <v>0</v>
      </c>
      <c r="AI478" s="5">
        <v>0</v>
      </c>
      <c r="AJ478" s="5">
        <v>806.45</v>
      </c>
      <c r="AK478" s="5">
        <v>0</v>
      </c>
      <c r="AL478" s="5">
        <v>806.45</v>
      </c>
      <c r="AM478" s="8"/>
      <c r="AN478" s="8"/>
    </row>
    <row r="479" spans="1:40" ht="16" thickBot="1">
      <c r="A479" s="3">
        <v>478</v>
      </c>
      <c r="B479" s="19">
        <v>45950</v>
      </c>
      <c r="C479" s="5" t="s">
        <v>40</v>
      </c>
      <c r="D479" s="5" t="s">
        <v>41</v>
      </c>
      <c r="E479" s="6" t="s">
        <v>42</v>
      </c>
      <c r="F479" s="7" t="s">
        <v>64</v>
      </c>
      <c r="G479" s="5" t="s">
        <v>44</v>
      </c>
      <c r="H479" s="5" t="s">
        <v>45</v>
      </c>
      <c r="I479" s="5">
        <v>4</v>
      </c>
      <c r="J479" s="5">
        <v>8</v>
      </c>
      <c r="K479" s="5">
        <v>25000</v>
      </c>
      <c r="L479" s="5">
        <v>1000</v>
      </c>
      <c r="M479" s="5">
        <v>55</v>
      </c>
      <c r="N479" s="5">
        <v>31</v>
      </c>
      <c r="O479" s="17" t="s">
        <v>108</v>
      </c>
      <c r="P479" s="8"/>
      <c r="Q479" s="18">
        <v>0.11944444444444445</v>
      </c>
      <c r="R479" s="18">
        <v>0.11944444444444445</v>
      </c>
      <c r="S479" s="17">
        <v>75837</v>
      </c>
      <c r="T479" s="18">
        <v>0.32291666666666669</v>
      </c>
      <c r="U479" s="18">
        <v>0.32291666666666669</v>
      </c>
      <c r="V479" s="17">
        <v>75863</v>
      </c>
      <c r="W479" s="17">
        <v>14</v>
      </c>
      <c r="X479" s="17">
        <v>14</v>
      </c>
      <c r="Y479" s="12">
        <v>0</v>
      </c>
      <c r="Z479" s="12">
        <v>26</v>
      </c>
      <c r="AA479" s="12">
        <v>26</v>
      </c>
      <c r="AB479" s="12">
        <v>0</v>
      </c>
      <c r="AC479" s="12">
        <v>0</v>
      </c>
      <c r="AD479" s="13">
        <v>0</v>
      </c>
      <c r="AE479" s="12">
        <v>0</v>
      </c>
      <c r="AF479" s="14">
        <v>0</v>
      </c>
      <c r="AG479" s="5">
        <v>0</v>
      </c>
      <c r="AH479" s="5">
        <v>0</v>
      </c>
      <c r="AI479" s="5">
        <v>0</v>
      </c>
      <c r="AJ479" s="5">
        <v>806.45</v>
      </c>
      <c r="AK479" s="5">
        <v>0</v>
      </c>
      <c r="AL479" s="5">
        <v>806.45</v>
      </c>
      <c r="AM479" s="8"/>
      <c r="AN479" s="8"/>
    </row>
    <row r="480" spans="1:40" ht="16" thickBot="1">
      <c r="A480" s="3">
        <v>479</v>
      </c>
      <c r="B480" s="19">
        <v>45950</v>
      </c>
      <c r="C480" s="5" t="s">
        <v>40</v>
      </c>
      <c r="D480" s="5" t="s">
        <v>41</v>
      </c>
      <c r="E480" s="6" t="s">
        <v>42</v>
      </c>
      <c r="F480" s="7" t="s">
        <v>97</v>
      </c>
      <c r="G480" s="5" t="s">
        <v>44</v>
      </c>
      <c r="H480" s="5" t="s">
        <v>45</v>
      </c>
      <c r="I480" s="5">
        <v>4</v>
      </c>
      <c r="J480" s="5">
        <v>8</v>
      </c>
      <c r="K480" s="5">
        <v>25000</v>
      </c>
      <c r="L480" s="5">
        <v>1000</v>
      </c>
      <c r="M480" s="5">
        <v>55</v>
      </c>
      <c r="N480" s="5">
        <v>31</v>
      </c>
      <c r="O480" s="17" t="s">
        <v>102</v>
      </c>
      <c r="P480" s="8"/>
      <c r="Q480" s="18">
        <v>0.12430555555555556</v>
      </c>
      <c r="R480" s="18">
        <v>0.12430555555555556</v>
      </c>
      <c r="S480" s="17">
        <v>78592</v>
      </c>
      <c r="T480" s="18">
        <v>0.31388888888888888</v>
      </c>
      <c r="U480" s="18">
        <v>0.31388888888888888</v>
      </c>
      <c r="V480" s="17">
        <v>78616</v>
      </c>
      <c r="W480" s="17">
        <v>64</v>
      </c>
      <c r="X480" s="17">
        <v>64</v>
      </c>
      <c r="Y480" s="12">
        <v>0</v>
      </c>
      <c r="Z480" s="12">
        <v>24</v>
      </c>
      <c r="AA480" s="12">
        <v>24</v>
      </c>
      <c r="AB480" s="12">
        <v>0</v>
      </c>
      <c r="AC480" s="12">
        <v>0</v>
      </c>
      <c r="AD480" s="13">
        <v>0</v>
      </c>
      <c r="AE480" s="12">
        <v>0</v>
      </c>
      <c r="AF480" s="14">
        <v>0</v>
      </c>
      <c r="AG480" s="5">
        <v>0</v>
      </c>
      <c r="AH480" s="5">
        <v>0</v>
      </c>
      <c r="AI480" s="5">
        <v>0</v>
      </c>
      <c r="AJ480" s="5">
        <v>806.45</v>
      </c>
      <c r="AK480" s="5">
        <v>0</v>
      </c>
      <c r="AL480" s="5">
        <v>806.45</v>
      </c>
      <c r="AM480" s="8"/>
      <c r="AN480" s="8"/>
    </row>
    <row r="481" spans="1:40" ht="16" thickBot="1">
      <c r="A481" s="3">
        <v>480</v>
      </c>
      <c r="B481" s="19">
        <v>45950</v>
      </c>
      <c r="C481" s="5" t="s">
        <v>40</v>
      </c>
      <c r="D481" s="5" t="s">
        <v>41</v>
      </c>
      <c r="E481" s="6" t="s">
        <v>42</v>
      </c>
      <c r="F481" s="7" t="s">
        <v>68</v>
      </c>
      <c r="G481" s="5" t="s">
        <v>44</v>
      </c>
      <c r="H481" s="5" t="s">
        <v>45</v>
      </c>
      <c r="I481" s="5">
        <v>4</v>
      </c>
      <c r="J481" s="5">
        <v>8</v>
      </c>
      <c r="K481" s="5">
        <v>25000</v>
      </c>
      <c r="L481" s="5">
        <v>1000</v>
      </c>
      <c r="M481" s="5">
        <v>55</v>
      </c>
      <c r="N481" s="5">
        <v>31</v>
      </c>
      <c r="O481" s="17" t="s">
        <v>81</v>
      </c>
      <c r="P481" s="8"/>
      <c r="Q481" s="18">
        <v>0.13749999999999998</v>
      </c>
      <c r="R481" s="18">
        <v>0.13749999999999998</v>
      </c>
      <c r="S481" s="17">
        <v>84922</v>
      </c>
      <c r="T481" s="18">
        <v>0.33819444444444446</v>
      </c>
      <c r="U481" s="18">
        <v>0.33819444444444446</v>
      </c>
      <c r="V481" s="17">
        <v>84922</v>
      </c>
      <c r="W481" s="17">
        <v>15</v>
      </c>
      <c r="X481" s="17">
        <v>15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3">
        <v>1</v>
      </c>
      <c r="AE481" s="12">
        <v>150</v>
      </c>
      <c r="AF481" s="14">
        <v>0</v>
      </c>
      <c r="AG481" s="5">
        <v>0</v>
      </c>
      <c r="AH481" s="5">
        <v>0</v>
      </c>
      <c r="AI481" s="5">
        <v>0</v>
      </c>
      <c r="AJ481" s="5">
        <v>956.45</v>
      </c>
      <c r="AK481" s="5">
        <v>0</v>
      </c>
      <c r="AL481" s="5">
        <v>956.45</v>
      </c>
      <c r="AM481" s="8"/>
      <c r="AN481" s="8"/>
    </row>
    <row r="482" spans="1:40" ht="16" thickBot="1">
      <c r="A482" s="3">
        <v>481</v>
      </c>
      <c r="B482" s="19">
        <v>45951</v>
      </c>
      <c r="C482" s="5" t="s">
        <v>40</v>
      </c>
      <c r="D482" s="5" t="s">
        <v>41</v>
      </c>
      <c r="E482" s="6" t="s">
        <v>42</v>
      </c>
      <c r="F482" s="7" t="s">
        <v>49</v>
      </c>
      <c r="G482" s="5" t="s">
        <v>44</v>
      </c>
      <c r="H482" s="5" t="s">
        <v>45</v>
      </c>
      <c r="I482" s="5">
        <v>6</v>
      </c>
      <c r="J482" s="5">
        <v>8</v>
      </c>
      <c r="K482" s="5">
        <v>33000</v>
      </c>
      <c r="L482" s="5">
        <v>2000</v>
      </c>
      <c r="M482" s="5">
        <v>55</v>
      </c>
      <c r="N482" s="5">
        <v>31</v>
      </c>
      <c r="O482" s="17" t="s">
        <v>50</v>
      </c>
      <c r="P482" s="8"/>
      <c r="Q482" s="18">
        <v>4.9999999999999996E-2</v>
      </c>
      <c r="R482" s="18">
        <v>4.9999999999999996E-2</v>
      </c>
      <c r="S482" s="17">
        <v>101296</v>
      </c>
      <c r="T482" s="18">
        <v>0.28472222222222221</v>
      </c>
      <c r="U482" s="18">
        <v>0.28472222222222221</v>
      </c>
      <c r="V482" s="17">
        <v>101340</v>
      </c>
      <c r="W482" s="17">
        <v>31</v>
      </c>
      <c r="X482" s="17">
        <v>31</v>
      </c>
      <c r="Y482" s="12">
        <v>0</v>
      </c>
      <c r="Z482" s="12">
        <v>44</v>
      </c>
      <c r="AA482" s="12">
        <v>44</v>
      </c>
      <c r="AB482" s="12">
        <v>0</v>
      </c>
      <c r="AC482" s="12">
        <v>0</v>
      </c>
      <c r="AD482" s="13">
        <v>0</v>
      </c>
      <c r="AE482" s="12">
        <v>0</v>
      </c>
      <c r="AF482" s="14">
        <v>0</v>
      </c>
      <c r="AG482" s="5">
        <v>0</v>
      </c>
      <c r="AH482" s="5">
        <v>0</v>
      </c>
      <c r="AI482" s="5">
        <v>0</v>
      </c>
      <c r="AJ482" s="5">
        <v>1064.52</v>
      </c>
      <c r="AK482" s="5">
        <v>0</v>
      </c>
      <c r="AL482" s="5">
        <v>1064.52</v>
      </c>
      <c r="AM482" s="8"/>
      <c r="AN482" s="8"/>
    </row>
    <row r="483" spans="1:40" ht="16" thickBot="1">
      <c r="A483" s="3">
        <v>482</v>
      </c>
      <c r="B483" s="19">
        <v>45951</v>
      </c>
      <c r="C483" s="5" t="s">
        <v>40</v>
      </c>
      <c r="D483" s="5" t="s">
        <v>41</v>
      </c>
      <c r="E483" s="6" t="s">
        <v>42</v>
      </c>
      <c r="F483" s="7" t="s">
        <v>176</v>
      </c>
      <c r="G483" s="5" t="s">
        <v>44</v>
      </c>
      <c r="H483" s="5" t="s">
        <v>45</v>
      </c>
      <c r="I483" s="5">
        <v>4</v>
      </c>
      <c r="J483" s="5">
        <v>8</v>
      </c>
      <c r="K483" s="5">
        <v>25000</v>
      </c>
      <c r="L483" s="5">
        <v>1000</v>
      </c>
      <c r="M483" s="5">
        <v>55</v>
      </c>
      <c r="N483" s="5">
        <v>31</v>
      </c>
      <c r="O483" s="17" t="s">
        <v>155</v>
      </c>
      <c r="P483" s="8"/>
      <c r="Q483" s="18">
        <v>5.0694444444444452E-2</v>
      </c>
      <c r="R483" s="18">
        <v>5.0694444444444452E-2</v>
      </c>
      <c r="S483" s="17">
        <v>165937</v>
      </c>
      <c r="T483" s="18">
        <v>0.29236111111111113</v>
      </c>
      <c r="U483" s="18">
        <v>0.29236111111111113</v>
      </c>
      <c r="V483" s="17">
        <v>165956</v>
      </c>
      <c r="W483" s="17">
        <v>26</v>
      </c>
      <c r="X483" s="17">
        <v>26</v>
      </c>
      <c r="Y483" s="12">
        <v>0</v>
      </c>
      <c r="Z483" s="12">
        <v>19</v>
      </c>
      <c r="AA483" s="12">
        <v>19</v>
      </c>
      <c r="AB483" s="12">
        <v>0</v>
      </c>
      <c r="AC483" s="12">
        <v>0</v>
      </c>
      <c r="AD483" s="13">
        <v>0</v>
      </c>
      <c r="AE483" s="12">
        <v>0</v>
      </c>
      <c r="AF483" s="14">
        <v>0</v>
      </c>
      <c r="AG483" s="5">
        <v>0</v>
      </c>
      <c r="AH483" s="5">
        <v>0</v>
      </c>
      <c r="AI483" s="5">
        <v>0</v>
      </c>
      <c r="AJ483" s="5">
        <v>806.45</v>
      </c>
      <c r="AK483" s="5">
        <v>0</v>
      </c>
      <c r="AL483" s="5">
        <v>806.45</v>
      </c>
      <c r="AM483" s="8"/>
      <c r="AN483" s="8"/>
    </row>
    <row r="484" spans="1:40" ht="16" thickBot="1">
      <c r="A484" s="3">
        <v>483</v>
      </c>
      <c r="B484" s="19">
        <v>45951</v>
      </c>
      <c r="C484" s="5" t="s">
        <v>40</v>
      </c>
      <c r="D484" s="5" t="s">
        <v>41</v>
      </c>
      <c r="E484" s="6" t="s">
        <v>42</v>
      </c>
      <c r="F484" s="7" t="s">
        <v>185</v>
      </c>
      <c r="G484" s="5" t="s">
        <v>44</v>
      </c>
      <c r="H484" s="5" t="s">
        <v>45</v>
      </c>
      <c r="I484" s="5">
        <v>4</v>
      </c>
      <c r="J484" s="5">
        <v>8</v>
      </c>
      <c r="K484" s="5">
        <v>25000</v>
      </c>
      <c r="L484" s="5">
        <v>1000</v>
      </c>
      <c r="M484" s="5">
        <v>55</v>
      </c>
      <c r="N484" s="5">
        <v>31</v>
      </c>
      <c r="O484" s="17" t="s">
        <v>186</v>
      </c>
      <c r="P484" s="8"/>
      <c r="Q484" s="18">
        <v>5.0694444444444452E-2</v>
      </c>
      <c r="R484" s="18">
        <v>5.0694444444444452E-2</v>
      </c>
      <c r="S484" s="17">
        <v>66405</v>
      </c>
      <c r="T484" s="18">
        <v>0.29652777777777778</v>
      </c>
      <c r="U484" s="18">
        <v>0.29652777777777778</v>
      </c>
      <c r="V484" s="17">
        <v>66423</v>
      </c>
      <c r="W484" s="17">
        <v>27</v>
      </c>
      <c r="X484" s="17">
        <v>27</v>
      </c>
      <c r="Y484" s="12">
        <v>0</v>
      </c>
      <c r="Z484" s="12">
        <v>18</v>
      </c>
      <c r="AA484" s="12">
        <v>18</v>
      </c>
      <c r="AB484" s="12">
        <v>0</v>
      </c>
      <c r="AC484" s="12">
        <v>0</v>
      </c>
      <c r="AD484" s="13">
        <v>0</v>
      </c>
      <c r="AE484" s="12">
        <v>0</v>
      </c>
      <c r="AF484" s="14">
        <v>0</v>
      </c>
      <c r="AG484" s="5">
        <v>0</v>
      </c>
      <c r="AH484" s="5">
        <v>0</v>
      </c>
      <c r="AI484" s="5">
        <v>0</v>
      </c>
      <c r="AJ484" s="5">
        <v>806.45</v>
      </c>
      <c r="AK484" s="5">
        <v>0</v>
      </c>
      <c r="AL484" s="5">
        <v>806.45</v>
      </c>
      <c r="AM484" s="8"/>
      <c r="AN484" s="8"/>
    </row>
    <row r="485" spans="1:40" ht="16" thickBot="1">
      <c r="A485" s="3">
        <v>484</v>
      </c>
      <c r="B485" s="19">
        <v>45951</v>
      </c>
      <c r="C485" s="5" t="s">
        <v>40</v>
      </c>
      <c r="D485" s="5" t="s">
        <v>41</v>
      </c>
      <c r="E485" s="6" t="s">
        <v>42</v>
      </c>
      <c r="F485" s="7" t="s">
        <v>43</v>
      </c>
      <c r="G485" s="5" t="s">
        <v>44</v>
      </c>
      <c r="H485" s="5" t="s">
        <v>45</v>
      </c>
      <c r="I485" s="5">
        <v>4</v>
      </c>
      <c r="J485" s="5">
        <v>8</v>
      </c>
      <c r="K485" s="5">
        <v>25000</v>
      </c>
      <c r="L485" s="5">
        <v>1000</v>
      </c>
      <c r="M485" s="5">
        <v>55</v>
      </c>
      <c r="N485" s="5">
        <v>31</v>
      </c>
      <c r="O485" s="17" t="s">
        <v>46</v>
      </c>
      <c r="P485" s="8"/>
      <c r="Q485" s="18">
        <v>5.2083333333333336E-2</v>
      </c>
      <c r="R485" s="18">
        <v>5.2083333333333336E-2</v>
      </c>
      <c r="S485" s="17">
        <v>57857</v>
      </c>
      <c r="T485" s="8"/>
      <c r="U485" s="8"/>
      <c r="V485" s="17">
        <v>57870</v>
      </c>
      <c r="W485" s="17">
        <v>25</v>
      </c>
      <c r="X485" s="17">
        <v>25</v>
      </c>
      <c r="Y485" s="12">
        <v>0</v>
      </c>
      <c r="Z485" s="12">
        <v>13</v>
      </c>
      <c r="AA485" s="12">
        <v>13</v>
      </c>
      <c r="AB485" s="12">
        <v>0</v>
      </c>
      <c r="AC485" s="12">
        <v>0</v>
      </c>
      <c r="AD485" s="13">
        <v>0</v>
      </c>
      <c r="AE485" s="12">
        <v>0</v>
      </c>
      <c r="AF485" s="14">
        <v>0</v>
      </c>
      <c r="AG485" s="5">
        <v>0</v>
      </c>
      <c r="AH485" s="5">
        <v>0</v>
      </c>
      <c r="AI485" s="5">
        <v>0</v>
      </c>
      <c r="AJ485" s="5">
        <v>806.45</v>
      </c>
      <c r="AK485" s="5">
        <v>0</v>
      </c>
      <c r="AL485" s="5">
        <v>806.45</v>
      </c>
      <c r="AM485" s="8"/>
      <c r="AN485" s="8"/>
    </row>
    <row r="486" spans="1:40" ht="16" thickBot="1">
      <c r="A486" s="3">
        <v>485</v>
      </c>
      <c r="B486" s="19">
        <v>45951</v>
      </c>
      <c r="C486" s="5" t="s">
        <v>40</v>
      </c>
      <c r="D486" s="5" t="s">
        <v>41</v>
      </c>
      <c r="E486" s="6" t="s">
        <v>42</v>
      </c>
      <c r="F486" s="7" t="s">
        <v>68</v>
      </c>
      <c r="G486" s="5" t="s">
        <v>44</v>
      </c>
      <c r="H486" s="5" t="s">
        <v>45</v>
      </c>
      <c r="I486" s="5">
        <v>4</v>
      </c>
      <c r="J486" s="5">
        <v>8</v>
      </c>
      <c r="K486" s="5">
        <v>25000</v>
      </c>
      <c r="L486" s="5">
        <v>1000</v>
      </c>
      <c r="M486" s="5">
        <v>55</v>
      </c>
      <c r="N486" s="5">
        <v>31</v>
      </c>
      <c r="O486" s="17" t="s">
        <v>121</v>
      </c>
      <c r="P486" s="8"/>
      <c r="Q486" s="18">
        <v>5.2777777777777778E-2</v>
      </c>
      <c r="R486" s="18">
        <v>5.2777777777777778E-2</v>
      </c>
      <c r="S486" s="17">
        <v>85030</v>
      </c>
      <c r="T486" s="18">
        <v>0.26666666666666666</v>
      </c>
      <c r="U486" s="18">
        <v>0.26666666666666666</v>
      </c>
      <c r="V486" s="17">
        <v>85052</v>
      </c>
      <c r="W486" s="17">
        <v>39</v>
      </c>
      <c r="X486" s="17">
        <v>39</v>
      </c>
      <c r="Y486" s="12">
        <v>0</v>
      </c>
      <c r="Z486" s="12">
        <v>22</v>
      </c>
      <c r="AA486" s="12">
        <v>22</v>
      </c>
      <c r="AB486" s="12">
        <v>0</v>
      </c>
      <c r="AC486" s="12">
        <v>0</v>
      </c>
      <c r="AD486" s="13">
        <v>0</v>
      </c>
      <c r="AE486" s="12">
        <v>0</v>
      </c>
      <c r="AF486" s="14">
        <v>0</v>
      </c>
      <c r="AG486" s="5">
        <v>0</v>
      </c>
      <c r="AH486" s="5">
        <v>0</v>
      </c>
      <c r="AI486" s="5">
        <v>0</v>
      </c>
      <c r="AJ486" s="5">
        <v>806.45</v>
      </c>
      <c r="AK486" s="5">
        <v>0</v>
      </c>
      <c r="AL486" s="5">
        <v>806.45</v>
      </c>
      <c r="AM486" s="8"/>
      <c r="AN486" s="8"/>
    </row>
    <row r="487" spans="1:40" ht="16" thickBot="1">
      <c r="A487" s="3">
        <v>486</v>
      </c>
      <c r="B487" s="19">
        <v>45951</v>
      </c>
      <c r="C487" s="5" t="s">
        <v>40</v>
      </c>
      <c r="D487" s="5" t="s">
        <v>41</v>
      </c>
      <c r="E487" s="6" t="s">
        <v>42</v>
      </c>
      <c r="F487" s="7" t="s">
        <v>80</v>
      </c>
      <c r="G487" s="5" t="s">
        <v>44</v>
      </c>
      <c r="H487" s="5" t="s">
        <v>45</v>
      </c>
      <c r="I487" s="5">
        <v>4</v>
      </c>
      <c r="J487" s="5">
        <v>8</v>
      </c>
      <c r="K487" s="5">
        <v>25000</v>
      </c>
      <c r="L487" s="5">
        <v>1000</v>
      </c>
      <c r="M487" s="5">
        <v>55</v>
      </c>
      <c r="N487" s="5">
        <v>31</v>
      </c>
      <c r="O487" s="17" t="s">
        <v>136</v>
      </c>
      <c r="P487" s="8"/>
      <c r="Q487" s="18">
        <v>5.347222222222222E-2</v>
      </c>
      <c r="R487" s="18">
        <v>5.347222222222222E-2</v>
      </c>
      <c r="S487" s="17">
        <v>5711</v>
      </c>
      <c r="T487" s="18">
        <v>0.29652777777777778</v>
      </c>
      <c r="U487" s="18">
        <v>0.29652777777777778</v>
      </c>
      <c r="V487" s="17">
        <v>5722</v>
      </c>
      <c r="W487" s="17">
        <v>31</v>
      </c>
      <c r="X487" s="17">
        <v>31</v>
      </c>
      <c r="Y487" s="12">
        <v>0</v>
      </c>
      <c r="Z487" s="12">
        <v>11</v>
      </c>
      <c r="AA487" s="12">
        <v>11</v>
      </c>
      <c r="AB487" s="12">
        <v>0</v>
      </c>
      <c r="AC487" s="12">
        <v>0</v>
      </c>
      <c r="AD487" s="13">
        <v>0</v>
      </c>
      <c r="AE487" s="12">
        <v>0</v>
      </c>
      <c r="AF487" s="14">
        <v>0</v>
      </c>
      <c r="AG487" s="5">
        <v>0</v>
      </c>
      <c r="AH487" s="5">
        <v>0</v>
      </c>
      <c r="AI487" s="5">
        <v>0</v>
      </c>
      <c r="AJ487" s="5">
        <v>806.45</v>
      </c>
      <c r="AK487" s="5">
        <v>0</v>
      </c>
      <c r="AL487" s="5">
        <v>806.45</v>
      </c>
      <c r="AM487" s="8"/>
      <c r="AN487" s="8"/>
    </row>
    <row r="488" spans="1:40" ht="16" thickBot="1">
      <c r="A488" s="3">
        <v>487</v>
      </c>
      <c r="B488" s="19">
        <v>45951</v>
      </c>
      <c r="C488" s="5" t="s">
        <v>40</v>
      </c>
      <c r="D488" s="5" t="s">
        <v>41</v>
      </c>
      <c r="E488" s="6" t="s">
        <v>42</v>
      </c>
      <c r="F488" s="7" t="s">
        <v>72</v>
      </c>
      <c r="G488" s="5" t="s">
        <v>44</v>
      </c>
      <c r="H488" s="5" t="s">
        <v>45</v>
      </c>
      <c r="I488" s="5">
        <v>6</v>
      </c>
      <c r="J488" s="5">
        <v>8</v>
      </c>
      <c r="K488" s="5">
        <v>33000</v>
      </c>
      <c r="L488" s="5">
        <v>2000</v>
      </c>
      <c r="M488" s="5">
        <v>55</v>
      </c>
      <c r="N488" s="5">
        <v>31</v>
      </c>
      <c r="O488" s="17" t="s">
        <v>73</v>
      </c>
      <c r="P488" s="8"/>
      <c r="Q488" s="18">
        <v>5.347222222222222E-2</v>
      </c>
      <c r="R488" s="18">
        <v>5.347222222222222E-2</v>
      </c>
      <c r="S488" s="17">
        <v>34560</v>
      </c>
      <c r="T488" s="18">
        <v>0.30833333333333335</v>
      </c>
      <c r="U488" s="18">
        <v>0.30833333333333335</v>
      </c>
      <c r="V488" s="17">
        <v>34625</v>
      </c>
      <c r="W488" s="17">
        <v>29</v>
      </c>
      <c r="X488" s="17">
        <v>29</v>
      </c>
      <c r="Y488" s="12">
        <v>0</v>
      </c>
      <c r="Z488" s="12">
        <v>65</v>
      </c>
      <c r="AA488" s="12">
        <v>65</v>
      </c>
      <c r="AB488" s="12">
        <v>0</v>
      </c>
      <c r="AC488" s="12">
        <v>0</v>
      </c>
      <c r="AD488" s="13">
        <v>0</v>
      </c>
      <c r="AE488" s="12">
        <v>0</v>
      </c>
      <c r="AF488" s="14">
        <v>0</v>
      </c>
      <c r="AG488" s="5">
        <v>0</v>
      </c>
      <c r="AH488" s="5">
        <v>0</v>
      </c>
      <c r="AI488" s="5">
        <v>0</v>
      </c>
      <c r="AJ488" s="5">
        <v>1064.52</v>
      </c>
      <c r="AK488" s="5">
        <v>0</v>
      </c>
      <c r="AL488" s="5">
        <v>1064.52</v>
      </c>
      <c r="AM488" s="8"/>
      <c r="AN488" s="8"/>
    </row>
    <row r="489" spans="1:40" ht="16" thickBot="1">
      <c r="A489" s="3">
        <v>488</v>
      </c>
      <c r="B489" s="19">
        <v>45951</v>
      </c>
      <c r="C489" s="5" t="s">
        <v>40</v>
      </c>
      <c r="D489" s="5" t="s">
        <v>41</v>
      </c>
      <c r="E489" s="6" t="s">
        <v>42</v>
      </c>
      <c r="F489" s="7" t="s">
        <v>74</v>
      </c>
      <c r="G489" s="5" t="s">
        <v>44</v>
      </c>
      <c r="H489" s="5" t="s">
        <v>45</v>
      </c>
      <c r="I489" s="5">
        <v>4</v>
      </c>
      <c r="J489" s="5">
        <v>8</v>
      </c>
      <c r="K489" s="5">
        <v>25000</v>
      </c>
      <c r="L489" s="5">
        <v>1000</v>
      </c>
      <c r="M489" s="5">
        <v>55</v>
      </c>
      <c r="N489" s="5">
        <v>31</v>
      </c>
      <c r="O489" s="17" t="s">
        <v>103</v>
      </c>
      <c r="P489" s="8"/>
      <c r="Q489" s="18">
        <v>5.347222222222222E-2</v>
      </c>
      <c r="R489" s="18">
        <v>5.347222222222222E-2</v>
      </c>
      <c r="S489" s="17">
        <v>39214</v>
      </c>
      <c r="T489" s="18">
        <v>0.2951388888888889</v>
      </c>
      <c r="U489" s="18">
        <v>0.2951388888888889</v>
      </c>
      <c r="V489" s="17">
        <v>39231</v>
      </c>
      <c r="W489" s="17">
        <v>42</v>
      </c>
      <c r="X489" s="17">
        <v>42</v>
      </c>
      <c r="Y489" s="12">
        <v>0</v>
      </c>
      <c r="Z489" s="12">
        <v>17</v>
      </c>
      <c r="AA489" s="12">
        <v>17</v>
      </c>
      <c r="AB489" s="12">
        <v>0</v>
      </c>
      <c r="AC489" s="12">
        <v>0</v>
      </c>
      <c r="AD489" s="13">
        <v>0</v>
      </c>
      <c r="AE489" s="12">
        <v>0</v>
      </c>
      <c r="AF489" s="14">
        <v>0</v>
      </c>
      <c r="AG489" s="5">
        <v>0</v>
      </c>
      <c r="AH489" s="5">
        <v>0</v>
      </c>
      <c r="AI489" s="5">
        <v>0</v>
      </c>
      <c r="AJ489" s="5">
        <v>806.45</v>
      </c>
      <c r="AK489" s="5">
        <v>0</v>
      </c>
      <c r="AL489" s="5">
        <v>806.45</v>
      </c>
      <c r="AM489" s="8"/>
      <c r="AN489" s="8"/>
    </row>
    <row r="490" spans="1:40" ht="16" thickBot="1">
      <c r="A490" s="3">
        <v>489</v>
      </c>
      <c r="B490" s="19">
        <v>45951</v>
      </c>
      <c r="C490" s="5" t="s">
        <v>40</v>
      </c>
      <c r="D490" s="5" t="s">
        <v>41</v>
      </c>
      <c r="E490" s="6" t="s">
        <v>42</v>
      </c>
      <c r="F490" s="7" t="s">
        <v>60</v>
      </c>
      <c r="G490" s="5" t="s">
        <v>44</v>
      </c>
      <c r="H490" s="5" t="s">
        <v>45</v>
      </c>
      <c r="I490" s="5">
        <v>4</v>
      </c>
      <c r="J490" s="5">
        <v>8</v>
      </c>
      <c r="K490" s="5">
        <v>25000</v>
      </c>
      <c r="L490" s="5">
        <v>1000</v>
      </c>
      <c r="M490" s="5">
        <v>55</v>
      </c>
      <c r="N490" s="5">
        <v>31</v>
      </c>
      <c r="O490" s="17" t="s">
        <v>127</v>
      </c>
      <c r="P490" s="8"/>
      <c r="Q490" s="18">
        <v>5.4166666666666669E-2</v>
      </c>
      <c r="R490" s="18">
        <v>5.4166666666666669E-2</v>
      </c>
      <c r="S490" s="17">
        <v>114189</v>
      </c>
      <c r="T490" s="18">
        <v>0.2298611111111111</v>
      </c>
      <c r="U490" s="18">
        <v>0.2298611111111111</v>
      </c>
      <c r="V490" s="17">
        <v>114198</v>
      </c>
      <c r="W490" s="17">
        <v>34</v>
      </c>
      <c r="X490" s="17">
        <v>34</v>
      </c>
      <c r="Y490" s="12">
        <v>0</v>
      </c>
      <c r="Z490" s="12">
        <v>9</v>
      </c>
      <c r="AA490" s="12">
        <v>9</v>
      </c>
      <c r="AB490" s="12">
        <v>0</v>
      </c>
      <c r="AC490" s="12">
        <v>0</v>
      </c>
      <c r="AD490" s="13">
        <v>0</v>
      </c>
      <c r="AE490" s="12">
        <v>0</v>
      </c>
      <c r="AF490" s="14">
        <v>0</v>
      </c>
      <c r="AG490" s="5">
        <v>0</v>
      </c>
      <c r="AH490" s="5">
        <v>0</v>
      </c>
      <c r="AI490" s="5">
        <v>0</v>
      </c>
      <c r="AJ490" s="5">
        <v>806.45</v>
      </c>
      <c r="AK490" s="5">
        <v>0</v>
      </c>
      <c r="AL490" s="5">
        <v>806.45</v>
      </c>
      <c r="AM490" s="8"/>
      <c r="AN490" s="8"/>
    </row>
    <row r="491" spans="1:40" ht="16" thickBot="1">
      <c r="A491" s="3">
        <v>490</v>
      </c>
      <c r="B491" s="19">
        <v>45951</v>
      </c>
      <c r="C491" s="5" t="s">
        <v>40</v>
      </c>
      <c r="D491" s="5" t="s">
        <v>41</v>
      </c>
      <c r="E491" s="6" t="s">
        <v>42</v>
      </c>
      <c r="F491" s="7" t="s">
        <v>78</v>
      </c>
      <c r="G491" s="5" t="s">
        <v>44</v>
      </c>
      <c r="H491" s="5" t="s">
        <v>45</v>
      </c>
      <c r="I491" s="5">
        <v>4</v>
      </c>
      <c r="J491" s="5">
        <v>8</v>
      </c>
      <c r="K491" s="5">
        <v>25000</v>
      </c>
      <c r="L491" s="5">
        <v>1000</v>
      </c>
      <c r="M491" s="5">
        <v>55</v>
      </c>
      <c r="N491" s="5">
        <v>31</v>
      </c>
      <c r="O491" s="17" t="s">
        <v>158</v>
      </c>
      <c r="P491" s="8"/>
      <c r="Q491" s="18">
        <v>5.5555555555555552E-2</v>
      </c>
      <c r="R491" s="18">
        <v>5.5555555555555552E-2</v>
      </c>
      <c r="S491" s="17">
        <v>7873</v>
      </c>
      <c r="T491" s="8"/>
      <c r="U491" s="8"/>
      <c r="V491" s="17">
        <v>7895</v>
      </c>
      <c r="W491" s="17">
        <v>34</v>
      </c>
      <c r="X491" s="17">
        <v>34</v>
      </c>
      <c r="Y491" s="12">
        <v>0</v>
      </c>
      <c r="Z491" s="12">
        <v>22</v>
      </c>
      <c r="AA491" s="12">
        <v>22</v>
      </c>
      <c r="AB491" s="12">
        <v>0</v>
      </c>
      <c r="AC491" s="12">
        <v>0</v>
      </c>
      <c r="AD491" s="13">
        <v>0</v>
      </c>
      <c r="AE491" s="12">
        <v>0</v>
      </c>
      <c r="AF491" s="14">
        <v>0</v>
      </c>
      <c r="AG491" s="5">
        <v>0</v>
      </c>
      <c r="AH491" s="5">
        <v>0</v>
      </c>
      <c r="AI491" s="5">
        <v>0</v>
      </c>
      <c r="AJ491" s="5">
        <v>806.45</v>
      </c>
      <c r="AK491" s="5">
        <v>0</v>
      </c>
      <c r="AL491" s="5">
        <v>806.45</v>
      </c>
      <c r="AM491" s="8"/>
      <c r="AN491" s="8"/>
    </row>
    <row r="492" spans="1:40" ht="16" thickBot="1">
      <c r="A492" s="3">
        <v>491</v>
      </c>
      <c r="B492" s="19">
        <v>45951</v>
      </c>
      <c r="C492" s="5" t="s">
        <v>40</v>
      </c>
      <c r="D492" s="5" t="s">
        <v>41</v>
      </c>
      <c r="E492" s="6" t="s">
        <v>42</v>
      </c>
      <c r="F492" s="7" t="s">
        <v>101</v>
      </c>
      <c r="G492" s="5" t="s">
        <v>44</v>
      </c>
      <c r="H492" s="5" t="s">
        <v>45</v>
      </c>
      <c r="I492" s="5">
        <v>4</v>
      </c>
      <c r="J492" s="5">
        <v>8</v>
      </c>
      <c r="K492" s="5">
        <v>25000</v>
      </c>
      <c r="L492" s="5">
        <v>1000</v>
      </c>
      <c r="M492" s="5">
        <v>55</v>
      </c>
      <c r="N492" s="5">
        <v>31</v>
      </c>
      <c r="O492" s="17" t="s">
        <v>100</v>
      </c>
      <c r="P492" s="8"/>
      <c r="Q492" s="18">
        <v>5.6250000000000001E-2</v>
      </c>
      <c r="R492" s="18">
        <v>5.6250000000000001E-2</v>
      </c>
      <c r="S492" s="17">
        <v>118711</v>
      </c>
      <c r="T492" s="18">
        <v>0.28680555555555554</v>
      </c>
      <c r="U492" s="18">
        <v>0.28680555555555554</v>
      </c>
      <c r="V492" s="17">
        <v>118747</v>
      </c>
      <c r="W492" s="17">
        <v>48</v>
      </c>
      <c r="X492" s="17">
        <v>48</v>
      </c>
      <c r="Y492" s="12">
        <v>0</v>
      </c>
      <c r="Z492" s="12">
        <v>36</v>
      </c>
      <c r="AA492" s="12">
        <v>36</v>
      </c>
      <c r="AB492" s="12">
        <v>0</v>
      </c>
      <c r="AC492" s="12">
        <v>0</v>
      </c>
      <c r="AD492" s="13">
        <v>0</v>
      </c>
      <c r="AE492" s="12">
        <v>0</v>
      </c>
      <c r="AF492" s="14">
        <v>0</v>
      </c>
      <c r="AG492" s="5">
        <v>0</v>
      </c>
      <c r="AH492" s="5">
        <v>0</v>
      </c>
      <c r="AI492" s="5">
        <v>0</v>
      </c>
      <c r="AJ492" s="5">
        <v>806.45</v>
      </c>
      <c r="AK492" s="5">
        <v>0</v>
      </c>
      <c r="AL492" s="5">
        <v>806.45</v>
      </c>
      <c r="AM492" s="8"/>
      <c r="AN492" s="8"/>
    </row>
    <row r="493" spans="1:40" ht="16" thickBot="1">
      <c r="A493" s="3">
        <v>492</v>
      </c>
      <c r="B493" s="19">
        <v>45951</v>
      </c>
      <c r="C493" s="5" t="s">
        <v>40</v>
      </c>
      <c r="D493" s="5" t="s">
        <v>41</v>
      </c>
      <c r="E493" s="6" t="s">
        <v>42</v>
      </c>
      <c r="F493" s="7" t="s">
        <v>145</v>
      </c>
      <c r="G493" s="5" t="s">
        <v>44</v>
      </c>
      <c r="H493" s="5" t="s">
        <v>45</v>
      </c>
      <c r="I493" s="5">
        <v>4</v>
      </c>
      <c r="J493" s="5">
        <v>8</v>
      </c>
      <c r="K493" s="5">
        <v>25000</v>
      </c>
      <c r="L493" s="5">
        <v>1000</v>
      </c>
      <c r="M493" s="5">
        <v>55</v>
      </c>
      <c r="N493" s="5">
        <v>31</v>
      </c>
      <c r="O493" s="17" t="s">
        <v>52</v>
      </c>
      <c r="P493" s="8"/>
      <c r="Q493" s="18">
        <v>5.6944444444444443E-2</v>
      </c>
      <c r="R493" s="18">
        <v>5.6944444444444443E-2</v>
      </c>
      <c r="S493" s="17">
        <v>38809</v>
      </c>
      <c r="T493" s="18">
        <v>0.28333333333333333</v>
      </c>
      <c r="U493" s="18">
        <v>0.28333333333333333</v>
      </c>
      <c r="V493" s="17">
        <v>38847</v>
      </c>
      <c r="W493" s="17">
        <v>41</v>
      </c>
      <c r="X493" s="17">
        <v>41</v>
      </c>
      <c r="Y493" s="12">
        <v>0</v>
      </c>
      <c r="Z493" s="12">
        <v>38</v>
      </c>
      <c r="AA493" s="12">
        <v>38</v>
      </c>
      <c r="AB493" s="12">
        <v>0</v>
      </c>
      <c r="AC493" s="12">
        <v>0</v>
      </c>
      <c r="AD493" s="13">
        <v>0</v>
      </c>
      <c r="AE493" s="12">
        <v>0</v>
      </c>
      <c r="AF493" s="14">
        <v>0</v>
      </c>
      <c r="AG493" s="5">
        <v>0</v>
      </c>
      <c r="AH493" s="5">
        <v>0</v>
      </c>
      <c r="AI493" s="5">
        <v>0</v>
      </c>
      <c r="AJ493" s="5">
        <v>806.45</v>
      </c>
      <c r="AK493" s="5">
        <v>0</v>
      </c>
      <c r="AL493" s="5">
        <v>806.45</v>
      </c>
      <c r="AM493" s="8"/>
      <c r="AN493" s="8"/>
    </row>
    <row r="494" spans="1:40" ht="16" thickBot="1">
      <c r="A494" s="3">
        <v>493</v>
      </c>
      <c r="B494" s="19">
        <v>45951</v>
      </c>
      <c r="C494" s="5" t="s">
        <v>40</v>
      </c>
      <c r="D494" s="5" t="s">
        <v>41</v>
      </c>
      <c r="E494" s="6" t="s">
        <v>42</v>
      </c>
      <c r="F494" s="7" t="s">
        <v>178</v>
      </c>
      <c r="G494" s="5" t="s">
        <v>44</v>
      </c>
      <c r="H494" s="5" t="s">
        <v>45</v>
      </c>
      <c r="I494" s="5">
        <v>4</v>
      </c>
      <c r="J494" s="5">
        <v>8</v>
      </c>
      <c r="K494" s="5">
        <v>25000</v>
      </c>
      <c r="L494" s="5">
        <v>1000</v>
      </c>
      <c r="M494" s="5">
        <v>55</v>
      </c>
      <c r="N494" s="5">
        <v>31</v>
      </c>
      <c r="O494" s="17" t="s">
        <v>90</v>
      </c>
      <c r="P494" s="8"/>
      <c r="Q494" s="18">
        <v>5.6944444444444443E-2</v>
      </c>
      <c r="R494" s="18">
        <v>5.6944444444444443E-2</v>
      </c>
      <c r="S494" s="17">
        <v>45091</v>
      </c>
      <c r="T494" s="18">
        <v>0.2902777777777778</v>
      </c>
      <c r="U494" s="18">
        <v>0.2902777777777778</v>
      </c>
      <c r="V494" s="17">
        <v>45124</v>
      </c>
      <c r="W494" s="17">
        <v>35</v>
      </c>
      <c r="X494" s="17">
        <v>35</v>
      </c>
      <c r="Y494" s="12">
        <v>0</v>
      </c>
      <c r="Z494" s="12">
        <v>33</v>
      </c>
      <c r="AA494" s="12">
        <v>33</v>
      </c>
      <c r="AB494" s="12">
        <v>0</v>
      </c>
      <c r="AC494" s="12">
        <v>0</v>
      </c>
      <c r="AD494" s="13">
        <v>0</v>
      </c>
      <c r="AE494" s="12">
        <v>0</v>
      </c>
      <c r="AF494" s="14">
        <v>0</v>
      </c>
      <c r="AG494" s="5">
        <v>0</v>
      </c>
      <c r="AH494" s="5">
        <v>0</v>
      </c>
      <c r="AI494" s="5">
        <v>0</v>
      </c>
      <c r="AJ494" s="5">
        <v>806.45</v>
      </c>
      <c r="AK494" s="5">
        <v>0</v>
      </c>
      <c r="AL494" s="5">
        <v>806.45</v>
      </c>
      <c r="AM494" s="8"/>
      <c r="AN494" s="8"/>
    </row>
    <row r="495" spans="1:40" ht="16" thickBot="1">
      <c r="A495" s="3">
        <v>494</v>
      </c>
      <c r="B495" s="19">
        <v>45951</v>
      </c>
      <c r="C495" s="5" t="s">
        <v>40</v>
      </c>
      <c r="D495" s="5" t="s">
        <v>41</v>
      </c>
      <c r="E495" s="6" t="s">
        <v>42</v>
      </c>
      <c r="F495" s="7" t="s">
        <v>132</v>
      </c>
      <c r="G495" s="5" t="s">
        <v>44</v>
      </c>
      <c r="H495" s="5" t="s">
        <v>45</v>
      </c>
      <c r="I495" s="5">
        <v>4</v>
      </c>
      <c r="J495" s="5">
        <v>8</v>
      </c>
      <c r="K495" s="5">
        <v>25000</v>
      </c>
      <c r="L495" s="5">
        <v>1000</v>
      </c>
      <c r="M495" s="5">
        <v>55</v>
      </c>
      <c r="N495" s="5">
        <v>31</v>
      </c>
      <c r="O495" s="17" t="s">
        <v>141</v>
      </c>
      <c r="P495" s="8"/>
      <c r="Q495" s="18">
        <v>7.8472222222222221E-2</v>
      </c>
      <c r="R495" s="18">
        <v>7.8472222222222221E-2</v>
      </c>
      <c r="S495" s="17">
        <v>110696</v>
      </c>
      <c r="T495" s="18">
        <v>0.3125</v>
      </c>
      <c r="U495" s="18">
        <v>0.3125</v>
      </c>
      <c r="V495" s="17">
        <v>110711</v>
      </c>
      <c r="W495" s="17">
        <v>44</v>
      </c>
      <c r="X495" s="17">
        <v>44</v>
      </c>
      <c r="Y495" s="12">
        <v>0</v>
      </c>
      <c r="Z495" s="12">
        <v>15</v>
      </c>
      <c r="AA495" s="12">
        <v>15</v>
      </c>
      <c r="AB495" s="12">
        <v>0</v>
      </c>
      <c r="AC495" s="12">
        <v>0</v>
      </c>
      <c r="AD495" s="13">
        <v>0</v>
      </c>
      <c r="AE495" s="12">
        <v>0</v>
      </c>
      <c r="AF495" s="14">
        <v>0</v>
      </c>
      <c r="AG495" s="5">
        <v>0</v>
      </c>
      <c r="AH495" s="5">
        <v>0</v>
      </c>
      <c r="AI495" s="5">
        <v>0</v>
      </c>
      <c r="AJ495" s="5">
        <v>806.45</v>
      </c>
      <c r="AK495" s="5">
        <v>0</v>
      </c>
      <c r="AL495" s="5">
        <v>806.45</v>
      </c>
      <c r="AM495" s="8"/>
      <c r="AN495" s="8"/>
    </row>
    <row r="496" spans="1:40" ht="16" thickBot="1">
      <c r="A496" s="3">
        <v>495</v>
      </c>
      <c r="B496" s="19">
        <v>45951</v>
      </c>
      <c r="C496" s="5" t="s">
        <v>40</v>
      </c>
      <c r="D496" s="5" t="s">
        <v>41</v>
      </c>
      <c r="E496" s="6" t="s">
        <v>42</v>
      </c>
      <c r="F496" s="7" t="s">
        <v>57</v>
      </c>
      <c r="G496" s="5" t="s">
        <v>44</v>
      </c>
      <c r="H496" s="5" t="s">
        <v>45</v>
      </c>
      <c r="I496" s="5">
        <v>4</v>
      </c>
      <c r="J496" s="5">
        <v>8</v>
      </c>
      <c r="K496" s="5">
        <v>25000</v>
      </c>
      <c r="L496" s="5">
        <v>1000</v>
      </c>
      <c r="M496" s="5">
        <v>55</v>
      </c>
      <c r="N496" s="5">
        <v>31</v>
      </c>
      <c r="O496" s="17" t="s">
        <v>58</v>
      </c>
      <c r="P496" s="8"/>
      <c r="Q496" s="18">
        <v>6.458333333333334E-2</v>
      </c>
      <c r="R496" s="18">
        <v>6.458333333333334E-2</v>
      </c>
      <c r="S496" s="17">
        <v>145225</v>
      </c>
      <c r="T496" s="18">
        <v>0.29236111111111113</v>
      </c>
      <c r="U496" s="18">
        <v>0.29236111111111113</v>
      </c>
      <c r="V496" s="17">
        <v>145249</v>
      </c>
      <c r="W496" s="17">
        <v>35</v>
      </c>
      <c r="X496" s="17">
        <v>35</v>
      </c>
      <c r="Y496" s="12">
        <v>0</v>
      </c>
      <c r="Z496" s="12">
        <v>24</v>
      </c>
      <c r="AA496" s="12">
        <v>24</v>
      </c>
      <c r="AB496" s="12">
        <v>0</v>
      </c>
      <c r="AC496" s="12">
        <v>0</v>
      </c>
      <c r="AD496" s="13">
        <v>0</v>
      </c>
      <c r="AE496" s="12">
        <v>0</v>
      </c>
      <c r="AF496" s="14">
        <v>0</v>
      </c>
      <c r="AG496" s="5">
        <v>0</v>
      </c>
      <c r="AH496" s="5">
        <v>0</v>
      </c>
      <c r="AI496" s="5">
        <v>0</v>
      </c>
      <c r="AJ496" s="5">
        <v>806.45</v>
      </c>
      <c r="AK496" s="5">
        <v>0</v>
      </c>
      <c r="AL496" s="5">
        <v>806.45</v>
      </c>
      <c r="AM496" s="8"/>
      <c r="AN496" s="8"/>
    </row>
    <row r="497" spans="1:40" ht="16" thickBot="1">
      <c r="A497" s="3">
        <v>496</v>
      </c>
      <c r="B497" s="19">
        <v>45951</v>
      </c>
      <c r="C497" s="5" t="s">
        <v>40</v>
      </c>
      <c r="D497" s="5" t="s">
        <v>41</v>
      </c>
      <c r="E497" s="6" t="s">
        <v>42</v>
      </c>
      <c r="F497" s="7" t="s">
        <v>182</v>
      </c>
      <c r="G497" s="5" t="s">
        <v>44</v>
      </c>
      <c r="H497" s="5" t="s">
        <v>45</v>
      </c>
      <c r="I497" s="5">
        <v>4</v>
      </c>
      <c r="J497" s="5">
        <v>8</v>
      </c>
      <c r="K497" s="5">
        <v>25000</v>
      </c>
      <c r="L497" s="5">
        <v>1000</v>
      </c>
      <c r="M497" s="5">
        <v>55</v>
      </c>
      <c r="N497" s="5">
        <v>31</v>
      </c>
      <c r="O497" s="17" t="s">
        <v>152</v>
      </c>
      <c r="P497" s="8"/>
      <c r="Q497" s="18">
        <v>7.1527777777777787E-2</v>
      </c>
      <c r="R497" s="18">
        <v>7.1527777777777787E-2</v>
      </c>
      <c r="S497" s="17">
        <v>116117</v>
      </c>
      <c r="T497" s="18">
        <v>0.2951388888888889</v>
      </c>
      <c r="U497" s="18">
        <v>0.2951388888888889</v>
      </c>
      <c r="V497" s="17">
        <v>116139</v>
      </c>
      <c r="W497" s="17">
        <v>49</v>
      </c>
      <c r="X497" s="17">
        <v>49</v>
      </c>
      <c r="Y497" s="12">
        <v>0</v>
      </c>
      <c r="Z497" s="12">
        <v>22</v>
      </c>
      <c r="AA497" s="12">
        <v>22</v>
      </c>
      <c r="AB497" s="12">
        <v>0</v>
      </c>
      <c r="AC497" s="12">
        <v>0</v>
      </c>
      <c r="AD497" s="13">
        <v>0</v>
      </c>
      <c r="AE497" s="12">
        <v>0</v>
      </c>
      <c r="AF497" s="14">
        <v>0</v>
      </c>
      <c r="AG497" s="5">
        <v>0</v>
      </c>
      <c r="AH497" s="5">
        <v>0</v>
      </c>
      <c r="AI497" s="5">
        <v>0</v>
      </c>
      <c r="AJ497" s="5">
        <v>806.45</v>
      </c>
      <c r="AK497" s="5">
        <v>0</v>
      </c>
      <c r="AL497" s="5">
        <v>806.45</v>
      </c>
      <c r="AM497" s="8"/>
      <c r="AN497" s="8"/>
    </row>
    <row r="498" spans="1:40" ht="16" thickBot="1">
      <c r="A498" s="3">
        <v>497</v>
      </c>
      <c r="B498" s="19">
        <v>45951</v>
      </c>
      <c r="C498" s="5" t="s">
        <v>40</v>
      </c>
      <c r="D498" s="5" t="s">
        <v>41</v>
      </c>
      <c r="E498" s="6" t="s">
        <v>42</v>
      </c>
      <c r="F498" s="7" t="s">
        <v>97</v>
      </c>
      <c r="G498" s="5" t="s">
        <v>44</v>
      </c>
      <c r="H498" s="5" t="s">
        <v>45</v>
      </c>
      <c r="I498" s="5">
        <v>4</v>
      </c>
      <c r="J498" s="5">
        <v>8</v>
      </c>
      <c r="K498" s="5">
        <v>25000</v>
      </c>
      <c r="L498" s="5">
        <v>1000</v>
      </c>
      <c r="M498" s="5">
        <v>55</v>
      </c>
      <c r="N498" s="5">
        <v>31</v>
      </c>
      <c r="O498" s="17" t="s">
        <v>94</v>
      </c>
      <c r="P498" s="8"/>
      <c r="Q498" s="18">
        <v>7.7777777777777779E-2</v>
      </c>
      <c r="R498" s="18">
        <v>7.7777777777777779E-2</v>
      </c>
      <c r="S498" s="17">
        <v>78674</v>
      </c>
      <c r="T498" s="18">
        <v>0.27152777777777776</v>
      </c>
      <c r="U498" s="18">
        <v>0.27152777777777776</v>
      </c>
      <c r="V498" s="17">
        <v>78712</v>
      </c>
      <c r="W498" s="17">
        <v>26</v>
      </c>
      <c r="X498" s="17">
        <v>26</v>
      </c>
      <c r="Y498" s="12">
        <v>0</v>
      </c>
      <c r="Z498" s="12">
        <v>38</v>
      </c>
      <c r="AA498" s="12">
        <v>38</v>
      </c>
      <c r="AB498" s="12">
        <v>0</v>
      </c>
      <c r="AC498" s="12">
        <v>0</v>
      </c>
      <c r="AD498" s="13">
        <v>0</v>
      </c>
      <c r="AE498" s="12">
        <v>0</v>
      </c>
      <c r="AF498" s="14">
        <v>0</v>
      </c>
      <c r="AG498" s="5">
        <v>0</v>
      </c>
      <c r="AH498" s="5">
        <v>0</v>
      </c>
      <c r="AI498" s="5">
        <v>0</v>
      </c>
      <c r="AJ498" s="5">
        <v>806.45</v>
      </c>
      <c r="AK498" s="5">
        <v>0</v>
      </c>
      <c r="AL498" s="5">
        <v>806.45</v>
      </c>
      <c r="AM498" s="8"/>
      <c r="AN498" s="8"/>
    </row>
    <row r="499" spans="1:40" ht="16" thickBot="1">
      <c r="A499" s="3">
        <v>498</v>
      </c>
      <c r="B499" s="19">
        <v>45951</v>
      </c>
      <c r="C499" s="5" t="s">
        <v>40</v>
      </c>
      <c r="D499" s="5" t="s">
        <v>41</v>
      </c>
      <c r="E499" s="6" t="s">
        <v>42</v>
      </c>
      <c r="F499" s="7" t="s">
        <v>55</v>
      </c>
      <c r="G499" s="5" t="s">
        <v>44</v>
      </c>
      <c r="H499" s="5" t="s">
        <v>45</v>
      </c>
      <c r="I499" s="5">
        <v>4</v>
      </c>
      <c r="J499" s="5">
        <v>8</v>
      </c>
      <c r="K499" s="5">
        <v>25000</v>
      </c>
      <c r="L499" s="5">
        <v>1000</v>
      </c>
      <c r="M499" s="5">
        <v>55</v>
      </c>
      <c r="N499" s="5">
        <v>31</v>
      </c>
      <c r="O499" s="17" t="s">
        <v>56</v>
      </c>
      <c r="P499" s="8"/>
      <c r="Q499" s="18">
        <v>8.0555555555555561E-2</v>
      </c>
      <c r="R499" s="18">
        <v>8.0555555555555561E-2</v>
      </c>
      <c r="S499" s="17">
        <v>145463</v>
      </c>
      <c r="T499" s="8"/>
      <c r="U499" s="8"/>
      <c r="V499" s="17">
        <v>145482</v>
      </c>
      <c r="W499" s="17">
        <v>18</v>
      </c>
      <c r="X499" s="17">
        <v>18</v>
      </c>
      <c r="Y499" s="12">
        <v>0</v>
      </c>
      <c r="Z499" s="12">
        <v>19</v>
      </c>
      <c r="AA499" s="12">
        <v>19</v>
      </c>
      <c r="AB499" s="12">
        <v>0</v>
      </c>
      <c r="AC499" s="12">
        <v>0</v>
      </c>
      <c r="AD499" s="13">
        <v>0</v>
      </c>
      <c r="AE499" s="12">
        <v>0</v>
      </c>
      <c r="AF499" s="14">
        <v>0</v>
      </c>
      <c r="AG499" s="5">
        <v>0</v>
      </c>
      <c r="AH499" s="5">
        <v>0</v>
      </c>
      <c r="AI499" s="5">
        <v>0</v>
      </c>
      <c r="AJ499" s="5">
        <v>806.45</v>
      </c>
      <c r="AK499" s="5">
        <v>0</v>
      </c>
      <c r="AL499" s="5">
        <v>806.45</v>
      </c>
      <c r="AM499" s="8"/>
      <c r="AN499" s="8"/>
    </row>
    <row r="500" spans="1:40" ht="16" thickBot="1">
      <c r="A500" s="3">
        <v>499</v>
      </c>
      <c r="B500" s="19">
        <v>45951</v>
      </c>
      <c r="C500" s="5" t="s">
        <v>40</v>
      </c>
      <c r="D500" s="5" t="s">
        <v>41</v>
      </c>
      <c r="E500" s="6" t="s">
        <v>42</v>
      </c>
      <c r="F500" s="7" t="s">
        <v>87</v>
      </c>
      <c r="G500" s="10" t="s">
        <v>83</v>
      </c>
      <c r="H500" s="5" t="s">
        <v>84</v>
      </c>
      <c r="I500" s="5">
        <v>4</v>
      </c>
      <c r="J500" s="5">
        <v>10</v>
      </c>
      <c r="K500" s="6">
        <v>29000</v>
      </c>
      <c r="L500" s="5">
        <v>1000</v>
      </c>
      <c r="M500" s="5">
        <v>55</v>
      </c>
      <c r="N500" s="5">
        <v>31</v>
      </c>
      <c r="O500" s="17" t="s">
        <v>222</v>
      </c>
      <c r="P500" s="8"/>
      <c r="Q500" s="18">
        <v>8.8888888888888892E-2</v>
      </c>
      <c r="R500" s="18">
        <v>8.8888888888888892E-2</v>
      </c>
      <c r="S500" s="17">
        <v>3502</v>
      </c>
      <c r="T500" s="18">
        <v>0.29236111111111113</v>
      </c>
      <c r="U500" s="18">
        <v>0.29236111111111113</v>
      </c>
      <c r="V500" s="17">
        <v>3536</v>
      </c>
      <c r="W500" s="17">
        <v>44</v>
      </c>
      <c r="X500" s="17">
        <v>44</v>
      </c>
      <c r="Y500" s="12">
        <v>0</v>
      </c>
      <c r="Z500" s="12">
        <v>34</v>
      </c>
      <c r="AA500" s="12">
        <v>34</v>
      </c>
      <c r="AB500" s="12">
        <v>0</v>
      </c>
      <c r="AC500" s="12">
        <v>0</v>
      </c>
      <c r="AD500" s="13">
        <v>0</v>
      </c>
      <c r="AE500" s="12">
        <v>0</v>
      </c>
      <c r="AF500" s="14">
        <v>0</v>
      </c>
      <c r="AG500" s="5">
        <v>0</v>
      </c>
      <c r="AH500" s="5">
        <v>0</v>
      </c>
      <c r="AI500" s="5">
        <v>0</v>
      </c>
      <c r="AJ500" s="5">
        <v>935.48</v>
      </c>
      <c r="AK500" s="5">
        <v>0</v>
      </c>
      <c r="AL500" s="5">
        <v>935.48</v>
      </c>
      <c r="AM500" s="8"/>
      <c r="AN500" s="8"/>
    </row>
    <row r="501" spans="1:40" ht="16" thickBot="1">
      <c r="A501" s="3">
        <v>500</v>
      </c>
      <c r="B501" s="19">
        <v>45951</v>
      </c>
      <c r="C501" s="5" t="s">
        <v>40</v>
      </c>
      <c r="D501" s="5" t="s">
        <v>41</v>
      </c>
      <c r="E501" s="6" t="s">
        <v>42</v>
      </c>
      <c r="F501" s="7" t="s">
        <v>85</v>
      </c>
      <c r="G501" s="10" t="s">
        <v>83</v>
      </c>
      <c r="H501" s="5" t="s">
        <v>84</v>
      </c>
      <c r="I501" s="5">
        <v>4</v>
      </c>
      <c r="J501" s="5">
        <v>10</v>
      </c>
      <c r="K501" s="6">
        <v>29000</v>
      </c>
      <c r="L501" s="5">
        <v>1000</v>
      </c>
      <c r="M501" s="5">
        <v>55</v>
      </c>
      <c r="N501" s="5">
        <v>31</v>
      </c>
      <c r="O501" s="17" t="s">
        <v>107</v>
      </c>
      <c r="P501" s="8"/>
      <c r="Q501" s="18">
        <v>8.9583333333333334E-2</v>
      </c>
      <c r="R501" s="18">
        <v>8.9583333333333334E-2</v>
      </c>
      <c r="S501" s="17">
        <v>39431</v>
      </c>
      <c r="T501" s="18">
        <v>0.2951388888888889</v>
      </c>
      <c r="U501" s="18">
        <v>0.2951388888888889</v>
      </c>
      <c r="V501" s="17">
        <v>39448</v>
      </c>
      <c r="W501" s="17">
        <v>33</v>
      </c>
      <c r="X501" s="17">
        <v>33</v>
      </c>
      <c r="Y501" s="12">
        <v>0</v>
      </c>
      <c r="Z501" s="12">
        <v>17</v>
      </c>
      <c r="AA501" s="12">
        <v>17</v>
      </c>
      <c r="AB501" s="12">
        <v>0</v>
      </c>
      <c r="AC501" s="12">
        <v>0</v>
      </c>
      <c r="AD501" s="13">
        <v>0</v>
      </c>
      <c r="AE501" s="12">
        <v>0</v>
      </c>
      <c r="AF501" s="14">
        <v>0</v>
      </c>
      <c r="AG501" s="5">
        <v>0</v>
      </c>
      <c r="AH501" s="5">
        <v>0</v>
      </c>
      <c r="AI501" s="5">
        <v>0</v>
      </c>
      <c r="AJ501" s="5">
        <v>935.48</v>
      </c>
      <c r="AK501" s="5">
        <v>0</v>
      </c>
      <c r="AL501" s="5">
        <v>935.48</v>
      </c>
      <c r="AM501" s="8"/>
      <c r="AN501" s="8"/>
    </row>
    <row r="502" spans="1:40" ht="16" thickBot="1">
      <c r="A502" s="3">
        <v>501</v>
      </c>
      <c r="B502" s="19">
        <v>45951</v>
      </c>
      <c r="C502" s="5" t="s">
        <v>40</v>
      </c>
      <c r="D502" s="5" t="s">
        <v>41</v>
      </c>
      <c r="E502" s="6" t="s">
        <v>42</v>
      </c>
      <c r="F502" s="7" t="s">
        <v>89</v>
      </c>
      <c r="G502" s="10" t="s">
        <v>83</v>
      </c>
      <c r="H502" s="5" t="s">
        <v>84</v>
      </c>
      <c r="I502" s="5">
        <v>4</v>
      </c>
      <c r="J502" s="5">
        <v>10</v>
      </c>
      <c r="K502" s="6">
        <v>29000</v>
      </c>
      <c r="L502" s="5">
        <v>1000</v>
      </c>
      <c r="M502" s="5">
        <v>55</v>
      </c>
      <c r="N502" s="5">
        <v>31</v>
      </c>
      <c r="O502" s="17" t="s">
        <v>156</v>
      </c>
      <c r="P502" s="8"/>
      <c r="Q502" s="18">
        <v>9.0972222222222218E-2</v>
      </c>
      <c r="R502" s="18">
        <v>9.0972222222222218E-2</v>
      </c>
      <c r="S502" s="17">
        <v>139559</v>
      </c>
      <c r="T502" s="18">
        <v>0.29236111111111113</v>
      </c>
      <c r="U502" s="18">
        <v>0.29236111111111113</v>
      </c>
      <c r="V502" s="17">
        <v>139590</v>
      </c>
      <c r="W502" s="17">
        <v>52</v>
      </c>
      <c r="X502" s="17">
        <v>52</v>
      </c>
      <c r="Y502" s="12">
        <v>0</v>
      </c>
      <c r="Z502" s="12">
        <v>31</v>
      </c>
      <c r="AA502" s="12">
        <v>31</v>
      </c>
      <c r="AB502" s="12">
        <v>0</v>
      </c>
      <c r="AC502" s="12">
        <v>0</v>
      </c>
      <c r="AD502" s="13">
        <v>0</v>
      </c>
      <c r="AE502" s="12">
        <v>0</v>
      </c>
      <c r="AF502" s="14">
        <v>0</v>
      </c>
      <c r="AG502" s="5">
        <v>0</v>
      </c>
      <c r="AH502" s="5">
        <v>0</v>
      </c>
      <c r="AI502" s="5">
        <v>0</v>
      </c>
      <c r="AJ502" s="5">
        <v>935.48</v>
      </c>
      <c r="AK502" s="5">
        <v>0</v>
      </c>
      <c r="AL502" s="5">
        <v>935.48</v>
      </c>
      <c r="AM502" s="8"/>
      <c r="AN502" s="8"/>
    </row>
    <row r="503" spans="1:40" ht="16" thickBot="1">
      <c r="A503" s="3">
        <v>502</v>
      </c>
      <c r="B503" s="19">
        <v>45951</v>
      </c>
      <c r="C503" s="5" t="s">
        <v>40</v>
      </c>
      <c r="D503" s="5" t="s">
        <v>41</v>
      </c>
      <c r="E503" s="6" t="s">
        <v>42</v>
      </c>
      <c r="F503" s="7" t="s">
        <v>70</v>
      </c>
      <c r="G503" s="5" t="s">
        <v>44</v>
      </c>
      <c r="H503" s="5" t="s">
        <v>45</v>
      </c>
      <c r="I503" s="5">
        <v>4</v>
      </c>
      <c r="J503" s="5">
        <v>8</v>
      </c>
      <c r="K503" s="5">
        <v>25000</v>
      </c>
      <c r="L503" s="5">
        <v>1000</v>
      </c>
      <c r="M503" s="5">
        <v>55</v>
      </c>
      <c r="N503" s="5">
        <v>31</v>
      </c>
      <c r="O503" s="17" t="s">
        <v>79</v>
      </c>
      <c r="P503" s="8"/>
      <c r="Q503" s="18">
        <v>9.2361111111111116E-2</v>
      </c>
      <c r="R503" s="18">
        <v>9.2361111111111116E-2</v>
      </c>
      <c r="S503" s="17">
        <v>37345</v>
      </c>
      <c r="T503" s="18">
        <v>0.2951388888888889</v>
      </c>
      <c r="U503" s="18">
        <v>0.2951388888888889</v>
      </c>
      <c r="V503" s="17">
        <v>37370</v>
      </c>
      <c r="W503" s="17">
        <v>27</v>
      </c>
      <c r="X503" s="17">
        <v>27</v>
      </c>
      <c r="Y503" s="12">
        <v>0</v>
      </c>
      <c r="Z503" s="12">
        <v>25</v>
      </c>
      <c r="AA503" s="12">
        <v>25</v>
      </c>
      <c r="AB503" s="12">
        <v>0</v>
      </c>
      <c r="AC503" s="12">
        <v>0</v>
      </c>
      <c r="AD503" s="13">
        <v>0</v>
      </c>
      <c r="AE503" s="12">
        <v>0</v>
      </c>
      <c r="AF503" s="14">
        <v>0</v>
      </c>
      <c r="AG503" s="5">
        <v>0</v>
      </c>
      <c r="AH503" s="5">
        <v>0</v>
      </c>
      <c r="AI503" s="5">
        <v>0</v>
      </c>
      <c r="AJ503" s="5">
        <v>806.45</v>
      </c>
      <c r="AK503" s="5">
        <v>0</v>
      </c>
      <c r="AL503" s="5">
        <v>806.45</v>
      </c>
      <c r="AM503" s="8"/>
      <c r="AN503" s="8"/>
    </row>
    <row r="504" spans="1:40" ht="16" thickBot="1">
      <c r="A504" s="3">
        <v>503</v>
      </c>
      <c r="B504" s="19">
        <v>45951</v>
      </c>
      <c r="C504" s="5" t="s">
        <v>40</v>
      </c>
      <c r="D504" s="5" t="s">
        <v>41</v>
      </c>
      <c r="E504" s="6" t="s">
        <v>42</v>
      </c>
      <c r="F504" s="7" t="s">
        <v>82</v>
      </c>
      <c r="G504" s="10" t="s">
        <v>83</v>
      </c>
      <c r="H504" s="5" t="s">
        <v>84</v>
      </c>
      <c r="I504" s="5">
        <v>4</v>
      </c>
      <c r="J504" s="5">
        <v>10</v>
      </c>
      <c r="K504" s="6">
        <v>29000</v>
      </c>
      <c r="L504" s="5">
        <v>1000</v>
      </c>
      <c r="M504" s="5">
        <v>55</v>
      </c>
      <c r="N504" s="5">
        <v>31</v>
      </c>
      <c r="O504" s="17" t="s">
        <v>135</v>
      </c>
      <c r="P504" s="8"/>
      <c r="Q504" s="18">
        <v>9.5833333333333326E-2</v>
      </c>
      <c r="R504" s="18">
        <v>9.5833333333333326E-2</v>
      </c>
      <c r="S504" s="17">
        <v>33117</v>
      </c>
      <c r="T504" s="8"/>
      <c r="U504" s="8"/>
      <c r="V504" s="17">
        <v>33132</v>
      </c>
      <c r="W504" s="17">
        <v>32</v>
      </c>
      <c r="X504" s="17">
        <v>32</v>
      </c>
      <c r="Y504" s="12">
        <v>0</v>
      </c>
      <c r="Z504" s="12">
        <v>15</v>
      </c>
      <c r="AA504" s="12">
        <v>15</v>
      </c>
      <c r="AB504" s="12">
        <v>0</v>
      </c>
      <c r="AC504" s="12">
        <v>0</v>
      </c>
      <c r="AD504" s="13">
        <v>0</v>
      </c>
      <c r="AE504" s="12">
        <v>0</v>
      </c>
      <c r="AF504" s="14">
        <v>0</v>
      </c>
      <c r="AG504" s="5">
        <v>0</v>
      </c>
      <c r="AH504" s="5">
        <v>0</v>
      </c>
      <c r="AI504" s="5">
        <v>0</v>
      </c>
      <c r="AJ504" s="5">
        <v>935.48</v>
      </c>
      <c r="AK504" s="5">
        <v>0</v>
      </c>
      <c r="AL504" s="5">
        <v>935.48</v>
      </c>
      <c r="AM504" s="8"/>
      <c r="AN504" s="8"/>
    </row>
    <row r="505" spans="1:40" ht="16" thickBot="1">
      <c r="A505" s="3">
        <v>504</v>
      </c>
      <c r="B505" s="19">
        <v>45951</v>
      </c>
      <c r="C505" s="5" t="s">
        <v>40</v>
      </c>
      <c r="D505" s="5" t="s">
        <v>41</v>
      </c>
      <c r="E505" s="6" t="s">
        <v>42</v>
      </c>
      <c r="F505" s="7" t="s">
        <v>51</v>
      </c>
      <c r="G505" s="5" t="s">
        <v>44</v>
      </c>
      <c r="H505" s="5" t="s">
        <v>45</v>
      </c>
      <c r="I505" s="5">
        <v>4</v>
      </c>
      <c r="J505" s="5">
        <v>8</v>
      </c>
      <c r="K505" s="5">
        <v>25000</v>
      </c>
      <c r="L505" s="5">
        <v>1000</v>
      </c>
      <c r="M505" s="5">
        <v>55</v>
      </c>
      <c r="N505" s="5">
        <v>31</v>
      </c>
      <c r="O505" s="17" t="s">
        <v>93</v>
      </c>
      <c r="P505" s="8"/>
      <c r="Q505" s="18">
        <v>0.11041666666666666</v>
      </c>
      <c r="R505" s="18">
        <v>0.11041666666666666</v>
      </c>
      <c r="S505" s="17">
        <v>84277</v>
      </c>
      <c r="T505" s="8"/>
      <c r="U505" s="8"/>
      <c r="V505" s="17">
        <v>84296</v>
      </c>
      <c r="W505" s="17">
        <v>26</v>
      </c>
      <c r="X505" s="17">
        <v>26</v>
      </c>
      <c r="Y505" s="12">
        <v>0</v>
      </c>
      <c r="Z505" s="12">
        <v>19</v>
      </c>
      <c r="AA505" s="12">
        <v>19</v>
      </c>
      <c r="AB505" s="12">
        <v>0</v>
      </c>
      <c r="AC505" s="12">
        <v>0</v>
      </c>
      <c r="AD505" s="13">
        <v>0</v>
      </c>
      <c r="AE505" s="12">
        <v>0</v>
      </c>
      <c r="AF505" s="14">
        <v>0</v>
      </c>
      <c r="AG505" s="5">
        <v>0</v>
      </c>
      <c r="AH505" s="5">
        <v>0</v>
      </c>
      <c r="AI505" s="5">
        <v>0</v>
      </c>
      <c r="AJ505" s="5">
        <v>806.45</v>
      </c>
      <c r="AK505" s="5">
        <v>0</v>
      </c>
      <c r="AL505" s="5">
        <v>806.45</v>
      </c>
      <c r="AM505" s="8"/>
      <c r="AN505" s="8"/>
    </row>
    <row r="506" spans="1:40" ht="16" thickBot="1">
      <c r="A506" s="3">
        <v>505</v>
      </c>
      <c r="B506" s="19">
        <v>45951</v>
      </c>
      <c r="C506" s="5" t="s">
        <v>40</v>
      </c>
      <c r="D506" s="5" t="s">
        <v>41</v>
      </c>
      <c r="E506" s="6" t="s">
        <v>42</v>
      </c>
      <c r="F506" s="7" t="s">
        <v>62</v>
      </c>
      <c r="G506" s="5" t="s">
        <v>44</v>
      </c>
      <c r="H506" s="5" t="s">
        <v>45</v>
      </c>
      <c r="I506" s="5">
        <v>6</v>
      </c>
      <c r="J506" s="5">
        <v>8</v>
      </c>
      <c r="K506" s="5">
        <v>33000</v>
      </c>
      <c r="L506" s="5">
        <v>2000</v>
      </c>
      <c r="M506" s="5">
        <v>55</v>
      </c>
      <c r="N506" s="5">
        <v>31</v>
      </c>
      <c r="O506" s="17" t="s">
        <v>167</v>
      </c>
      <c r="P506" s="8"/>
      <c r="Q506" s="18">
        <v>0.11458333333333333</v>
      </c>
      <c r="R506" s="18">
        <v>0.11458333333333333</v>
      </c>
      <c r="S506" s="17">
        <v>48414</v>
      </c>
      <c r="T506" s="18">
        <v>0.30833333333333335</v>
      </c>
      <c r="U506" s="18">
        <v>0.30833333333333335</v>
      </c>
      <c r="V506" s="17">
        <v>48478</v>
      </c>
      <c r="W506" s="17">
        <v>38</v>
      </c>
      <c r="X506" s="17">
        <v>38</v>
      </c>
      <c r="Y506" s="12">
        <v>0</v>
      </c>
      <c r="Z506" s="12">
        <v>64</v>
      </c>
      <c r="AA506" s="12">
        <v>64</v>
      </c>
      <c r="AB506" s="12">
        <v>0</v>
      </c>
      <c r="AC506" s="12">
        <v>0</v>
      </c>
      <c r="AD506" s="13">
        <v>0</v>
      </c>
      <c r="AE506" s="12">
        <v>0</v>
      </c>
      <c r="AF506" s="14">
        <v>0</v>
      </c>
      <c r="AG506" s="5">
        <v>0</v>
      </c>
      <c r="AH506" s="5">
        <v>0</v>
      </c>
      <c r="AI506" s="5">
        <v>0</v>
      </c>
      <c r="AJ506" s="5">
        <v>1064.52</v>
      </c>
      <c r="AK506" s="5">
        <v>0</v>
      </c>
      <c r="AL506" s="5">
        <v>1064.52</v>
      </c>
      <c r="AM506" s="8"/>
      <c r="AN506" s="8"/>
    </row>
    <row r="507" spans="1:40" ht="16" thickBot="1">
      <c r="A507" s="3">
        <v>506</v>
      </c>
      <c r="B507" s="19">
        <v>45951</v>
      </c>
      <c r="C507" s="5" t="s">
        <v>40</v>
      </c>
      <c r="D507" s="5" t="s">
        <v>41</v>
      </c>
      <c r="E507" s="6" t="s">
        <v>42</v>
      </c>
      <c r="F507" s="7" t="s">
        <v>59</v>
      </c>
      <c r="G507" s="5" t="s">
        <v>44</v>
      </c>
      <c r="H507" s="5" t="s">
        <v>45</v>
      </c>
      <c r="I507" s="5">
        <v>4</v>
      </c>
      <c r="J507" s="5">
        <v>8</v>
      </c>
      <c r="K507" s="5">
        <v>25000</v>
      </c>
      <c r="L507" s="5">
        <v>1000</v>
      </c>
      <c r="M507" s="5">
        <v>55</v>
      </c>
      <c r="N507" s="5">
        <v>31</v>
      </c>
      <c r="O507" s="17" t="s">
        <v>220</v>
      </c>
      <c r="P507" s="8"/>
      <c r="Q507" s="18">
        <v>0.11875000000000001</v>
      </c>
      <c r="R507" s="18">
        <v>0.11875000000000001</v>
      </c>
      <c r="S507" s="17">
        <v>159745</v>
      </c>
      <c r="T507" s="8"/>
      <c r="U507" s="8"/>
      <c r="V507" s="17">
        <v>159773</v>
      </c>
      <c r="W507" s="8"/>
      <c r="X507" s="8"/>
      <c r="Y507" s="12">
        <v>0</v>
      </c>
      <c r="Z507" s="12">
        <v>28</v>
      </c>
      <c r="AA507" s="12">
        <v>28</v>
      </c>
      <c r="AB507" s="12">
        <v>0</v>
      </c>
      <c r="AC507" s="12">
        <v>0</v>
      </c>
      <c r="AD507" s="13">
        <v>0</v>
      </c>
      <c r="AE507" s="12">
        <v>0</v>
      </c>
      <c r="AF507" s="14">
        <v>0</v>
      </c>
      <c r="AG507" s="5">
        <v>0</v>
      </c>
      <c r="AH507" s="5">
        <v>0</v>
      </c>
      <c r="AI507" s="5">
        <v>0</v>
      </c>
      <c r="AJ507" s="5">
        <v>806.45</v>
      </c>
      <c r="AK507" s="5">
        <v>0</v>
      </c>
      <c r="AL507" s="5">
        <v>806.45</v>
      </c>
      <c r="AM507" s="8"/>
      <c r="AN507" s="8"/>
    </row>
    <row r="508" spans="1:40" ht="16" thickBot="1">
      <c r="A508" s="3">
        <v>507</v>
      </c>
      <c r="B508" s="19">
        <v>45951</v>
      </c>
      <c r="C508" s="5" t="s">
        <v>40</v>
      </c>
      <c r="D508" s="5" t="s">
        <v>41</v>
      </c>
      <c r="E508" s="6" t="s">
        <v>42</v>
      </c>
      <c r="F508" s="7" t="s">
        <v>64</v>
      </c>
      <c r="G508" s="5" t="s">
        <v>44</v>
      </c>
      <c r="H508" s="5" t="s">
        <v>45</v>
      </c>
      <c r="I508" s="5">
        <v>4</v>
      </c>
      <c r="J508" s="5">
        <v>8</v>
      </c>
      <c r="K508" s="5">
        <v>25000</v>
      </c>
      <c r="L508" s="5">
        <v>1000</v>
      </c>
      <c r="M508" s="5">
        <v>55</v>
      </c>
      <c r="N508" s="5">
        <v>31</v>
      </c>
      <c r="O508" s="17" t="s">
        <v>220</v>
      </c>
      <c r="P508" s="8"/>
      <c r="Q508" s="18">
        <v>0.12361111111111112</v>
      </c>
      <c r="R508" s="18">
        <v>0.12361111111111112</v>
      </c>
      <c r="S508" s="17">
        <v>75896</v>
      </c>
      <c r="T508" s="18">
        <v>0.2951388888888889</v>
      </c>
      <c r="U508" s="18">
        <v>0.2951388888888889</v>
      </c>
      <c r="V508" s="17">
        <v>75924</v>
      </c>
      <c r="W508" s="8"/>
      <c r="X508" s="8"/>
      <c r="Y508" s="12">
        <v>0</v>
      </c>
      <c r="Z508" s="12">
        <v>28</v>
      </c>
      <c r="AA508" s="12">
        <v>28</v>
      </c>
      <c r="AB508" s="12">
        <v>0</v>
      </c>
      <c r="AC508" s="12">
        <v>0</v>
      </c>
      <c r="AD508" s="13">
        <v>0</v>
      </c>
      <c r="AE508" s="12">
        <v>0</v>
      </c>
      <c r="AF508" s="14">
        <v>0</v>
      </c>
      <c r="AG508" s="5">
        <v>0</v>
      </c>
      <c r="AH508" s="5">
        <v>0</v>
      </c>
      <c r="AI508" s="5">
        <v>0</v>
      </c>
      <c r="AJ508" s="5">
        <v>806.45</v>
      </c>
      <c r="AK508" s="5">
        <v>0</v>
      </c>
      <c r="AL508" s="5">
        <v>806.45</v>
      </c>
      <c r="AM508" s="8"/>
      <c r="AN508" s="8"/>
    </row>
    <row r="509" spans="1:40" ht="16" thickBot="1">
      <c r="A509" s="3">
        <v>508</v>
      </c>
      <c r="B509" s="19">
        <v>45953</v>
      </c>
      <c r="C509" s="5" t="s">
        <v>40</v>
      </c>
      <c r="D509" s="5" t="s">
        <v>41</v>
      </c>
      <c r="E509" s="6" t="s">
        <v>42</v>
      </c>
      <c r="F509" s="7" t="s">
        <v>72</v>
      </c>
      <c r="G509" s="5" t="s">
        <v>44</v>
      </c>
      <c r="H509" s="5" t="s">
        <v>45</v>
      </c>
      <c r="I509" s="5">
        <v>6</v>
      </c>
      <c r="J509" s="5">
        <v>8</v>
      </c>
      <c r="K509" s="5">
        <v>33000</v>
      </c>
      <c r="L509" s="5">
        <v>2000</v>
      </c>
      <c r="M509" s="5">
        <v>55</v>
      </c>
      <c r="N509" s="5">
        <v>31</v>
      </c>
      <c r="O509" s="6" t="s">
        <v>73</v>
      </c>
      <c r="P509" s="8"/>
      <c r="Q509" s="16">
        <v>4.4444444444444446E-2</v>
      </c>
      <c r="R509" s="16">
        <v>4.4444444444444446E-2</v>
      </c>
      <c r="S509" s="6">
        <v>34710</v>
      </c>
      <c r="T509" s="16">
        <v>0.30833333333333335</v>
      </c>
      <c r="U509" s="16">
        <v>0.30833333333333335</v>
      </c>
      <c r="V509" s="6">
        <v>34775</v>
      </c>
      <c r="W509" s="6">
        <v>24</v>
      </c>
      <c r="X509" s="6">
        <v>24</v>
      </c>
      <c r="Y509" s="12">
        <v>0</v>
      </c>
      <c r="Z509" s="12">
        <v>65</v>
      </c>
      <c r="AA509" s="12">
        <v>65</v>
      </c>
      <c r="AB509" s="12">
        <v>0</v>
      </c>
      <c r="AC509" s="12">
        <v>0</v>
      </c>
      <c r="AD509" s="13">
        <v>0</v>
      </c>
      <c r="AE509" s="12">
        <v>0</v>
      </c>
      <c r="AF509" s="14">
        <v>0</v>
      </c>
      <c r="AG509" s="5">
        <v>0</v>
      </c>
      <c r="AH509" s="5">
        <v>0</v>
      </c>
      <c r="AI509" s="5">
        <v>0</v>
      </c>
      <c r="AJ509" s="5">
        <v>1064.52</v>
      </c>
      <c r="AK509" s="5">
        <v>0</v>
      </c>
      <c r="AL509" s="5">
        <v>1064.52</v>
      </c>
      <c r="AM509" s="8"/>
      <c r="AN509" s="8"/>
    </row>
    <row r="510" spans="1:40" ht="16" thickBot="1">
      <c r="A510" s="3">
        <v>509</v>
      </c>
      <c r="B510" s="19">
        <v>45953</v>
      </c>
      <c r="C510" s="5" t="s">
        <v>40</v>
      </c>
      <c r="D510" s="5" t="s">
        <v>41</v>
      </c>
      <c r="E510" s="6" t="s">
        <v>42</v>
      </c>
      <c r="F510" s="7" t="s">
        <v>43</v>
      </c>
      <c r="G510" s="5" t="s">
        <v>44</v>
      </c>
      <c r="H510" s="5" t="s">
        <v>45</v>
      </c>
      <c r="I510" s="5">
        <v>4</v>
      </c>
      <c r="J510" s="5">
        <v>8</v>
      </c>
      <c r="K510" s="5">
        <v>25000</v>
      </c>
      <c r="L510" s="5">
        <v>1000</v>
      </c>
      <c r="M510" s="5">
        <v>55</v>
      </c>
      <c r="N510" s="5">
        <v>31</v>
      </c>
      <c r="O510" s="6" t="s">
        <v>46</v>
      </c>
      <c r="P510" s="8"/>
      <c r="Q510" s="16">
        <v>4.5138888888888888E-2</v>
      </c>
      <c r="R510" s="16">
        <v>4.5138888888888888E-2</v>
      </c>
      <c r="S510" s="6">
        <v>57947</v>
      </c>
      <c r="T510" s="16">
        <v>0.26041666666666669</v>
      </c>
      <c r="U510" s="16">
        <v>0.26041666666666669</v>
      </c>
      <c r="V510" s="6">
        <v>57963</v>
      </c>
      <c r="W510" s="6">
        <v>22</v>
      </c>
      <c r="X510" s="6">
        <v>22</v>
      </c>
      <c r="Y510" s="12">
        <v>0</v>
      </c>
      <c r="Z510" s="12">
        <v>16</v>
      </c>
      <c r="AA510" s="12">
        <v>16</v>
      </c>
      <c r="AB510" s="12">
        <v>0</v>
      </c>
      <c r="AC510" s="12">
        <v>0</v>
      </c>
      <c r="AD510" s="13">
        <v>0</v>
      </c>
      <c r="AE510" s="12">
        <v>0</v>
      </c>
      <c r="AF510" s="14">
        <v>0</v>
      </c>
      <c r="AG510" s="5">
        <v>0</v>
      </c>
      <c r="AH510" s="5">
        <v>0</v>
      </c>
      <c r="AI510" s="5">
        <v>0</v>
      </c>
      <c r="AJ510" s="5">
        <v>806.45</v>
      </c>
      <c r="AK510" s="5">
        <v>0</v>
      </c>
      <c r="AL510" s="5">
        <v>806.45</v>
      </c>
      <c r="AM510" s="8"/>
      <c r="AN510" s="8"/>
    </row>
    <row r="511" spans="1:40" ht="16" thickBot="1">
      <c r="A511" s="3">
        <v>510</v>
      </c>
      <c r="B511" s="19">
        <v>45953</v>
      </c>
      <c r="C511" s="5" t="s">
        <v>40</v>
      </c>
      <c r="D511" s="5" t="s">
        <v>41</v>
      </c>
      <c r="E511" s="6" t="s">
        <v>42</v>
      </c>
      <c r="F511" s="7" t="s">
        <v>74</v>
      </c>
      <c r="G511" s="5" t="s">
        <v>44</v>
      </c>
      <c r="H511" s="5" t="s">
        <v>45</v>
      </c>
      <c r="I511" s="5">
        <v>4</v>
      </c>
      <c r="J511" s="5">
        <v>8</v>
      </c>
      <c r="K511" s="5">
        <v>25000</v>
      </c>
      <c r="L511" s="5">
        <v>1000</v>
      </c>
      <c r="M511" s="5">
        <v>55</v>
      </c>
      <c r="N511" s="5">
        <v>31</v>
      </c>
      <c r="O511" s="6" t="s">
        <v>61</v>
      </c>
      <c r="P511" s="8"/>
      <c r="Q511" s="16">
        <v>4.6527777777777779E-2</v>
      </c>
      <c r="R511" s="16">
        <v>4.6527777777777779E-2</v>
      </c>
      <c r="S511" s="6">
        <v>39378</v>
      </c>
      <c r="T511" s="16">
        <v>0.29722222222222222</v>
      </c>
      <c r="U511" s="16">
        <v>0.29722222222222222</v>
      </c>
      <c r="V511" s="6">
        <v>39397</v>
      </c>
      <c r="W511" s="6">
        <v>39</v>
      </c>
      <c r="X511" s="6">
        <v>39</v>
      </c>
      <c r="Y511" s="12">
        <v>0</v>
      </c>
      <c r="Z511" s="12">
        <v>19</v>
      </c>
      <c r="AA511" s="12">
        <v>19</v>
      </c>
      <c r="AB511" s="12">
        <v>0</v>
      </c>
      <c r="AC511" s="12">
        <v>0</v>
      </c>
      <c r="AD511" s="13">
        <v>0</v>
      </c>
      <c r="AE511" s="12">
        <v>0</v>
      </c>
      <c r="AF511" s="14">
        <v>0</v>
      </c>
      <c r="AG511" s="5">
        <v>0</v>
      </c>
      <c r="AH511" s="5">
        <v>0</v>
      </c>
      <c r="AI511" s="5">
        <v>0</v>
      </c>
      <c r="AJ511" s="5">
        <v>806.45</v>
      </c>
      <c r="AK511" s="5">
        <v>0</v>
      </c>
      <c r="AL511" s="5">
        <v>806.45</v>
      </c>
      <c r="AM511" s="8"/>
      <c r="AN511" s="8"/>
    </row>
    <row r="512" spans="1:40" ht="16" thickBot="1">
      <c r="A512" s="3">
        <v>511</v>
      </c>
      <c r="B512" s="19">
        <v>45953</v>
      </c>
      <c r="C512" s="5" t="s">
        <v>40</v>
      </c>
      <c r="D512" s="5" t="s">
        <v>41</v>
      </c>
      <c r="E512" s="6" t="s">
        <v>42</v>
      </c>
      <c r="F512" s="7" t="s">
        <v>80</v>
      </c>
      <c r="G512" s="5" t="s">
        <v>44</v>
      </c>
      <c r="H512" s="5" t="s">
        <v>45</v>
      </c>
      <c r="I512" s="5">
        <v>4</v>
      </c>
      <c r="J512" s="5">
        <v>8</v>
      </c>
      <c r="K512" s="5">
        <v>25000</v>
      </c>
      <c r="L512" s="5">
        <v>1000</v>
      </c>
      <c r="M512" s="5">
        <v>55</v>
      </c>
      <c r="N512" s="5">
        <v>31</v>
      </c>
      <c r="O512" s="6" t="s">
        <v>170</v>
      </c>
      <c r="P512" s="8"/>
      <c r="Q512" s="16">
        <v>4.7222222222222221E-2</v>
      </c>
      <c r="R512" s="16">
        <v>4.7222222222222221E-2</v>
      </c>
      <c r="S512" s="6">
        <v>5899</v>
      </c>
      <c r="T512" s="16">
        <v>0.30833333333333335</v>
      </c>
      <c r="U512" s="16">
        <v>0.30833333333333335</v>
      </c>
      <c r="V512" s="6">
        <v>5917</v>
      </c>
      <c r="W512" s="6">
        <v>46</v>
      </c>
      <c r="X512" s="6">
        <v>46</v>
      </c>
      <c r="Y512" s="12">
        <v>0</v>
      </c>
      <c r="Z512" s="12">
        <v>18</v>
      </c>
      <c r="AA512" s="12">
        <v>18</v>
      </c>
      <c r="AB512" s="12">
        <v>0</v>
      </c>
      <c r="AC512" s="12">
        <v>0</v>
      </c>
      <c r="AD512" s="13">
        <v>0</v>
      </c>
      <c r="AE512" s="12">
        <v>0</v>
      </c>
      <c r="AF512" s="14">
        <v>0</v>
      </c>
      <c r="AG512" s="5">
        <v>0</v>
      </c>
      <c r="AH512" s="5">
        <v>0</v>
      </c>
      <c r="AI512" s="5">
        <v>0</v>
      </c>
      <c r="AJ512" s="5">
        <v>806.45</v>
      </c>
      <c r="AK512" s="5">
        <v>0</v>
      </c>
      <c r="AL512" s="5">
        <v>806.45</v>
      </c>
      <c r="AM512" s="8"/>
      <c r="AN512" s="8"/>
    </row>
    <row r="513" spans="1:40" ht="16" thickBot="1">
      <c r="A513" s="3">
        <v>512</v>
      </c>
      <c r="B513" s="19">
        <v>45953</v>
      </c>
      <c r="C513" s="5" t="s">
        <v>40</v>
      </c>
      <c r="D513" s="5" t="s">
        <v>41</v>
      </c>
      <c r="E513" s="6" t="s">
        <v>42</v>
      </c>
      <c r="F513" s="7" t="s">
        <v>60</v>
      </c>
      <c r="G513" s="5" t="s">
        <v>44</v>
      </c>
      <c r="H513" s="5" t="s">
        <v>45</v>
      </c>
      <c r="I513" s="5">
        <v>4</v>
      </c>
      <c r="J513" s="5">
        <v>8</v>
      </c>
      <c r="K513" s="5">
        <v>25000</v>
      </c>
      <c r="L513" s="5">
        <v>1000</v>
      </c>
      <c r="M513" s="5">
        <v>55</v>
      </c>
      <c r="N513" s="5">
        <v>31</v>
      </c>
      <c r="O513" s="6" t="s">
        <v>136</v>
      </c>
      <c r="P513" s="8"/>
      <c r="Q513" s="16">
        <v>4.7222222222222221E-2</v>
      </c>
      <c r="R513" s="16">
        <v>4.7222222222222221E-2</v>
      </c>
      <c r="S513" s="6">
        <v>114381</v>
      </c>
      <c r="T513" s="16">
        <v>0.29930555555555555</v>
      </c>
      <c r="U513" s="16">
        <v>0.29930555555555555</v>
      </c>
      <c r="V513" s="6">
        <v>114397</v>
      </c>
      <c r="W513" s="6">
        <v>36</v>
      </c>
      <c r="X513" s="6">
        <v>36</v>
      </c>
      <c r="Y513" s="12">
        <v>0</v>
      </c>
      <c r="Z513" s="12">
        <v>16</v>
      </c>
      <c r="AA513" s="12">
        <v>16</v>
      </c>
      <c r="AB513" s="12">
        <v>0</v>
      </c>
      <c r="AC513" s="12">
        <v>0</v>
      </c>
      <c r="AD513" s="13">
        <v>0</v>
      </c>
      <c r="AE513" s="12">
        <v>0</v>
      </c>
      <c r="AF513" s="14">
        <v>0</v>
      </c>
      <c r="AG513" s="5">
        <v>0</v>
      </c>
      <c r="AH513" s="5">
        <v>0</v>
      </c>
      <c r="AI513" s="5">
        <v>0</v>
      </c>
      <c r="AJ513" s="5">
        <v>806.45</v>
      </c>
      <c r="AK513" s="5">
        <v>0</v>
      </c>
      <c r="AL513" s="5">
        <v>806.45</v>
      </c>
      <c r="AM513" s="8"/>
      <c r="AN513" s="8"/>
    </row>
    <row r="514" spans="1:40" ht="16" thickBot="1">
      <c r="A514" s="3">
        <v>513</v>
      </c>
      <c r="B514" s="19">
        <v>45953</v>
      </c>
      <c r="C514" s="5" t="s">
        <v>40</v>
      </c>
      <c r="D514" s="5" t="s">
        <v>41</v>
      </c>
      <c r="E514" s="6" t="s">
        <v>42</v>
      </c>
      <c r="F514" s="7" t="s">
        <v>145</v>
      </c>
      <c r="G514" s="5" t="s">
        <v>44</v>
      </c>
      <c r="H514" s="5" t="s">
        <v>45</v>
      </c>
      <c r="I514" s="5">
        <v>4</v>
      </c>
      <c r="J514" s="5">
        <v>8</v>
      </c>
      <c r="K514" s="5">
        <v>25000</v>
      </c>
      <c r="L514" s="5">
        <v>1000</v>
      </c>
      <c r="M514" s="5">
        <v>55</v>
      </c>
      <c r="N514" s="5">
        <v>31</v>
      </c>
      <c r="O514" s="6" t="s">
        <v>181</v>
      </c>
      <c r="P514" s="8"/>
      <c r="Q514" s="16">
        <v>4.8611111111111112E-2</v>
      </c>
      <c r="R514" s="16">
        <v>4.8611111111111112E-2</v>
      </c>
      <c r="S514" s="6">
        <v>38958</v>
      </c>
      <c r="T514" s="16">
        <v>0.32777777777777778</v>
      </c>
      <c r="U514" s="16">
        <v>0.32777777777777778</v>
      </c>
      <c r="V514" s="6">
        <v>38984</v>
      </c>
      <c r="W514" s="6">
        <v>45</v>
      </c>
      <c r="X514" s="6">
        <v>45</v>
      </c>
      <c r="Y514" s="12">
        <v>0</v>
      </c>
      <c r="Z514" s="12">
        <v>26</v>
      </c>
      <c r="AA514" s="12">
        <v>26</v>
      </c>
      <c r="AB514" s="12">
        <v>0</v>
      </c>
      <c r="AC514" s="12">
        <v>0</v>
      </c>
      <c r="AD514" s="13">
        <v>0</v>
      </c>
      <c r="AE514" s="12">
        <v>0</v>
      </c>
      <c r="AF514" s="14">
        <v>0</v>
      </c>
      <c r="AG514" s="5">
        <v>0</v>
      </c>
      <c r="AH514" s="5">
        <v>0</v>
      </c>
      <c r="AI514" s="5">
        <v>0</v>
      </c>
      <c r="AJ514" s="5">
        <v>806.45</v>
      </c>
      <c r="AK514" s="5">
        <v>0</v>
      </c>
      <c r="AL514" s="5">
        <v>806.45</v>
      </c>
      <c r="AM514" s="8"/>
      <c r="AN514" s="8"/>
    </row>
    <row r="515" spans="1:40" ht="16" thickBot="1">
      <c r="A515" s="3">
        <v>514</v>
      </c>
      <c r="B515" s="19">
        <v>45953</v>
      </c>
      <c r="C515" s="5" t="s">
        <v>40</v>
      </c>
      <c r="D515" s="5" t="s">
        <v>41</v>
      </c>
      <c r="E515" s="6" t="s">
        <v>42</v>
      </c>
      <c r="F515" s="7" t="s">
        <v>49</v>
      </c>
      <c r="G515" s="5" t="s">
        <v>44</v>
      </c>
      <c r="H515" s="5" t="s">
        <v>45</v>
      </c>
      <c r="I515" s="5">
        <v>6</v>
      </c>
      <c r="J515" s="5">
        <v>8</v>
      </c>
      <c r="K515" s="5">
        <v>33000</v>
      </c>
      <c r="L515" s="5">
        <v>2000</v>
      </c>
      <c r="M515" s="5">
        <v>55</v>
      </c>
      <c r="N515" s="5">
        <v>31</v>
      </c>
      <c r="O515" s="6" t="s">
        <v>63</v>
      </c>
      <c r="P515" s="8"/>
      <c r="Q515" s="16">
        <v>5.8333333333333327E-2</v>
      </c>
      <c r="R515" s="16">
        <v>5.8333333333333327E-2</v>
      </c>
      <c r="S515" s="6">
        <v>101495</v>
      </c>
      <c r="T515" s="16">
        <v>0.29375000000000001</v>
      </c>
      <c r="U515" s="16">
        <v>0.29375000000000001</v>
      </c>
      <c r="V515" s="6">
        <v>101541</v>
      </c>
      <c r="W515" s="6">
        <v>31</v>
      </c>
      <c r="X515" s="6">
        <v>31</v>
      </c>
      <c r="Y515" s="12">
        <v>0</v>
      </c>
      <c r="Z515" s="12">
        <v>46</v>
      </c>
      <c r="AA515" s="12">
        <v>46</v>
      </c>
      <c r="AB515" s="12">
        <v>0</v>
      </c>
      <c r="AC515" s="12">
        <v>0</v>
      </c>
      <c r="AD515" s="13">
        <v>0</v>
      </c>
      <c r="AE515" s="12">
        <v>0</v>
      </c>
      <c r="AF515" s="14">
        <v>0</v>
      </c>
      <c r="AG515" s="5">
        <v>0</v>
      </c>
      <c r="AH515" s="5">
        <v>0</v>
      </c>
      <c r="AI515" s="5">
        <v>0</v>
      </c>
      <c r="AJ515" s="5">
        <v>1064.52</v>
      </c>
      <c r="AK515" s="5">
        <v>0</v>
      </c>
      <c r="AL515" s="5">
        <v>1064.52</v>
      </c>
      <c r="AM515" s="8"/>
      <c r="AN515" s="8"/>
    </row>
    <row r="516" spans="1:40" ht="16" thickBot="1">
      <c r="A516" s="3">
        <v>515</v>
      </c>
      <c r="B516" s="19">
        <v>45953</v>
      </c>
      <c r="C516" s="5" t="s">
        <v>40</v>
      </c>
      <c r="D516" s="5" t="s">
        <v>41</v>
      </c>
      <c r="E516" s="6" t="s">
        <v>42</v>
      </c>
      <c r="F516" s="7" t="s">
        <v>132</v>
      </c>
      <c r="G516" s="5" t="s">
        <v>44</v>
      </c>
      <c r="H516" s="5" t="s">
        <v>45</v>
      </c>
      <c r="I516" s="5">
        <v>4</v>
      </c>
      <c r="J516" s="5">
        <v>8</v>
      </c>
      <c r="K516" s="5">
        <v>25000</v>
      </c>
      <c r="L516" s="5">
        <v>1000</v>
      </c>
      <c r="M516" s="5">
        <v>55</v>
      </c>
      <c r="N516" s="5">
        <v>31</v>
      </c>
      <c r="O516" s="6" t="s">
        <v>98</v>
      </c>
      <c r="P516" s="8"/>
      <c r="Q516" s="16">
        <v>6.1805555555555558E-2</v>
      </c>
      <c r="R516" s="16">
        <v>6.1805555555555558E-2</v>
      </c>
      <c r="S516" s="6">
        <v>110732</v>
      </c>
      <c r="T516" s="16">
        <v>0.3034722222222222</v>
      </c>
      <c r="U516" s="16">
        <v>0.3034722222222222</v>
      </c>
      <c r="V516" s="6">
        <v>110762</v>
      </c>
      <c r="W516" s="6">
        <v>12</v>
      </c>
      <c r="X516" s="6">
        <v>12</v>
      </c>
      <c r="Y516" s="12">
        <v>0</v>
      </c>
      <c r="Z516" s="12">
        <v>30</v>
      </c>
      <c r="AA516" s="12">
        <v>30</v>
      </c>
      <c r="AB516" s="12">
        <v>0</v>
      </c>
      <c r="AC516" s="12">
        <v>0</v>
      </c>
      <c r="AD516" s="13">
        <v>0</v>
      </c>
      <c r="AE516" s="12">
        <v>0</v>
      </c>
      <c r="AF516" s="14">
        <v>0</v>
      </c>
      <c r="AG516" s="5">
        <v>0</v>
      </c>
      <c r="AH516" s="5">
        <v>0</v>
      </c>
      <c r="AI516" s="5">
        <v>0</v>
      </c>
      <c r="AJ516" s="5">
        <v>806.45</v>
      </c>
      <c r="AK516" s="5">
        <v>0</v>
      </c>
      <c r="AL516" s="5">
        <v>806.45</v>
      </c>
      <c r="AM516" s="8"/>
      <c r="AN516" s="8"/>
    </row>
    <row r="517" spans="1:40" ht="16" thickBot="1">
      <c r="A517" s="3">
        <v>516</v>
      </c>
      <c r="B517" s="19">
        <v>45953</v>
      </c>
      <c r="C517" s="5" t="s">
        <v>40</v>
      </c>
      <c r="D517" s="5" t="s">
        <v>41</v>
      </c>
      <c r="E517" s="6" t="s">
        <v>42</v>
      </c>
      <c r="F517" s="7" t="s">
        <v>185</v>
      </c>
      <c r="G517" s="5" t="s">
        <v>44</v>
      </c>
      <c r="H517" s="5" t="s">
        <v>45</v>
      </c>
      <c r="I517" s="5">
        <v>4</v>
      </c>
      <c r="J517" s="5">
        <v>8</v>
      </c>
      <c r="K517" s="5">
        <v>25000</v>
      </c>
      <c r="L517" s="5">
        <v>1000</v>
      </c>
      <c r="M517" s="5">
        <v>55</v>
      </c>
      <c r="N517" s="5">
        <v>31</v>
      </c>
      <c r="O517" s="6" t="s">
        <v>186</v>
      </c>
      <c r="P517" s="8"/>
      <c r="Q517" s="16">
        <v>6.3888888888888884E-2</v>
      </c>
      <c r="R517" s="16">
        <v>6.3888888888888884E-2</v>
      </c>
      <c r="S517" s="6">
        <v>66455</v>
      </c>
      <c r="T517" s="16">
        <v>0.32708333333333334</v>
      </c>
      <c r="U517" s="16">
        <v>0.32708333333333334</v>
      </c>
      <c r="V517" s="6">
        <v>66467</v>
      </c>
      <c r="W517" s="6">
        <v>26</v>
      </c>
      <c r="X517" s="6">
        <v>26</v>
      </c>
      <c r="Y517" s="12">
        <v>0</v>
      </c>
      <c r="Z517" s="12">
        <v>12</v>
      </c>
      <c r="AA517" s="12">
        <v>12</v>
      </c>
      <c r="AB517" s="12">
        <v>0</v>
      </c>
      <c r="AC517" s="12">
        <v>0</v>
      </c>
      <c r="AD517" s="13">
        <v>0</v>
      </c>
      <c r="AE517" s="12">
        <v>0</v>
      </c>
      <c r="AF517" s="14">
        <v>0</v>
      </c>
      <c r="AG517" s="5">
        <v>0</v>
      </c>
      <c r="AH517" s="5">
        <v>0</v>
      </c>
      <c r="AI517" s="5">
        <v>0</v>
      </c>
      <c r="AJ517" s="5">
        <v>806.45</v>
      </c>
      <c r="AK517" s="5">
        <v>0</v>
      </c>
      <c r="AL517" s="5">
        <v>806.45</v>
      </c>
      <c r="AM517" s="8"/>
      <c r="AN517" s="8"/>
    </row>
    <row r="518" spans="1:40" ht="16" thickBot="1">
      <c r="A518" s="3">
        <v>517</v>
      </c>
      <c r="B518" s="19">
        <v>45953</v>
      </c>
      <c r="C518" s="5" t="s">
        <v>40</v>
      </c>
      <c r="D518" s="5" t="s">
        <v>41</v>
      </c>
      <c r="E518" s="6" t="s">
        <v>42</v>
      </c>
      <c r="F518" s="7" t="s">
        <v>55</v>
      </c>
      <c r="G518" s="5" t="s">
        <v>44</v>
      </c>
      <c r="H518" s="5" t="s">
        <v>45</v>
      </c>
      <c r="I518" s="5">
        <v>4</v>
      </c>
      <c r="J518" s="5">
        <v>8</v>
      </c>
      <c r="K518" s="5">
        <v>25000</v>
      </c>
      <c r="L518" s="5">
        <v>1000</v>
      </c>
      <c r="M518" s="5">
        <v>55</v>
      </c>
      <c r="N518" s="5">
        <v>31</v>
      </c>
      <c r="O518" s="6" t="s">
        <v>56</v>
      </c>
      <c r="P518" s="8"/>
      <c r="Q518" s="16">
        <v>6.3888888888888884E-2</v>
      </c>
      <c r="R518" s="16">
        <v>6.3888888888888884E-2</v>
      </c>
      <c r="S518" s="6">
        <v>145486</v>
      </c>
      <c r="T518" s="16">
        <v>0.28402777777777777</v>
      </c>
      <c r="U518" s="16">
        <v>0.28402777777777777</v>
      </c>
      <c r="V518" s="6">
        <v>145503</v>
      </c>
      <c r="W518" s="6">
        <v>21</v>
      </c>
      <c r="X518" s="6">
        <v>21</v>
      </c>
      <c r="Y518" s="12">
        <v>0</v>
      </c>
      <c r="Z518" s="12">
        <v>17</v>
      </c>
      <c r="AA518" s="12">
        <v>17</v>
      </c>
      <c r="AB518" s="12">
        <v>0</v>
      </c>
      <c r="AC518" s="12">
        <v>0</v>
      </c>
      <c r="AD518" s="13">
        <v>0</v>
      </c>
      <c r="AE518" s="12">
        <v>0</v>
      </c>
      <c r="AF518" s="14">
        <v>0</v>
      </c>
      <c r="AG518" s="5">
        <v>0</v>
      </c>
      <c r="AH518" s="5">
        <v>0</v>
      </c>
      <c r="AI518" s="5">
        <v>0</v>
      </c>
      <c r="AJ518" s="5">
        <v>806.45</v>
      </c>
      <c r="AK518" s="5">
        <v>0</v>
      </c>
      <c r="AL518" s="5">
        <v>806.45</v>
      </c>
      <c r="AM518" s="8"/>
      <c r="AN518" s="8"/>
    </row>
    <row r="519" spans="1:40" ht="16" thickBot="1">
      <c r="A519" s="3">
        <v>518</v>
      </c>
      <c r="B519" s="19">
        <v>45953</v>
      </c>
      <c r="C519" s="5" t="s">
        <v>40</v>
      </c>
      <c r="D519" s="5" t="s">
        <v>41</v>
      </c>
      <c r="E519" s="6" t="s">
        <v>42</v>
      </c>
      <c r="F519" s="7" t="s">
        <v>182</v>
      </c>
      <c r="G519" s="5" t="s">
        <v>44</v>
      </c>
      <c r="H519" s="5" t="s">
        <v>45</v>
      </c>
      <c r="I519" s="5">
        <v>4</v>
      </c>
      <c r="J519" s="5">
        <v>8</v>
      </c>
      <c r="K519" s="5">
        <v>25000</v>
      </c>
      <c r="L519" s="5">
        <v>1000</v>
      </c>
      <c r="M519" s="5">
        <v>55</v>
      </c>
      <c r="N519" s="5">
        <v>31</v>
      </c>
      <c r="O519" s="6" t="s">
        <v>102</v>
      </c>
      <c r="P519" s="8"/>
      <c r="Q519" s="16">
        <v>7.4999999999999997E-2</v>
      </c>
      <c r="R519" s="16">
        <v>7.4999999999999997E-2</v>
      </c>
      <c r="S519" s="6">
        <v>116352</v>
      </c>
      <c r="T519" s="16">
        <v>0.31319444444444444</v>
      </c>
      <c r="U519" s="16">
        <v>0.31319444444444444</v>
      </c>
      <c r="V519" s="6">
        <v>116384</v>
      </c>
      <c r="W519" s="6">
        <v>50</v>
      </c>
      <c r="X519" s="6">
        <v>50</v>
      </c>
      <c r="Y519" s="12">
        <v>0</v>
      </c>
      <c r="Z519" s="12">
        <v>32</v>
      </c>
      <c r="AA519" s="12">
        <v>32</v>
      </c>
      <c r="AB519" s="12">
        <v>0</v>
      </c>
      <c r="AC519" s="12">
        <v>0</v>
      </c>
      <c r="AD519" s="13">
        <v>0</v>
      </c>
      <c r="AE519" s="12">
        <v>0</v>
      </c>
      <c r="AF519" s="14">
        <v>0</v>
      </c>
      <c r="AG519" s="5">
        <v>0</v>
      </c>
      <c r="AH519" s="5">
        <v>0</v>
      </c>
      <c r="AI519" s="5">
        <v>0</v>
      </c>
      <c r="AJ519" s="5">
        <v>806.45</v>
      </c>
      <c r="AK519" s="5">
        <v>0</v>
      </c>
      <c r="AL519" s="5">
        <v>806.45</v>
      </c>
      <c r="AM519" s="8"/>
      <c r="AN519" s="8"/>
    </row>
    <row r="520" spans="1:40" ht="16" thickBot="1">
      <c r="A520" s="3">
        <v>519</v>
      </c>
      <c r="B520" s="19">
        <v>45953</v>
      </c>
      <c r="C520" s="5" t="s">
        <v>40</v>
      </c>
      <c r="D520" s="5" t="s">
        <v>41</v>
      </c>
      <c r="E520" s="6" t="s">
        <v>42</v>
      </c>
      <c r="F520" s="7" t="s">
        <v>101</v>
      </c>
      <c r="G520" s="5" t="s">
        <v>44</v>
      </c>
      <c r="H520" s="5" t="s">
        <v>45</v>
      </c>
      <c r="I520" s="5">
        <v>4</v>
      </c>
      <c r="J520" s="5">
        <v>8</v>
      </c>
      <c r="K520" s="5">
        <v>25000</v>
      </c>
      <c r="L520" s="5">
        <v>1000</v>
      </c>
      <c r="M520" s="5">
        <v>55</v>
      </c>
      <c r="N520" s="5">
        <v>31</v>
      </c>
      <c r="O520" s="6" t="s">
        <v>79</v>
      </c>
      <c r="P520" s="8"/>
      <c r="Q520" s="16">
        <v>7.9166666666666663E-2</v>
      </c>
      <c r="R520" s="16">
        <v>7.9166666666666663E-2</v>
      </c>
      <c r="S520" s="6">
        <v>118767</v>
      </c>
      <c r="T520" s="16">
        <v>0.27499999999999997</v>
      </c>
      <c r="U520" s="16">
        <v>0.27499999999999997</v>
      </c>
      <c r="V520" s="6">
        <v>118799</v>
      </c>
      <c r="W520" s="6">
        <v>28</v>
      </c>
      <c r="X520" s="6">
        <v>28</v>
      </c>
      <c r="Y520" s="12">
        <v>0</v>
      </c>
      <c r="Z520" s="12">
        <v>32</v>
      </c>
      <c r="AA520" s="12">
        <v>32</v>
      </c>
      <c r="AB520" s="12">
        <v>0</v>
      </c>
      <c r="AC520" s="12">
        <v>0</v>
      </c>
      <c r="AD520" s="13">
        <v>0</v>
      </c>
      <c r="AE520" s="12">
        <v>0</v>
      </c>
      <c r="AF520" s="14">
        <v>0</v>
      </c>
      <c r="AG520" s="5">
        <v>0</v>
      </c>
      <c r="AH520" s="5">
        <v>0</v>
      </c>
      <c r="AI520" s="5">
        <v>0</v>
      </c>
      <c r="AJ520" s="5">
        <v>806.45</v>
      </c>
      <c r="AK520" s="5">
        <v>0</v>
      </c>
      <c r="AL520" s="5">
        <v>806.45</v>
      </c>
      <c r="AM520" s="8"/>
      <c r="AN520" s="8"/>
    </row>
    <row r="521" spans="1:40" ht="16" thickBot="1">
      <c r="A521" s="3">
        <v>520</v>
      </c>
      <c r="B521" s="19">
        <v>45953</v>
      </c>
      <c r="C521" s="5" t="s">
        <v>40</v>
      </c>
      <c r="D521" s="5" t="s">
        <v>41</v>
      </c>
      <c r="E521" s="6" t="s">
        <v>42</v>
      </c>
      <c r="F521" s="7" t="s">
        <v>78</v>
      </c>
      <c r="G521" s="5" t="s">
        <v>44</v>
      </c>
      <c r="H521" s="5" t="s">
        <v>45</v>
      </c>
      <c r="I521" s="5">
        <v>4</v>
      </c>
      <c r="J521" s="5">
        <v>8</v>
      </c>
      <c r="K521" s="5">
        <v>25000</v>
      </c>
      <c r="L521" s="5">
        <v>1000</v>
      </c>
      <c r="M521" s="5">
        <v>55</v>
      </c>
      <c r="N521" s="5">
        <v>31</v>
      </c>
      <c r="O521" s="6" t="s">
        <v>67</v>
      </c>
      <c r="P521" s="8"/>
      <c r="Q521" s="16">
        <v>8.1944444444444445E-2</v>
      </c>
      <c r="R521" s="16">
        <v>8.1944444444444445E-2</v>
      </c>
      <c r="S521" s="6">
        <v>8079</v>
      </c>
      <c r="T521" s="16">
        <v>0.3034722222222222</v>
      </c>
      <c r="U521" s="16">
        <v>0.3034722222222222</v>
      </c>
      <c r="V521" s="6">
        <v>8105</v>
      </c>
      <c r="W521" s="6">
        <v>9</v>
      </c>
      <c r="X521" s="6">
        <v>9</v>
      </c>
      <c r="Y521" s="12">
        <v>0</v>
      </c>
      <c r="Z521" s="12">
        <v>26</v>
      </c>
      <c r="AA521" s="12">
        <v>26</v>
      </c>
      <c r="AB521" s="12">
        <v>0</v>
      </c>
      <c r="AC521" s="12">
        <v>0</v>
      </c>
      <c r="AD521" s="13">
        <v>0</v>
      </c>
      <c r="AE521" s="12">
        <v>0</v>
      </c>
      <c r="AF521" s="14">
        <v>0</v>
      </c>
      <c r="AG521" s="5">
        <v>0</v>
      </c>
      <c r="AH521" s="5">
        <v>0</v>
      </c>
      <c r="AI521" s="5">
        <v>0</v>
      </c>
      <c r="AJ521" s="5">
        <v>806.45</v>
      </c>
      <c r="AK521" s="5">
        <v>0</v>
      </c>
      <c r="AL521" s="5">
        <v>806.45</v>
      </c>
      <c r="AM521" s="8"/>
      <c r="AN521" s="8"/>
    </row>
    <row r="522" spans="1:40" ht="16" thickBot="1">
      <c r="A522" s="3">
        <v>521</v>
      </c>
      <c r="B522" s="19">
        <v>45953</v>
      </c>
      <c r="C522" s="5" t="s">
        <v>40</v>
      </c>
      <c r="D522" s="5" t="s">
        <v>41</v>
      </c>
      <c r="E522" s="6" t="s">
        <v>42</v>
      </c>
      <c r="F522" s="7" t="s">
        <v>178</v>
      </c>
      <c r="G522" s="5" t="s">
        <v>44</v>
      </c>
      <c r="H522" s="5" t="s">
        <v>45</v>
      </c>
      <c r="I522" s="5">
        <v>4</v>
      </c>
      <c r="J522" s="5">
        <v>8</v>
      </c>
      <c r="K522" s="5">
        <v>25000</v>
      </c>
      <c r="L522" s="5">
        <v>1000</v>
      </c>
      <c r="M522" s="5">
        <v>55</v>
      </c>
      <c r="N522" s="5">
        <v>31</v>
      </c>
      <c r="O522" s="6" t="s">
        <v>183</v>
      </c>
      <c r="P522" s="8"/>
      <c r="Q522" s="16">
        <v>8.7500000000000008E-2</v>
      </c>
      <c r="R522" s="16">
        <v>8.7500000000000008E-2</v>
      </c>
      <c r="S522" s="6">
        <v>45151</v>
      </c>
      <c r="T522" s="16">
        <v>0.29930555555555555</v>
      </c>
      <c r="U522" s="16">
        <v>0.29930555555555555</v>
      </c>
      <c r="V522" s="6">
        <v>45182</v>
      </c>
      <c r="W522" s="6">
        <v>31</v>
      </c>
      <c r="X522" s="6">
        <v>31</v>
      </c>
      <c r="Y522" s="12">
        <v>0</v>
      </c>
      <c r="Z522" s="12">
        <v>31</v>
      </c>
      <c r="AA522" s="12">
        <v>31</v>
      </c>
      <c r="AB522" s="12">
        <v>0</v>
      </c>
      <c r="AC522" s="12">
        <v>0</v>
      </c>
      <c r="AD522" s="13">
        <v>0</v>
      </c>
      <c r="AE522" s="12">
        <v>0</v>
      </c>
      <c r="AF522" s="14">
        <v>0</v>
      </c>
      <c r="AG522" s="5">
        <v>0</v>
      </c>
      <c r="AH522" s="5">
        <v>0</v>
      </c>
      <c r="AI522" s="5">
        <v>0</v>
      </c>
      <c r="AJ522" s="5">
        <v>806.45</v>
      </c>
      <c r="AK522" s="5">
        <v>0</v>
      </c>
      <c r="AL522" s="5">
        <v>806.45</v>
      </c>
      <c r="AM522" s="8"/>
      <c r="AN522" s="8"/>
    </row>
    <row r="523" spans="1:40" ht="16" thickBot="1">
      <c r="A523" s="3">
        <v>522</v>
      </c>
      <c r="B523" s="19">
        <v>45953</v>
      </c>
      <c r="C523" s="5" t="s">
        <v>40</v>
      </c>
      <c r="D523" s="5" t="s">
        <v>41</v>
      </c>
      <c r="E523" s="6" t="s">
        <v>42</v>
      </c>
      <c r="F523" s="7" t="s">
        <v>70</v>
      </c>
      <c r="G523" s="5" t="s">
        <v>44</v>
      </c>
      <c r="H523" s="5" t="s">
        <v>45</v>
      </c>
      <c r="I523" s="5">
        <v>4</v>
      </c>
      <c r="J523" s="5">
        <v>8</v>
      </c>
      <c r="K523" s="5">
        <v>25000</v>
      </c>
      <c r="L523" s="5">
        <v>1000</v>
      </c>
      <c r="M523" s="5">
        <v>55</v>
      </c>
      <c r="N523" s="5">
        <v>31</v>
      </c>
      <c r="O523" s="6" t="s">
        <v>135</v>
      </c>
      <c r="P523" s="8"/>
      <c r="Q523" s="16">
        <v>9.1666666666666674E-2</v>
      </c>
      <c r="R523" s="16">
        <v>9.1666666666666674E-2</v>
      </c>
      <c r="S523" s="6">
        <v>37424</v>
      </c>
      <c r="T523" s="16">
        <v>0.2951388888888889</v>
      </c>
      <c r="U523" s="16">
        <v>0.2951388888888889</v>
      </c>
      <c r="V523" s="6">
        <v>37445</v>
      </c>
      <c r="W523" s="6">
        <v>26</v>
      </c>
      <c r="X523" s="6">
        <v>26</v>
      </c>
      <c r="Y523" s="12">
        <v>0</v>
      </c>
      <c r="Z523" s="12">
        <v>21</v>
      </c>
      <c r="AA523" s="12">
        <v>21</v>
      </c>
      <c r="AB523" s="12">
        <v>0</v>
      </c>
      <c r="AC523" s="12">
        <v>0</v>
      </c>
      <c r="AD523" s="13">
        <v>0</v>
      </c>
      <c r="AE523" s="12">
        <v>0</v>
      </c>
      <c r="AF523" s="14">
        <v>0</v>
      </c>
      <c r="AG523" s="5">
        <v>0</v>
      </c>
      <c r="AH523" s="5">
        <v>0</v>
      </c>
      <c r="AI523" s="5">
        <v>0</v>
      </c>
      <c r="AJ523" s="5">
        <v>806.45</v>
      </c>
      <c r="AK523" s="5">
        <v>0</v>
      </c>
      <c r="AL523" s="5">
        <v>806.45</v>
      </c>
      <c r="AM523" s="8"/>
      <c r="AN523" s="8"/>
    </row>
    <row r="524" spans="1:40" ht="16" thickBot="1">
      <c r="A524" s="3">
        <v>523</v>
      </c>
      <c r="B524" s="19">
        <v>45953</v>
      </c>
      <c r="C524" s="5" t="s">
        <v>40</v>
      </c>
      <c r="D524" s="5" t="s">
        <v>41</v>
      </c>
      <c r="E524" s="6" t="s">
        <v>42</v>
      </c>
      <c r="F524" s="7" t="s">
        <v>89</v>
      </c>
      <c r="G524" s="10" t="s">
        <v>83</v>
      </c>
      <c r="H524" s="5" t="s">
        <v>84</v>
      </c>
      <c r="I524" s="5">
        <v>4</v>
      </c>
      <c r="J524" s="5">
        <v>10</v>
      </c>
      <c r="K524" s="6">
        <v>29000</v>
      </c>
      <c r="L524" s="5">
        <v>1000</v>
      </c>
      <c r="M524" s="5">
        <v>55</v>
      </c>
      <c r="N524" s="5">
        <v>31</v>
      </c>
      <c r="O524" s="6" t="s">
        <v>121</v>
      </c>
      <c r="P524" s="8"/>
      <c r="Q524" s="16">
        <v>9.8611111111111108E-2</v>
      </c>
      <c r="R524" s="16">
        <v>9.8611111111111108E-2</v>
      </c>
      <c r="S524" s="6">
        <v>139617</v>
      </c>
      <c r="T524" s="16">
        <v>0.31666666666666665</v>
      </c>
      <c r="U524" s="16">
        <v>0.31666666666666665</v>
      </c>
      <c r="V524" s="6">
        <v>139644</v>
      </c>
      <c r="W524" s="6">
        <v>38</v>
      </c>
      <c r="X524" s="6">
        <v>38</v>
      </c>
      <c r="Y524" s="12">
        <v>0</v>
      </c>
      <c r="Z524" s="12">
        <v>27</v>
      </c>
      <c r="AA524" s="12">
        <v>27</v>
      </c>
      <c r="AB524" s="12">
        <v>0</v>
      </c>
      <c r="AC524" s="12">
        <v>0</v>
      </c>
      <c r="AD524" s="13">
        <v>0</v>
      </c>
      <c r="AE524" s="12">
        <v>0</v>
      </c>
      <c r="AF524" s="14">
        <v>0</v>
      </c>
      <c r="AG524" s="5">
        <v>0</v>
      </c>
      <c r="AH524" s="5">
        <v>0</v>
      </c>
      <c r="AI524" s="5">
        <v>0</v>
      </c>
      <c r="AJ524" s="5">
        <v>935.48</v>
      </c>
      <c r="AK524" s="5">
        <v>0</v>
      </c>
      <c r="AL524" s="5">
        <v>935.48</v>
      </c>
      <c r="AM524" s="8"/>
      <c r="AN524" s="8"/>
    </row>
    <row r="525" spans="1:40" ht="16" thickBot="1">
      <c r="A525" s="3">
        <v>524</v>
      </c>
      <c r="B525" s="19">
        <v>45953</v>
      </c>
      <c r="C525" s="5" t="s">
        <v>40</v>
      </c>
      <c r="D525" s="5" t="s">
        <v>41</v>
      </c>
      <c r="E525" s="6" t="s">
        <v>42</v>
      </c>
      <c r="F525" s="7" t="s">
        <v>57</v>
      </c>
      <c r="G525" s="5" t="s">
        <v>44</v>
      </c>
      <c r="H525" s="5" t="s">
        <v>45</v>
      </c>
      <c r="I525" s="5">
        <v>4</v>
      </c>
      <c r="J525" s="5">
        <v>8</v>
      </c>
      <c r="K525" s="5">
        <v>25000</v>
      </c>
      <c r="L525" s="5">
        <v>1000</v>
      </c>
      <c r="M525" s="5">
        <v>55</v>
      </c>
      <c r="N525" s="5">
        <v>31</v>
      </c>
      <c r="O525" s="6" t="s">
        <v>58</v>
      </c>
      <c r="P525" s="8"/>
      <c r="Q525" s="16">
        <v>9.930555555555555E-2</v>
      </c>
      <c r="R525" s="16">
        <v>9.930555555555555E-2</v>
      </c>
      <c r="S525" s="6">
        <v>145350</v>
      </c>
      <c r="T525" s="16">
        <v>0.29722222222222222</v>
      </c>
      <c r="U525" s="16">
        <v>0.29722222222222222</v>
      </c>
      <c r="V525" s="6">
        <v>145373</v>
      </c>
      <c r="W525" s="6">
        <v>37</v>
      </c>
      <c r="X525" s="6">
        <v>37</v>
      </c>
      <c r="Y525" s="12">
        <v>0</v>
      </c>
      <c r="Z525" s="12">
        <v>23</v>
      </c>
      <c r="AA525" s="12">
        <v>23</v>
      </c>
      <c r="AB525" s="12">
        <v>0</v>
      </c>
      <c r="AC525" s="12">
        <v>0</v>
      </c>
      <c r="AD525" s="13">
        <v>0</v>
      </c>
      <c r="AE525" s="12">
        <v>0</v>
      </c>
      <c r="AF525" s="14">
        <v>0</v>
      </c>
      <c r="AG525" s="5">
        <v>0</v>
      </c>
      <c r="AH525" s="5">
        <v>0</v>
      </c>
      <c r="AI525" s="5">
        <v>0</v>
      </c>
      <c r="AJ525" s="5">
        <v>806.45</v>
      </c>
      <c r="AK525" s="5">
        <v>0</v>
      </c>
      <c r="AL525" s="5">
        <v>806.45</v>
      </c>
      <c r="AM525" s="8"/>
      <c r="AN525" s="8"/>
    </row>
    <row r="526" spans="1:40" ht="16" thickBot="1">
      <c r="A526" s="3">
        <v>525</v>
      </c>
      <c r="B526" s="19">
        <v>45953</v>
      </c>
      <c r="C526" s="5" t="s">
        <v>40</v>
      </c>
      <c r="D526" s="5" t="s">
        <v>41</v>
      </c>
      <c r="E526" s="6" t="s">
        <v>42</v>
      </c>
      <c r="F526" s="7" t="s">
        <v>62</v>
      </c>
      <c r="G526" s="5" t="s">
        <v>44</v>
      </c>
      <c r="H526" s="5" t="s">
        <v>45</v>
      </c>
      <c r="I526" s="5">
        <v>6</v>
      </c>
      <c r="J526" s="5">
        <v>8</v>
      </c>
      <c r="K526" s="5">
        <v>33000</v>
      </c>
      <c r="L526" s="5">
        <v>2000</v>
      </c>
      <c r="M526" s="5">
        <v>55</v>
      </c>
      <c r="N526" s="5">
        <v>31</v>
      </c>
      <c r="O526" s="6" t="s">
        <v>220</v>
      </c>
      <c r="P526" s="8"/>
      <c r="Q526" s="16">
        <v>0.10347222222222223</v>
      </c>
      <c r="R526" s="16">
        <v>0.10347222222222223</v>
      </c>
      <c r="S526" s="6">
        <v>48479</v>
      </c>
      <c r="T526" s="16">
        <v>0.33333333333333331</v>
      </c>
      <c r="U526" s="16">
        <v>0.33333333333333331</v>
      </c>
      <c r="V526" s="6">
        <v>48537</v>
      </c>
      <c r="W526" s="8"/>
      <c r="X526" s="8"/>
      <c r="Y526" s="12">
        <v>0</v>
      </c>
      <c r="Z526" s="12">
        <v>58</v>
      </c>
      <c r="AA526" s="12">
        <v>58</v>
      </c>
      <c r="AB526" s="12">
        <v>0</v>
      </c>
      <c r="AC526" s="12">
        <v>0</v>
      </c>
      <c r="AD526" s="13">
        <v>0</v>
      </c>
      <c r="AE526" s="12">
        <v>0</v>
      </c>
      <c r="AF526" s="14">
        <v>0</v>
      </c>
      <c r="AG526" s="5">
        <v>0</v>
      </c>
      <c r="AH526" s="5">
        <v>0</v>
      </c>
      <c r="AI526" s="5">
        <v>0</v>
      </c>
      <c r="AJ526" s="5">
        <v>1064.52</v>
      </c>
      <c r="AK526" s="5">
        <v>0</v>
      </c>
      <c r="AL526" s="5">
        <v>1064.52</v>
      </c>
      <c r="AM526" s="8"/>
      <c r="AN526" s="8"/>
    </row>
    <row r="527" spans="1:40" ht="16" thickBot="1">
      <c r="A527" s="3">
        <v>526</v>
      </c>
      <c r="B527" s="19">
        <v>45953</v>
      </c>
      <c r="C527" s="5" t="s">
        <v>40</v>
      </c>
      <c r="D527" s="5" t="s">
        <v>41</v>
      </c>
      <c r="E527" s="6" t="s">
        <v>42</v>
      </c>
      <c r="F527" s="7" t="s">
        <v>82</v>
      </c>
      <c r="G527" s="10" t="s">
        <v>83</v>
      </c>
      <c r="H527" s="5" t="s">
        <v>84</v>
      </c>
      <c r="I527" s="5">
        <v>4</v>
      </c>
      <c r="J527" s="5">
        <v>10</v>
      </c>
      <c r="K527" s="6">
        <v>29000</v>
      </c>
      <c r="L527" s="5">
        <v>1000</v>
      </c>
      <c r="M527" s="5">
        <v>55</v>
      </c>
      <c r="N527" s="5">
        <v>31</v>
      </c>
      <c r="O527" s="6" t="s">
        <v>107</v>
      </c>
      <c r="P527" s="8"/>
      <c r="Q527" s="16">
        <v>0.10555555555555556</v>
      </c>
      <c r="R527" s="16">
        <v>0.10555555555555556</v>
      </c>
      <c r="S527" s="6">
        <v>33137</v>
      </c>
      <c r="T527" s="8"/>
      <c r="U527" s="8"/>
      <c r="V527" s="6">
        <v>33146</v>
      </c>
      <c r="W527" s="6">
        <v>37</v>
      </c>
      <c r="X527" s="6">
        <v>37</v>
      </c>
      <c r="Y527" s="12">
        <v>0</v>
      </c>
      <c r="Z527" s="12">
        <v>9</v>
      </c>
      <c r="AA527" s="12">
        <v>9</v>
      </c>
      <c r="AB527" s="12">
        <v>0</v>
      </c>
      <c r="AC527" s="12">
        <v>0</v>
      </c>
      <c r="AD527" s="13">
        <v>0</v>
      </c>
      <c r="AE527" s="12">
        <v>0</v>
      </c>
      <c r="AF527" s="14">
        <v>0</v>
      </c>
      <c r="AG527" s="5">
        <v>0</v>
      </c>
      <c r="AH527" s="5">
        <v>0</v>
      </c>
      <c r="AI527" s="5">
        <v>0</v>
      </c>
      <c r="AJ527" s="5">
        <v>935.48</v>
      </c>
      <c r="AK527" s="5">
        <v>0</v>
      </c>
      <c r="AL527" s="5">
        <v>935.48</v>
      </c>
      <c r="AM527" s="8"/>
      <c r="AN527" s="8"/>
    </row>
    <row r="528" spans="1:40" ht="16" thickBot="1">
      <c r="A528" s="3">
        <v>527</v>
      </c>
      <c r="B528" s="19">
        <v>45953</v>
      </c>
      <c r="C528" s="5" t="s">
        <v>40</v>
      </c>
      <c r="D528" s="5" t="s">
        <v>41</v>
      </c>
      <c r="E528" s="6" t="s">
        <v>42</v>
      </c>
      <c r="F528" s="7" t="s">
        <v>97</v>
      </c>
      <c r="G528" s="5" t="s">
        <v>44</v>
      </c>
      <c r="H528" s="5" t="s">
        <v>45</v>
      </c>
      <c r="I528" s="5">
        <v>4</v>
      </c>
      <c r="J528" s="5">
        <v>8</v>
      </c>
      <c r="K528" s="5">
        <v>25000</v>
      </c>
      <c r="L528" s="5">
        <v>1000</v>
      </c>
      <c r="M528" s="5">
        <v>55</v>
      </c>
      <c r="N528" s="5">
        <v>31</v>
      </c>
      <c r="O528" s="6" t="s">
        <v>111</v>
      </c>
      <c r="P528" s="8"/>
      <c r="Q528" s="16">
        <v>0.1076388888888889</v>
      </c>
      <c r="R528" s="16">
        <v>0.1076388888888889</v>
      </c>
      <c r="S528" s="6">
        <v>79082</v>
      </c>
      <c r="T528" s="16">
        <v>0.31180555555555556</v>
      </c>
      <c r="U528" s="16">
        <v>0.31180555555555556</v>
      </c>
      <c r="V528" s="6">
        <v>79097</v>
      </c>
      <c r="W528" s="6">
        <v>39</v>
      </c>
      <c r="X528" s="6">
        <v>39</v>
      </c>
      <c r="Y528" s="12">
        <v>0</v>
      </c>
      <c r="Z528" s="12">
        <v>15</v>
      </c>
      <c r="AA528" s="12">
        <v>15</v>
      </c>
      <c r="AB528" s="12">
        <v>0</v>
      </c>
      <c r="AC528" s="12">
        <v>0</v>
      </c>
      <c r="AD528" s="13">
        <v>0</v>
      </c>
      <c r="AE528" s="12">
        <v>0</v>
      </c>
      <c r="AF528" s="14">
        <v>0</v>
      </c>
      <c r="AG528" s="5">
        <v>0</v>
      </c>
      <c r="AH528" s="5">
        <v>0</v>
      </c>
      <c r="AI528" s="5">
        <v>0</v>
      </c>
      <c r="AJ528" s="5">
        <v>806.45</v>
      </c>
      <c r="AK528" s="5">
        <v>0</v>
      </c>
      <c r="AL528" s="5">
        <v>806.45</v>
      </c>
      <c r="AM528" s="8"/>
      <c r="AN528" s="8"/>
    </row>
    <row r="529" spans="1:40" ht="16" thickBot="1">
      <c r="A529" s="3">
        <v>528</v>
      </c>
      <c r="B529" s="19">
        <v>45953</v>
      </c>
      <c r="C529" s="5" t="s">
        <v>40</v>
      </c>
      <c r="D529" s="5" t="s">
        <v>41</v>
      </c>
      <c r="E529" s="6" t="s">
        <v>42</v>
      </c>
      <c r="F529" s="7" t="s">
        <v>87</v>
      </c>
      <c r="G529" s="10" t="s">
        <v>83</v>
      </c>
      <c r="H529" s="5" t="s">
        <v>84</v>
      </c>
      <c r="I529" s="5">
        <v>4</v>
      </c>
      <c r="J529" s="5">
        <v>10</v>
      </c>
      <c r="K529" s="6">
        <v>29000</v>
      </c>
      <c r="L529" s="5">
        <v>1000</v>
      </c>
      <c r="M529" s="5">
        <v>55</v>
      </c>
      <c r="N529" s="5">
        <v>31</v>
      </c>
      <c r="O529" s="6" t="s">
        <v>223</v>
      </c>
      <c r="P529" s="8"/>
      <c r="Q529" s="16">
        <v>0.10972222222222222</v>
      </c>
      <c r="R529" s="16">
        <v>0.10972222222222222</v>
      </c>
      <c r="S529" s="6">
        <v>3575</v>
      </c>
      <c r="T529" s="16">
        <v>0.30833333333333335</v>
      </c>
      <c r="U529" s="16">
        <v>0.30833333333333335</v>
      </c>
      <c r="V529" s="6">
        <v>3598</v>
      </c>
      <c r="W529" s="6">
        <v>46</v>
      </c>
      <c r="X529" s="6">
        <v>46</v>
      </c>
      <c r="Y529" s="12">
        <v>0</v>
      </c>
      <c r="Z529" s="12">
        <v>23</v>
      </c>
      <c r="AA529" s="12">
        <v>23</v>
      </c>
      <c r="AB529" s="12">
        <v>0</v>
      </c>
      <c r="AC529" s="12">
        <v>0</v>
      </c>
      <c r="AD529" s="13">
        <v>0</v>
      </c>
      <c r="AE529" s="12">
        <v>0</v>
      </c>
      <c r="AF529" s="14">
        <v>0</v>
      </c>
      <c r="AG529" s="5">
        <v>0</v>
      </c>
      <c r="AH529" s="5">
        <v>0</v>
      </c>
      <c r="AI529" s="5">
        <v>0</v>
      </c>
      <c r="AJ529" s="5">
        <v>935.48</v>
      </c>
      <c r="AK529" s="5">
        <v>0</v>
      </c>
      <c r="AL529" s="5">
        <v>935.48</v>
      </c>
      <c r="AM529" s="8"/>
      <c r="AN529" s="8"/>
    </row>
    <row r="530" spans="1:40" ht="16" thickBot="1">
      <c r="A530" s="3">
        <v>529</v>
      </c>
      <c r="B530" s="19">
        <v>45953</v>
      </c>
      <c r="C530" s="5" t="s">
        <v>40</v>
      </c>
      <c r="D530" s="5" t="s">
        <v>41</v>
      </c>
      <c r="E530" s="6" t="s">
        <v>42</v>
      </c>
      <c r="F530" s="7" t="s">
        <v>59</v>
      </c>
      <c r="G530" s="5" t="s">
        <v>44</v>
      </c>
      <c r="H530" s="5" t="s">
        <v>45</v>
      </c>
      <c r="I530" s="5">
        <v>4</v>
      </c>
      <c r="J530" s="5">
        <v>8</v>
      </c>
      <c r="K530" s="5">
        <v>25000</v>
      </c>
      <c r="L530" s="5">
        <v>1000</v>
      </c>
      <c r="M530" s="5">
        <v>55</v>
      </c>
      <c r="N530" s="5">
        <v>31</v>
      </c>
      <c r="O530" s="6" t="s">
        <v>133</v>
      </c>
      <c r="P530" s="8"/>
      <c r="Q530" s="16">
        <v>0.11944444444444445</v>
      </c>
      <c r="R530" s="16">
        <v>0.11944444444444445</v>
      </c>
      <c r="S530" s="6">
        <v>159832</v>
      </c>
      <c r="T530" s="16">
        <v>0.28472222222222221</v>
      </c>
      <c r="U530" s="16">
        <v>0.28472222222222221</v>
      </c>
      <c r="V530" s="6">
        <v>159849</v>
      </c>
      <c r="W530" s="6">
        <v>40</v>
      </c>
      <c r="X530" s="6">
        <v>40</v>
      </c>
      <c r="Y530" s="12">
        <v>0</v>
      </c>
      <c r="Z530" s="12">
        <v>17</v>
      </c>
      <c r="AA530" s="12">
        <v>17</v>
      </c>
      <c r="AB530" s="12">
        <v>0</v>
      </c>
      <c r="AC530" s="12">
        <v>0</v>
      </c>
      <c r="AD530" s="13">
        <v>0</v>
      </c>
      <c r="AE530" s="12">
        <v>0</v>
      </c>
      <c r="AF530" s="14">
        <v>0</v>
      </c>
      <c r="AG530" s="5">
        <v>0</v>
      </c>
      <c r="AH530" s="5">
        <v>0</v>
      </c>
      <c r="AI530" s="5">
        <v>0</v>
      </c>
      <c r="AJ530" s="5">
        <v>806.45</v>
      </c>
      <c r="AK530" s="5">
        <v>0</v>
      </c>
      <c r="AL530" s="5">
        <v>806.45</v>
      </c>
      <c r="AM530" s="8"/>
      <c r="AN530" s="8"/>
    </row>
    <row r="531" spans="1:40" ht="16" thickBot="1">
      <c r="A531" s="3">
        <v>530</v>
      </c>
      <c r="B531" s="19">
        <v>45954</v>
      </c>
      <c r="C531" s="5" t="s">
        <v>40</v>
      </c>
      <c r="D531" s="5" t="s">
        <v>41</v>
      </c>
      <c r="E531" s="6" t="s">
        <v>42</v>
      </c>
      <c r="F531" s="7" t="s">
        <v>43</v>
      </c>
      <c r="G531" s="5" t="s">
        <v>44</v>
      </c>
      <c r="H531" s="5" t="s">
        <v>45</v>
      </c>
      <c r="I531" s="5">
        <v>4</v>
      </c>
      <c r="J531" s="5">
        <v>8</v>
      </c>
      <c r="K531" s="5">
        <v>25000</v>
      </c>
      <c r="L531" s="5">
        <v>1000</v>
      </c>
      <c r="M531" s="5">
        <v>55</v>
      </c>
      <c r="N531" s="5">
        <v>31</v>
      </c>
      <c r="O531" s="6" t="s">
        <v>46</v>
      </c>
      <c r="P531" s="8"/>
      <c r="Q531" s="16">
        <v>4.6527777777777779E-2</v>
      </c>
      <c r="R531" s="16">
        <v>4.6527777777777779E-2</v>
      </c>
      <c r="S531" s="6">
        <v>57980</v>
      </c>
      <c r="T531" s="16">
        <v>0.25694444444444448</v>
      </c>
      <c r="U531" s="16">
        <v>0.25694444444444448</v>
      </c>
      <c r="V531" s="6">
        <v>57986</v>
      </c>
      <c r="W531" s="6">
        <v>27</v>
      </c>
      <c r="X531" s="6">
        <v>27</v>
      </c>
      <c r="Y531" s="12">
        <v>0</v>
      </c>
      <c r="Z531" s="12">
        <v>6</v>
      </c>
      <c r="AA531" s="12">
        <v>6</v>
      </c>
      <c r="AB531" s="12">
        <v>0</v>
      </c>
      <c r="AC531" s="12">
        <v>0</v>
      </c>
      <c r="AD531" s="13">
        <v>0</v>
      </c>
      <c r="AE531" s="12">
        <v>0</v>
      </c>
      <c r="AF531" s="14">
        <v>0</v>
      </c>
      <c r="AG531" s="5">
        <v>0</v>
      </c>
      <c r="AH531" s="5">
        <v>0</v>
      </c>
      <c r="AI531" s="5">
        <v>0</v>
      </c>
      <c r="AJ531" s="5">
        <v>806.45</v>
      </c>
      <c r="AK531" s="5">
        <v>0</v>
      </c>
      <c r="AL531" s="5">
        <v>806.45</v>
      </c>
      <c r="AM531" s="8"/>
      <c r="AN531" s="8"/>
    </row>
    <row r="532" spans="1:40" ht="16" thickBot="1">
      <c r="A532" s="3">
        <v>531</v>
      </c>
      <c r="B532" s="19">
        <v>45954</v>
      </c>
      <c r="C532" s="5" t="s">
        <v>40</v>
      </c>
      <c r="D532" s="5" t="s">
        <v>41</v>
      </c>
      <c r="E532" s="6" t="s">
        <v>42</v>
      </c>
      <c r="F532" s="7" t="s">
        <v>117</v>
      </c>
      <c r="G532" s="10" t="s">
        <v>83</v>
      </c>
      <c r="H532" s="5" t="s">
        <v>84</v>
      </c>
      <c r="I532" s="5">
        <v>4</v>
      </c>
      <c r="J532" s="5">
        <v>10</v>
      </c>
      <c r="K532" s="6">
        <v>29000</v>
      </c>
      <c r="L532" s="5">
        <v>1000</v>
      </c>
      <c r="M532" s="5">
        <v>55</v>
      </c>
      <c r="N532" s="5">
        <v>31</v>
      </c>
      <c r="O532" s="6" t="s">
        <v>220</v>
      </c>
      <c r="P532" s="8"/>
      <c r="Q532" s="16">
        <v>4.7222222222222221E-2</v>
      </c>
      <c r="R532" s="16">
        <v>4.7222222222222221E-2</v>
      </c>
      <c r="S532" s="6">
        <v>23332</v>
      </c>
      <c r="T532" s="16">
        <v>0.3527777777777778</v>
      </c>
      <c r="U532" s="16">
        <v>0.3527777777777778</v>
      </c>
      <c r="V532" s="6">
        <v>23355</v>
      </c>
      <c r="W532" s="8"/>
      <c r="X532" s="8"/>
      <c r="Y532" s="12">
        <v>0</v>
      </c>
      <c r="Z532" s="12">
        <v>23</v>
      </c>
      <c r="AA532" s="12">
        <v>23</v>
      </c>
      <c r="AB532" s="12">
        <v>0</v>
      </c>
      <c r="AC532" s="12">
        <v>0</v>
      </c>
      <c r="AD532" s="13">
        <v>1</v>
      </c>
      <c r="AE532" s="12">
        <v>150</v>
      </c>
      <c r="AF532" s="14">
        <v>0</v>
      </c>
      <c r="AG532" s="5">
        <v>0</v>
      </c>
      <c r="AH532" s="5">
        <v>0</v>
      </c>
      <c r="AI532" s="5">
        <v>0</v>
      </c>
      <c r="AJ532" s="5">
        <v>1085.48</v>
      </c>
      <c r="AK532" s="5">
        <v>0</v>
      </c>
      <c r="AL532" s="5">
        <v>1085.48</v>
      </c>
      <c r="AM532" s="8"/>
      <c r="AN532" s="8"/>
    </row>
    <row r="533" spans="1:40" ht="16" thickBot="1">
      <c r="A533" s="3">
        <v>532</v>
      </c>
      <c r="B533" s="19">
        <v>45954</v>
      </c>
      <c r="C533" s="5" t="s">
        <v>40</v>
      </c>
      <c r="D533" s="5" t="s">
        <v>41</v>
      </c>
      <c r="E533" s="6" t="s">
        <v>42</v>
      </c>
      <c r="F533" s="7" t="s">
        <v>74</v>
      </c>
      <c r="G533" s="5" t="s">
        <v>44</v>
      </c>
      <c r="H533" s="5" t="s">
        <v>45</v>
      </c>
      <c r="I533" s="5">
        <v>4</v>
      </c>
      <c r="J533" s="5">
        <v>8</v>
      </c>
      <c r="K533" s="5">
        <v>25000</v>
      </c>
      <c r="L533" s="5">
        <v>1000</v>
      </c>
      <c r="M533" s="5">
        <v>55</v>
      </c>
      <c r="N533" s="5">
        <v>31</v>
      </c>
      <c r="O533" s="6" t="s">
        <v>61</v>
      </c>
      <c r="P533" s="8"/>
      <c r="Q533" s="16">
        <v>4.7222222222222221E-2</v>
      </c>
      <c r="R533" s="16">
        <v>4.7222222222222221E-2</v>
      </c>
      <c r="S533" s="6">
        <v>39418</v>
      </c>
      <c r="T533" s="16">
        <v>0.35000000000000003</v>
      </c>
      <c r="U533" s="16">
        <v>0.35000000000000003</v>
      </c>
      <c r="V533" s="6">
        <v>39434</v>
      </c>
      <c r="W533" s="6">
        <v>38</v>
      </c>
      <c r="X533" s="6">
        <v>38</v>
      </c>
      <c r="Y533" s="12">
        <v>0</v>
      </c>
      <c r="Z533" s="12">
        <v>16</v>
      </c>
      <c r="AA533" s="12">
        <v>16</v>
      </c>
      <c r="AB533" s="12">
        <v>0</v>
      </c>
      <c r="AC533" s="12">
        <v>0</v>
      </c>
      <c r="AD533" s="13">
        <v>1</v>
      </c>
      <c r="AE533" s="12">
        <v>150</v>
      </c>
      <c r="AF533" s="14">
        <v>0</v>
      </c>
      <c r="AG533" s="5">
        <v>0</v>
      </c>
      <c r="AH533" s="5">
        <v>0</v>
      </c>
      <c r="AI533" s="5">
        <v>0</v>
      </c>
      <c r="AJ533" s="5">
        <v>956.45</v>
      </c>
      <c r="AK533" s="5">
        <v>0</v>
      </c>
      <c r="AL533" s="5">
        <v>956.45</v>
      </c>
      <c r="AM533" s="8"/>
      <c r="AN533" s="8"/>
    </row>
    <row r="534" spans="1:40" ht="16" thickBot="1">
      <c r="A534" s="3">
        <v>533</v>
      </c>
      <c r="B534" s="19">
        <v>45954</v>
      </c>
      <c r="C534" s="5" t="s">
        <v>40</v>
      </c>
      <c r="D534" s="5" t="s">
        <v>41</v>
      </c>
      <c r="E534" s="6" t="s">
        <v>42</v>
      </c>
      <c r="F534" s="7" t="s">
        <v>80</v>
      </c>
      <c r="G534" s="5" t="s">
        <v>44</v>
      </c>
      <c r="H534" s="5" t="s">
        <v>45</v>
      </c>
      <c r="I534" s="5">
        <v>4</v>
      </c>
      <c r="J534" s="5">
        <v>8</v>
      </c>
      <c r="K534" s="5">
        <v>25000</v>
      </c>
      <c r="L534" s="5">
        <v>1000</v>
      </c>
      <c r="M534" s="5">
        <v>55</v>
      </c>
      <c r="N534" s="5">
        <v>31</v>
      </c>
      <c r="O534" s="6" t="s">
        <v>104</v>
      </c>
      <c r="P534" s="8"/>
      <c r="Q534" s="16">
        <v>4.7222222222222221E-2</v>
      </c>
      <c r="R534" s="16">
        <v>4.7222222222222221E-2</v>
      </c>
      <c r="S534" s="6">
        <v>5969</v>
      </c>
      <c r="T534" s="16">
        <v>0.35416666666666669</v>
      </c>
      <c r="U534" s="16">
        <v>0.35416666666666669</v>
      </c>
      <c r="V534" s="6">
        <v>5989</v>
      </c>
      <c r="W534" s="6">
        <v>23</v>
      </c>
      <c r="X534" s="6">
        <v>23</v>
      </c>
      <c r="Y534" s="12">
        <v>0</v>
      </c>
      <c r="Z534" s="12">
        <v>20</v>
      </c>
      <c r="AA534" s="12">
        <v>20</v>
      </c>
      <c r="AB534" s="12">
        <v>0</v>
      </c>
      <c r="AC534" s="12">
        <v>0</v>
      </c>
      <c r="AD534" s="13">
        <v>1</v>
      </c>
      <c r="AE534" s="12">
        <v>150</v>
      </c>
      <c r="AF534" s="14">
        <v>0</v>
      </c>
      <c r="AG534" s="5">
        <v>0</v>
      </c>
      <c r="AH534" s="5">
        <v>0</v>
      </c>
      <c r="AI534" s="5">
        <v>0</v>
      </c>
      <c r="AJ534" s="5">
        <v>956.45</v>
      </c>
      <c r="AK534" s="5">
        <v>0</v>
      </c>
      <c r="AL534" s="5">
        <v>956.45</v>
      </c>
      <c r="AM534" s="8"/>
      <c r="AN534" s="8"/>
    </row>
    <row r="535" spans="1:40" ht="16" thickBot="1">
      <c r="A535" s="3">
        <v>534</v>
      </c>
      <c r="B535" s="19">
        <v>45954</v>
      </c>
      <c r="C535" s="5" t="s">
        <v>40</v>
      </c>
      <c r="D535" s="5" t="s">
        <v>41</v>
      </c>
      <c r="E535" s="6" t="s">
        <v>42</v>
      </c>
      <c r="F535" s="7" t="s">
        <v>78</v>
      </c>
      <c r="G535" s="5" t="s">
        <v>44</v>
      </c>
      <c r="H535" s="5" t="s">
        <v>45</v>
      </c>
      <c r="I535" s="5">
        <v>4</v>
      </c>
      <c r="J535" s="5">
        <v>8</v>
      </c>
      <c r="K535" s="5">
        <v>25000</v>
      </c>
      <c r="L535" s="5">
        <v>1000</v>
      </c>
      <c r="M535" s="5">
        <v>55</v>
      </c>
      <c r="N535" s="5">
        <v>31</v>
      </c>
      <c r="O535" s="6" t="s">
        <v>100</v>
      </c>
      <c r="P535" s="8"/>
      <c r="Q535" s="16">
        <v>4.7916666666666663E-2</v>
      </c>
      <c r="R535" s="16">
        <v>4.7916666666666663E-2</v>
      </c>
      <c r="S535" s="6">
        <v>8177</v>
      </c>
      <c r="T535" s="16">
        <v>0.31597222222222221</v>
      </c>
      <c r="U535" s="16">
        <v>0.31597222222222221</v>
      </c>
      <c r="V535" s="6">
        <v>8209</v>
      </c>
      <c r="W535" s="6">
        <v>51</v>
      </c>
      <c r="X535" s="6">
        <v>51</v>
      </c>
      <c r="Y535" s="12">
        <v>0</v>
      </c>
      <c r="Z535" s="12">
        <v>32</v>
      </c>
      <c r="AA535" s="12">
        <v>32</v>
      </c>
      <c r="AB535" s="12">
        <v>0</v>
      </c>
      <c r="AC535" s="12">
        <v>0</v>
      </c>
      <c r="AD535" s="13">
        <v>0</v>
      </c>
      <c r="AE535" s="12">
        <v>0</v>
      </c>
      <c r="AF535" s="14">
        <v>0</v>
      </c>
      <c r="AG535" s="5">
        <v>0</v>
      </c>
      <c r="AH535" s="5">
        <v>0</v>
      </c>
      <c r="AI535" s="5">
        <v>0</v>
      </c>
      <c r="AJ535" s="5">
        <v>806.45</v>
      </c>
      <c r="AK535" s="5">
        <v>0</v>
      </c>
      <c r="AL535" s="5">
        <v>806.45</v>
      </c>
      <c r="AM535" s="8"/>
      <c r="AN535" s="8"/>
    </row>
    <row r="536" spans="1:40" ht="16" thickBot="1">
      <c r="A536" s="3">
        <v>535</v>
      </c>
      <c r="B536" s="19">
        <v>45954</v>
      </c>
      <c r="C536" s="5" t="s">
        <v>40</v>
      </c>
      <c r="D536" s="5" t="s">
        <v>41</v>
      </c>
      <c r="E536" s="6" t="s">
        <v>42</v>
      </c>
      <c r="F536" s="7" t="s">
        <v>145</v>
      </c>
      <c r="G536" s="5" t="s">
        <v>44</v>
      </c>
      <c r="H536" s="5" t="s">
        <v>45</v>
      </c>
      <c r="I536" s="5">
        <v>4</v>
      </c>
      <c r="J536" s="5">
        <v>8</v>
      </c>
      <c r="K536" s="5">
        <v>25000</v>
      </c>
      <c r="L536" s="5">
        <v>1000</v>
      </c>
      <c r="M536" s="5">
        <v>55</v>
      </c>
      <c r="N536" s="5">
        <v>31</v>
      </c>
      <c r="O536" s="6" t="s">
        <v>174</v>
      </c>
      <c r="P536" s="8"/>
      <c r="Q536" s="16">
        <v>4.8611111111111112E-2</v>
      </c>
      <c r="R536" s="16">
        <v>4.8611111111111112E-2</v>
      </c>
      <c r="S536" s="6">
        <v>39009</v>
      </c>
      <c r="T536" s="16">
        <v>0.31597222222222221</v>
      </c>
      <c r="U536" s="16">
        <v>0.31597222222222221</v>
      </c>
      <c r="V536" s="6">
        <v>39034</v>
      </c>
      <c r="W536" s="6">
        <v>46</v>
      </c>
      <c r="X536" s="6">
        <v>46</v>
      </c>
      <c r="Y536" s="12">
        <v>0</v>
      </c>
      <c r="Z536" s="12">
        <v>25</v>
      </c>
      <c r="AA536" s="12">
        <v>25</v>
      </c>
      <c r="AB536" s="12">
        <v>0</v>
      </c>
      <c r="AC536" s="12">
        <v>0</v>
      </c>
      <c r="AD536" s="13">
        <v>0</v>
      </c>
      <c r="AE536" s="12">
        <v>0</v>
      </c>
      <c r="AF536" s="14">
        <v>0</v>
      </c>
      <c r="AG536" s="5">
        <v>0</v>
      </c>
      <c r="AH536" s="5">
        <v>0</v>
      </c>
      <c r="AI536" s="5">
        <v>0</v>
      </c>
      <c r="AJ536" s="5">
        <v>806.45</v>
      </c>
      <c r="AK536" s="5">
        <v>0</v>
      </c>
      <c r="AL536" s="5">
        <v>806.45</v>
      </c>
      <c r="AM536" s="8"/>
      <c r="AN536" s="8"/>
    </row>
    <row r="537" spans="1:40" ht="16" thickBot="1">
      <c r="A537" s="3">
        <v>536</v>
      </c>
      <c r="B537" s="19">
        <v>45954</v>
      </c>
      <c r="C537" s="5" t="s">
        <v>40</v>
      </c>
      <c r="D537" s="5" t="s">
        <v>41</v>
      </c>
      <c r="E537" s="6" t="s">
        <v>42</v>
      </c>
      <c r="F537" s="7" t="s">
        <v>182</v>
      </c>
      <c r="G537" s="5" t="s">
        <v>44</v>
      </c>
      <c r="H537" s="5" t="s">
        <v>45</v>
      </c>
      <c r="I537" s="5">
        <v>4</v>
      </c>
      <c r="J537" s="5">
        <v>8</v>
      </c>
      <c r="K537" s="5">
        <v>25000</v>
      </c>
      <c r="L537" s="5">
        <v>1000</v>
      </c>
      <c r="M537" s="5">
        <v>55</v>
      </c>
      <c r="N537" s="5">
        <v>31</v>
      </c>
      <c r="O537" s="6" t="s">
        <v>102</v>
      </c>
      <c r="P537" s="8"/>
      <c r="Q537" s="16">
        <v>5.2777777777777778E-2</v>
      </c>
      <c r="R537" s="16">
        <v>5.2777777777777778E-2</v>
      </c>
      <c r="S537" s="6">
        <v>116414</v>
      </c>
      <c r="T537" s="16">
        <v>0.34375</v>
      </c>
      <c r="U537" s="16">
        <v>0.34375</v>
      </c>
      <c r="V537" s="6">
        <v>116434</v>
      </c>
      <c r="W537" s="6">
        <v>54</v>
      </c>
      <c r="X537" s="6">
        <v>54</v>
      </c>
      <c r="Y537" s="12">
        <v>0</v>
      </c>
      <c r="Z537" s="12">
        <v>20</v>
      </c>
      <c r="AA537" s="12">
        <v>20</v>
      </c>
      <c r="AB537" s="12">
        <v>0</v>
      </c>
      <c r="AC537" s="12">
        <v>0</v>
      </c>
      <c r="AD537" s="13">
        <v>1</v>
      </c>
      <c r="AE537" s="12">
        <v>150</v>
      </c>
      <c r="AF537" s="14">
        <v>0</v>
      </c>
      <c r="AG537" s="5">
        <v>0</v>
      </c>
      <c r="AH537" s="5">
        <v>0</v>
      </c>
      <c r="AI537" s="5">
        <v>0</v>
      </c>
      <c r="AJ537" s="5">
        <v>956.45</v>
      </c>
      <c r="AK537" s="5">
        <v>0</v>
      </c>
      <c r="AL537" s="5">
        <v>956.45</v>
      </c>
      <c r="AM537" s="8"/>
      <c r="AN537" s="8"/>
    </row>
    <row r="538" spans="1:40" ht="16" thickBot="1">
      <c r="A538" s="3">
        <v>537</v>
      </c>
      <c r="B538" s="19">
        <v>45954</v>
      </c>
      <c r="C538" s="5" t="s">
        <v>40</v>
      </c>
      <c r="D538" s="5" t="s">
        <v>41</v>
      </c>
      <c r="E538" s="6" t="s">
        <v>42</v>
      </c>
      <c r="F538" s="7" t="s">
        <v>72</v>
      </c>
      <c r="G538" s="5" t="s">
        <v>44</v>
      </c>
      <c r="H538" s="5" t="s">
        <v>45</v>
      </c>
      <c r="I538" s="5">
        <v>6</v>
      </c>
      <c r="J538" s="5">
        <v>8</v>
      </c>
      <c r="K538" s="5">
        <v>33000</v>
      </c>
      <c r="L538" s="5">
        <v>2000</v>
      </c>
      <c r="M538" s="5">
        <v>55</v>
      </c>
      <c r="N538" s="5">
        <v>31</v>
      </c>
      <c r="O538" s="6" t="s">
        <v>73</v>
      </c>
      <c r="P538" s="8"/>
      <c r="Q538" s="16">
        <v>5.9722222222222225E-2</v>
      </c>
      <c r="R538" s="16">
        <v>5.9722222222222225E-2</v>
      </c>
      <c r="S538" s="6">
        <v>34869</v>
      </c>
      <c r="T538" s="16">
        <v>0.28472222222222221</v>
      </c>
      <c r="U538" s="16">
        <v>0.28472222222222221</v>
      </c>
      <c r="V538" s="6">
        <v>34936</v>
      </c>
      <c r="W538" s="6">
        <v>27</v>
      </c>
      <c r="X538" s="6">
        <v>27</v>
      </c>
      <c r="Y538" s="12">
        <v>0</v>
      </c>
      <c r="Z538" s="12">
        <v>67</v>
      </c>
      <c r="AA538" s="12">
        <v>67</v>
      </c>
      <c r="AB538" s="12">
        <v>0</v>
      </c>
      <c r="AC538" s="12">
        <v>0</v>
      </c>
      <c r="AD538" s="13">
        <v>0</v>
      </c>
      <c r="AE538" s="12">
        <v>0</v>
      </c>
      <c r="AF538" s="14">
        <v>0</v>
      </c>
      <c r="AG538" s="5">
        <v>0</v>
      </c>
      <c r="AH538" s="5">
        <v>0</v>
      </c>
      <c r="AI538" s="5">
        <v>0</v>
      </c>
      <c r="AJ538" s="5">
        <v>1064.52</v>
      </c>
      <c r="AK538" s="5">
        <v>0</v>
      </c>
      <c r="AL538" s="5">
        <v>1064.52</v>
      </c>
      <c r="AM538" s="8"/>
      <c r="AN538" s="8"/>
    </row>
    <row r="539" spans="1:40" ht="16" thickBot="1">
      <c r="A539" s="3">
        <v>538</v>
      </c>
      <c r="B539" s="19">
        <v>45954</v>
      </c>
      <c r="C539" s="5" t="s">
        <v>40</v>
      </c>
      <c r="D539" s="5" t="s">
        <v>41</v>
      </c>
      <c r="E539" s="6" t="s">
        <v>42</v>
      </c>
      <c r="F539" s="7" t="s">
        <v>49</v>
      </c>
      <c r="G539" s="5" t="s">
        <v>44</v>
      </c>
      <c r="H539" s="5" t="s">
        <v>45</v>
      </c>
      <c r="I539" s="5">
        <v>6</v>
      </c>
      <c r="J539" s="5">
        <v>8</v>
      </c>
      <c r="K539" s="5">
        <v>33000</v>
      </c>
      <c r="L539" s="5">
        <v>2000</v>
      </c>
      <c r="M539" s="5">
        <v>55</v>
      </c>
      <c r="N539" s="5">
        <v>31</v>
      </c>
      <c r="O539" s="6" t="s">
        <v>224</v>
      </c>
      <c r="P539" s="8"/>
      <c r="Q539" s="16">
        <v>7.1527777777777787E-2</v>
      </c>
      <c r="R539" s="16">
        <v>7.1527777777777787E-2</v>
      </c>
      <c r="S539" s="6">
        <v>101569</v>
      </c>
      <c r="T539" s="16">
        <v>0.37291666666666662</v>
      </c>
      <c r="U539" s="16">
        <v>0.37291666666666662</v>
      </c>
      <c r="V539" s="6">
        <v>101612</v>
      </c>
      <c r="W539" s="6">
        <v>58</v>
      </c>
      <c r="X539" s="6">
        <v>58</v>
      </c>
      <c r="Y539" s="12">
        <v>0</v>
      </c>
      <c r="Z539" s="12">
        <v>43</v>
      </c>
      <c r="AA539" s="12">
        <v>43</v>
      </c>
      <c r="AB539" s="12">
        <v>0</v>
      </c>
      <c r="AC539" s="12">
        <v>0</v>
      </c>
      <c r="AD539" s="13">
        <v>0</v>
      </c>
      <c r="AE539" s="12">
        <v>0</v>
      </c>
      <c r="AF539" s="14">
        <v>0</v>
      </c>
      <c r="AG539" s="5">
        <v>0</v>
      </c>
      <c r="AH539" s="5">
        <v>0</v>
      </c>
      <c r="AI539" s="5">
        <v>0</v>
      </c>
      <c r="AJ539" s="5">
        <v>1064.52</v>
      </c>
      <c r="AK539" s="5">
        <v>0</v>
      </c>
      <c r="AL539" s="5">
        <v>1064.52</v>
      </c>
      <c r="AM539" s="8"/>
      <c r="AN539" s="8"/>
    </row>
    <row r="540" spans="1:40" ht="16" thickBot="1">
      <c r="A540" s="3">
        <v>539</v>
      </c>
      <c r="B540" s="19">
        <v>45954</v>
      </c>
      <c r="C540" s="5" t="s">
        <v>40</v>
      </c>
      <c r="D540" s="5" t="s">
        <v>41</v>
      </c>
      <c r="E540" s="6" t="s">
        <v>42</v>
      </c>
      <c r="F540" s="7" t="s">
        <v>85</v>
      </c>
      <c r="G540" s="10" t="s">
        <v>83</v>
      </c>
      <c r="H540" s="5" t="s">
        <v>84</v>
      </c>
      <c r="I540" s="5">
        <v>4</v>
      </c>
      <c r="J540" s="5">
        <v>10</v>
      </c>
      <c r="K540" s="6">
        <v>29000</v>
      </c>
      <c r="L540" s="5">
        <v>1000</v>
      </c>
      <c r="M540" s="5">
        <v>55</v>
      </c>
      <c r="N540" s="5">
        <v>31</v>
      </c>
      <c r="O540" s="6" t="s">
        <v>190</v>
      </c>
      <c r="P540" s="8"/>
      <c r="Q540" s="16">
        <v>7.2222222222222229E-2</v>
      </c>
      <c r="R540" s="16">
        <v>7.2222222222222229E-2</v>
      </c>
      <c r="S540" s="6">
        <v>39643</v>
      </c>
      <c r="T540" s="16">
        <v>0.3125</v>
      </c>
      <c r="U540" s="16">
        <v>0.3125</v>
      </c>
      <c r="V540" s="6">
        <v>39674</v>
      </c>
      <c r="W540" s="6">
        <v>63</v>
      </c>
      <c r="X540" s="6">
        <v>63</v>
      </c>
      <c r="Y540" s="12">
        <v>0</v>
      </c>
      <c r="Z540" s="12">
        <v>31</v>
      </c>
      <c r="AA540" s="12">
        <v>31</v>
      </c>
      <c r="AB540" s="12">
        <v>0</v>
      </c>
      <c r="AC540" s="12">
        <v>0</v>
      </c>
      <c r="AD540" s="13">
        <v>0</v>
      </c>
      <c r="AE540" s="12">
        <v>0</v>
      </c>
      <c r="AF540" s="14">
        <v>0</v>
      </c>
      <c r="AG540" s="5">
        <v>0</v>
      </c>
      <c r="AH540" s="5">
        <v>0</v>
      </c>
      <c r="AI540" s="5">
        <v>0</v>
      </c>
      <c r="AJ540" s="5">
        <v>935.48</v>
      </c>
      <c r="AK540" s="5">
        <v>0</v>
      </c>
      <c r="AL540" s="5">
        <v>935.48</v>
      </c>
      <c r="AM540" s="8"/>
      <c r="AN540" s="8"/>
    </row>
    <row r="541" spans="1:40" ht="16" thickBot="1">
      <c r="A541" s="3">
        <v>540</v>
      </c>
      <c r="B541" s="19">
        <v>45954</v>
      </c>
      <c r="C541" s="5" t="s">
        <v>40</v>
      </c>
      <c r="D541" s="5" t="s">
        <v>41</v>
      </c>
      <c r="E541" s="6" t="s">
        <v>42</v>
      </c>
      <c r="F541" s="7" t="s">
        <v>57</v>
      </c>
      <c r="G541" s="5" t="s">
        <v>44</v>
      </c>
      <c r="H541" s="5" t="s">
        <v>45</v>
      </c>
      <c r="I541" s="5">
        <v>4</v>
      </c>
      <c r="J541" s="5">
        <v>8</v>
      </c>
      <c r="K541" s="5">
        <v>25000</v>
      </c>
      <c r="L541" s="5">
        <v>1000</v>
      </c>
      <c r="M541" s="5">
        <v>55</v>
      </c>
      <c r="N541" s="5">
        <v>31</v>
      </c>
      <c r="O541" s="6" t="s">
        <v>58</v>
      </c>
      <c r="P541" s="8"/>
      <c r="Q541" s="16">
        <v>8.1250000000000003E-2</v>
      </c>
      <c r="R541" s="16">
        <v>8.1250000000000003E-2</v>
      </c>
      <c r="S541" s="6">
        <v>145462</v>
      </c>
      <c r="T541" s="16">
        <v>0.30763888888888891</v>
      </c>
      <c r="U541" s="16">
        <v>0.30763888888888891</v>
      </c>
      <c r="V541" s="6">
        <v>145489</v>
      </c>
      <c r="W541" s="6">
        <v>55</v>
      </c>
      <c r="X541" s="6">
        <v>55</v>
      </c>
      <c r="Y541" s="12">
        <v>0</v>
      </c>
      <c r="Z541" s="12">
        <v>27</v>
      </c>
      <c r="AA541" s="12">
        <v>27</v>
      </c>
      <c r="AB541" s="12">
        <v>0</v>
      </c>
      <c r="AC541" s="12">
        <v>0</v>
      </c>
      <c r="AD541" s="13">
        <v>0</v>
      </c>
      <c r="AE541" s="12">
        <v>0</v>
      </c>
      <c r="AF541" s="14">
        <v>0</v>
      </c>
      <c r="AG541" s="5">
        <v>0</v>
      </c>
      <c r="AH541" s="5">
        <v>0</v>
      </c>
      <c r="AI541" s="5">
        <v>0</v>
      </c>
      <c r="AJ541" s="5">
        <v>806.45</v>
      </c>
      <c r="AK541" s="5">
        <v>0</v>
      </c>
      <c r="AL541" s="5">
        <v>806.45</v>
      </c>
      <c r="AM541" s="8"/>
      <c r="AN541" s="8"/>
    </row>
    <row r="542" spans="1:40" ht="16" thickBot="1">
      <c r="A542" s="3">
        <v>541</v>
      </c>
      <c r="B542" s="19">
        <v>45954</v>
      </c>
      <c r="C542" s="5" t="s">
        <v>40</v>
      </c>
      <c r="D542" s="5" t="s">
        <v>41</v>
      </c>
      <c r="E542" s="6" t="s">
        <v>42</v>
      </c>
      <c r="F542" s="7" t="s">
        <v>185</v>
      </c>
      <c r="G542" s="5" t="s">
        <v>44</v>
      </c>
      <c r="H542" s="5" t="s">
        <v>45</v>
      </c>
      <c r="I542" s="5">
        <v>4</v>
      </c>
      <c r="J542" s="5">
        <v>8</v>
      </c>
      <c r="K542" s="5">
        <v>25000</v>
      </c>
      <c r="L542" s="5">
        <v>1000</v>
      </c>
      <c r="M542" s="5">
        <v>55</v>
      </c>
      <c r="N542" s="5">
        <v>31</v>
      </c>
      <c r="O542" s="6" t="s">
        <v>186</v>
      </c>
      <c r="P542" s="8"/>
      <c r="Q542" s="16">
        <v>8.2638888888888887E-2</v>
      </c>
      <c r="R542" s="16">
        <v>8.2638888888888887E-2</v>
      </c>
      <c r="S542" s="6">
        <v>66512</v>
      </c>
      <c r="T542" s="16">
        <v>0.34930555555555554</v>
      </c>
      <c r="U542" s="16">
        <v>0.34930555555555554</v>
      </c>
      <c r="V542" s="6">
        <v>66531</v>
      </c>
      <c r="W542" s="6">
        <v>24</v>
      </c>
      <c r="X542" s="6">
        <v>24</v>
      </c>
      <c r="Y542" s="12">
        <v>0</v>
      </c>
      <c r="Z542" s="12">
        <v>19</v>
      </c>
      <c r="AA542" s="12">
        <v>19</v>
      </c>
      <c r="AB542" s="12">
        <v>0</v>
      </c>
      <c r="AC542" s="12">
        <v>0</v>
      </c>
      <c r="AD542" s="13">
        <v>1</v>
      </c>
      <c r="AE542" s="12">
        <v>150</v>
      </c>
      <c r="AF542" s="14">
        <v>0</v>
      </c>
      <c r="AG542" s="5">
        <v>0</v>
      </c>
      <c r="AH542" s="5">
        <v>0</v>
      </c>
      <c r="AI542" s="5">
        <v>0</v>
      </c>
      <c r="AJ542" s="5">
        <v>956.45</v>
      </c>
      <c r="AK542" s="5">
        <v>0</v>
      </c>
      <c r="AL542" s="5">
        <v>956.45</v>
      </c>
      <c r="AM542" s="8"/>
      <c r="AN542" s="8"/>
    </row>
    <row r="543" spans="1:40" ht="16" thickBot="1">
      <c r="A543" s="3">
        <v>542</v>
      </c>
      <c r="B543" s="19">
        <v>45954</v>
      </c>
      <c r="C543" s="5" t="s">
        <v>40</v>
      </c>
      <c r="D543" s="5" t="s">
        <v>41</v>
      </c>
      <c r="E543" s="6" t="s">
        <v>42</v>
      </c>
      <c r="F543" s="7" t="s">
        <v>178</v>
      </c>
      <c r="G543" s="5" t="s">
        <v>44</v>
      </c>
      <c r="H543" s="5" t="s">
        <v>45</v>
      </c>
      <c r="I543" s="5">
        <v>4</v>
      </c>
      <c r="J543" s="5">
        <v>8</v>
      </c>
      <c r="K543" s="5">
        <v>25000</v>
      </c>
      <c r="L543" s="5">
        <v>1000</v>
      </c>
      <c r="M543" s="5">
        <v>55</v>
      </c>
      <c r="N543" s="5">
        <v>31</v>
      </c>
      <c r="O543" s="6" t="s">
        <v>136</v>
      </c>
      <c r="P543" s="8"/>
      <c r="Q543" s="16">
        <v>8.3333333333333329E-2</v>
      </c>
      <c r="R543" s="16">
        <v>8.3333333333333329E-2</v>
      </c>
      <c r="S543" s="6">
        <v>45263</v>
      </c>
      <c r="T543" s="16">
        <v>0.34722222222222227</v>
      </c>
      <c r="U543" s="16">
        <v>0.34722222222222227</v>
      </c>
      <c r="V543" s="6">
        <v>45290</v>
      </c>
      <c r="W543" s="6">
        <v>25</v>
      </c>
      <c r="X543" s="6">
        <v>25</v>
      </c>
      <c r="Y543" s="12">
        <v>0</v>
      </c>
      <c r="Z543" s="12">
        <v>27</v>
      </c>
      <c r="AA543" s="12">
        <v>27</v>
      </c>
      <c r="AB543" s="12">
        <v>0</v>
      </c>
      <c r="AC543" s="12">
        <v>0</v>
      </c>
      <c r="AD543" s="13">
        <v>1</v>
      </c>
      <c r="AE543" s="12">
        <v>150</v>
      </c>
      <c r="AF543" s="14">
        <v>0</v>
      </c>
      <c r="AG543" s="5">
        <v>0</v>
      </c>
      <c r="AH543" s="5">
        <v>0</v>
      </c>
      <c r="AI543" s="5">
        <v>0</v>
      </c>
      <c r="AJ543" s="5">
        <v>956.45</v>
      </c>
      <c r="AK543" s="5">
        <v>0</v>
      </c>
      <c r="AL543" s="5">
        <v>956.45</v>
      </c>
      <c r="AM543" s="8"/>
      <c r="AN543" s="8"/>
    </row>
    <row r="544" spans="1:40" ht="16" thickBot="1">
      <c r="A544" s="3">
        <v>543</v>
      </c>
      <c r="B544" s="19">
        <v>45954</v>
      </c>
      <c r="C544" s="5" t="s">
        <v>40</v>
      </c>
      <c r="D544" s="5" t="s">
        <v>41</v>
      </c>
      <c r="E544" s="6" t="s">
        <v>42</v>
      </c>
      <c r="F544" s="7" t="s">
        <v>97</v>
      </c>
      <c r="G544" s="5" t="s">
        <v>44</v>
      </c>
      <c r="H544" s="5" t="s">
        <v>45</v>
      </c>
      <c r="I544" s="5">
        <v>4</v>
      </c>
      <c r="J544" s="5">
        <v>8</v>
      </c>
      <c r="K544" s="5">
        <v>25000</v>
      </c>
      <c r="L544" s="5">
        <v>1000</v>
      </c>
      <c r="M544" s="5">
        <v>55</v>
      </c>
      <c r="N544" s="5">
        <v>31</v>
      </c>
      <c r="O544" s="6" t="s">
        <v>109</v>
      </c>
      <c r="P544" s="8"/>
      <c r="Q544" s="16">
        <v>8.819444444444445E-2</v>
      </c>
      <c r="R544" s="16">
        <v>8.819444444444445E-2</v>
      </c>
      <c r="S544" s="6">
        <v>79181</v>
      </c>
      <c r="T544" s="16">
        <v>0.32361111111111113</v>
      </c>
      <c r="U544" s="16">
        <v>0.32361111111111113</v>
      </c>
      <c r="V544" s="6">
        <v>79209</v>
      </c>
      <c r="W544" s="6">
        <v>42</v>
      </c>
      <c r="X544" s="6">
        <v>42</v>
      </c>
      <c r="Y544" s="12">
        <v>0</v>
      </c>
      <c r="Z544" s="12">
        <v>28</v>
      </c>
      <c r="AA544" s="12">
        <v>28</v>
      </c>
      <c r="AB544" s="12">
        <v>0</v>
      </c>
      <c r="AC544" s="12">
        <v>0</v>
      </c>
      <c r="AD544" s="13">
        <v>0</v>
      </c>
      <c r="AE544" s="12">
        <v>0</v>
      </c>
      <c r="AF544" s="14">
        <v>0</v>
      </c>
      <c r="AG544" s="5">
        <v>0</v>
      </c>
      <c r="AH544" s="5">
        <v>0</v>
      </c>
      <c r="AI544" s="5">
        <v>0</v>
      </c>
      <c r="AJ544" s="5">
        <v>806.45</v>
      </c>
      <c r="AK544" s="5">
        <v>0</v>
      </c>
      <c r="AL544" s="5">
        <v>806.45</v>
      </c>
      <c r="AM544" s="8"/>
      <c r="AN544" s="8"/>
    </row>
    <row r="545" spans="1:40" ht="16" thickBot="1">
      <c r="A545" s="3">
        <v>544</v>
      </c>
      <c r="B545" s="19">
        <v>45954</v>
      </c>
      <c r="C545" s="5" t="s">
        <v>40</v>
      </c>
      <c r="D545" s="5" t="s">
        <v>41</v>
      </c>
      <c r="E545" s="6" t="s">
        <v>42</v>
      </c>
      <c r="F545" s="7" t="s">
        <v>55</v>
      </c>
      <c r="G545" s="5" t="s">
        <v>44</v>
      </c>
      <c r="H545" s="5" t="s">
        <v>45</v>
      </c>
      <c r="I545" s="5">
        <v>4</v>
      </c>
      <c r="J545" s="5">
        <v>8</v>
      </c>
      <c r="K545" s="5">
        <v>25000</v>
      </c>
      <c r="L545" s="5">
        <v>1000</v>
      </c>
      <c r="M545" s="5">
        <v>55</v>
      </c>
      <c r="N545" s="5">
        <v>31</v>
      </c>
      <c r="O545" s="6" t="s">
        <v>56</v>
      </c>
      <c r="P545" s="8"/>
      <c r="Q545" s="16">
        <v>8.8888888888888892E-2</v>
      </c>
      <c r="R545" s="16">
        <v>8.8888888888888892E-2</v>
      </c>
      <c r="S545" s="6">
        <v>145507</v>
      </c>
      <c r="T545" s="16">
        <v>0.28472222222222221</v>
      </c>
      <c r="U545" s="16">
        <v>0.28472222222222221</v>
      </c>
      <c r="V545" s="6">
        <v>145528</v>
      </c>
      <c r="W545" s="6">
        <v>20</v>
      </c>
      <c r="X545" s="6">
        <v>20</v>
      </c>
      <c r="Y545" s="12">
        <v>0</v>
      </c>
      <c r="Z545" s="12">
        <v>21</v>
      </c>
      <c r="AA545" s="12">
        <v>21</v>
      </c>
      <c r="AB545" s="12">
        <v>0</v>
      </c>
      <c r="AC545" s="12">
        <v>0</v>
      </c>
      <c r="AD545" s="13">
        <v>0</v>
      </c>
      <c r="AE545" s="12">
        <v>0</v>
      </c>
      <c r="AF545" s="14">
        <v>0</v>
      </c>
      <c r="AG545" s="5">
        <v>0</v>
      </c>
      <c r="AH545" s="5">
        <v>0</v>
      </c>
      <c r="AI545" s="5">
        <v>0</v>
      </c>
      <c r="AJ545" s="5">
        <v>806.45</v>
      </c>
      <c r="AK545" s="5">
        <v>0</v>
      </c>
      <c r="AL545" s="5">
        <v>806.45</v>
      </c>
      <c r="AM545" s="8"/>
      <c r="AN545" s="8"/>
    </row>
    <row r="546" spans="1:40" ht="16" thickBot="1">
      <c r="A546" s="3">
        <v>545</v>
      </c>
      <c r="B546" s="19">
        <v>45954</v>
      </c>
      <c r="C546" s="5" t="s">
        <v>40</v>
      </c>
      <c r="D546" s="5" t="s">
        <v>41</v>
      </c>
      <c r="E546" s="6" t="s">
        <v>42</v>
      </c>
      <c r="F546" s="7" t="s">
        <v>89</v>
      </c>
      <c r="G546" s="10" t="s">
        <v>83</v>
      </c>
      <c r="H546" s="5" t="s">
        <v>84</v>
      </c>
      <c r="I546" s="5">
        <v>4</v>
      </c>
      <c r="J546" s="5">
        <v>10</v>
      </c>
      <c r="K546" s="6">
        <v>29000</v>
      </c>
      <c r="L546" s="5">
        <v>1000</v>
      </c>
      <c r="M546" s="5">
        <v>55</v>
      </c>
      <c r="N546" s="5">
        <v>31</v>
      </c>
      <c r="O546" s="6" t="s">
        <v>162</v>
      </c>
      <c r="P546" s="8"/>
      <c r="Q546" s="16">
        <v>9.0277777777777776E-2</v>
      </c>
      <c r="R546" s="16">
        <v>9.0277777777777776E-2</v>
      </c>
      <c r="S546" s="6">
        <v>139671</v>
      </c>
      <c r="T546" s="8"/>
      <c r="U546" s="8"/>
      <c r="V546" s="6">
        <v>139671</v>
      </c>
      <c r="W546" s="6">
        <v>36</v>
      </c>
      <c r="X546" s="6">
        <v>36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3">
        <v>0</v>
      </c>
      <c r="AE546" s="12">
        <v>0</v>
      </c>
      <c r="AF546" s="14">
        <v>0</v>
      </c>
      <c r="AG546" s="5">
        <v>0</v>
      </c>
      <c r="AH546" s="5">
        <v>0</v>
      </c>
      <c r="AI546" s="5">
        <v>0</v>
      </c>
      <c r="AJ546" s="5">
        <v>935.48</v>
      </c>
      <c r="AK546" s="5">
        <v>0</v>
      </c>
      <c r="AL546" s="5">
        <v>935.48</v>
      </c>
      <c r="AM546" s="8"/>
      <c r="AN546" s="8"/>
    </row>
    <row r="547" spans="1:40" ht="16" thickBot="1">
      <c r="A547" s="3">
        <v>546</v>
      </c>
      <c r="B547" s="19">
        <v>45954</v>
      </c>
      <c r="C547" s="5" t="s">
        <v>40</v>
      </c>
      <c r="D547" s="5" t="s">
        <v>41</v>
      </c>
      <c r="E547" s="6" t="s">
        <v>42</v>
      </c>
      <c r="F547" s="7" t="s">
        <v>70</v>
      </c>
      <c r="G547" s="5" t="s">
        <v>44</v>
      </c>
      <c r="H547" s="5" t="s">
        <v>45</v>
      </c>
      <c r="I547" s="5">
        <v>4</v>
      </c>
      <c r="J547" s="5">
        <v>8</v>
      </c>
      <c r="K547" s="5">
        <v>25000</v>
      </c>
      <c r="L547" s="5">
        <v>1000</v>
      </c>
      <c r="M547" s="5">
        <v>55</v>
      </c>
      <c r="N547" s="5">
        <v>31</v>
      </c>
      <c r="O547" s="6" t="s">
        <v>113</v>
      </c>
      <c r="P547" s="8"/>
      <c r="Q547" s="16">
        <v>9.2361111111111116E-2</v>
      </c>
      <c r="R547" s="16">
        <v>9.2361111111111116E-2</v>
      </c>
      <c r="S547" s="6">
        <v>37498</v>
      </c>
      <c r="T547" s="16">
        <v>0.29236111111111113</v>
      </c>
      <c r="U547" s="16">
        <v>0.29236111111111113</v>
      </c>
      <c r="V547" s="6">
        <v>37540</v>
      </c>
      <c r="W547" s="6">
        <v>19</v>
      </c>
      <c r="X547" s="6">
        <v>19</v>
      </c>
      <c r="Y547" s="12">
        <v>0</v>
      </c>
      <c r="Z547" s="12">
        <v>42</v>
      </c>
      <c r="AA547" s="12">
        <v>42</v>
      </c>
      <c r="AB547" s="12">
        <v>0</v>
      </c>
      <c r="AC547" s="12">
        <v>0</v>
      </c>
      <c r="AD547" s="13">
        <v>0</v>
      </c>
      <c r="AE547" s="12">
        <v>0</v>
      </c>
      <c r="AF547" s="14">
        <v>0</v>
      </c>
      <c r="AG547" s="5">
        <v>0</v>
      </c>
      <c r="AH547" s="5">
        <v>0</v>
      </c>
      <c r="AI547" s="5">
        <v>0</v>
      </c>
      <c r="AJ547" s="5">
        <v>806.45</v>
      </c>
      <c r="AK547" s="5">
        <v>0</v>
      </c>
      <c r="AL547" s="5">
        <v>806.45</v>
      </c>
      <c r="AM547" s="8"/>
      <c r="AN547" s="8"/>
    </row>
    <row r="548" spans="1:40" ht="16" thickBot="1">
      <c r="A548" s="3">
        <v>547</v>
      </c>
      <c r="B548" s="19">
        <v>45954</v>
      </c>
      <c r="C548" s="5" t="s">
        <v>40</v>
      </c>
      <c r="D548" s="5" t="s">
        <v>41</v>
      </c>
      <c r="E548" s="6" t="s">
        <v>42</v>
      </c>
      <c r="F548" s="7" t="s">
        <v>62</v>
      </c>
      <c r="G548" s="5" t="s">
        <v>44</v>
      </c>
      <c r="H548" s="5" t="s">
        <v>45</v>
      </c>
      <c r="I548" s="5">
        <v>6</v>
      </c>
      <c r="J548" s="5">
        <v>8</v>
      </c>
      <c r="K548" s="5">
        <v>33000</v>
      </c>
      <c r="L548" s="5">
        <v>2000</v>
      </c>
      <c r="M548" s="5">
        <v>55</v>
      </c>
      <c r="N548" s="5">
        <v>31</v>
      </c>
      <c r="O548" s="6" t="s">
        <v>63</v>
      </c>
      <c r="P548" s="8"/>
      <c r="Q548" s="16">
        <v>9.6527777777777768E-2</v>
      </c>
      <c r="R548" s="16">
        <v>9.6527777777777768E-2</v>
      </c>
      <c r="S548" s="6">
        <v>48614</v>
      </c>
      <c r="T548" s="16">
        <v>0.34930555555555554</v>
      </c>
      <c r="U548" s="16">
        <v>0.34930555555555554</v>
      </c>
      <c r="V548" s="6">
        <v>48674</v>
      </c>
      <c r="W548" s="6">
        <v>33</v>
      </c>
      <c r="X548" s="6">
        <v>33</v>
      </c>
      <c r="Y548" s="12">
        <v>0</v>
      </c>
      <c r="Z548" s="12">
        <v>60</v>
      </c>
      <c r="AA548" s="12">
        <v>60</v>
      </c>
      <c r="AB548" s="12">
        <v>0</v>
      </c>
      <c r="AC548" s="12">
        <v>0</v>
      </c>
      <c r="AD548" s="13">
        <v>0</v>
      </c>
      <c r="AE548" s="12">
        <v>0</v>
      </c>
      <c r="AF548" s="14">
        <v>0</v>
      </c>
      <c r="AG548" s="5">
        <v>0</v>
      </c>
      <c r="AH548" s="5">
        <v>0</v>
      </c>
      <c r="AI548" s="5">
        <v>0</v>
      </c>
      <c r="AJ548" s="5">
        <v>1064.52</v>
      </c>
      <c r="AK548" s="5">
        <v>0</v>
      </c>
      <c r="AL548" s="5">
        <v>1064.52</v>
      </c>
      <c r="AM548" s="8"/>
      <c r="AN548" s="8"/>
    </row>
    <row r="549" spans="1:40" ht="16" thickBot="1">
      <c r="A549" s="3">
        <v>548</v>
      </c>
      <c r="B549" s="19">
        <v>45954</v>
      </c>
      <c r="C549" s="5" t="s">
        <v>40</v>
      </c>
      <c r="D549" s="5" t="s">
        <v>41</v>
      </c>
      <c r="E549" s="6" t="s">
        <v>42</v>
      </c>
      <c r="F549" s="7" t="s">
        <v>87</v>
      </c>
      <c r="G549" s="10" t="s">
        <v>83</v>
      </c>
      <c r="H549" s="5" t="s">
        <v>84</v>
      </c>
      <c r="I549" s="5">
        <v>4</v>
      </c>
      <c r="J549" s="5">
        <v>10</v>
      </c>
      <c r="K549" s="6">
        <v>29000</v>
      </c>
      <c r="L549" s="5">
        <v>1000</v>
      </c>
      <c r="M549" s="5">
        <v>55</v>
      </c>
      <c r="N549" s="5">
        <v>31</v>
      </c>
      <c r="O549" s="6" t="s">
        <v>223</v>
      </c>
      <c r="P549" s="8"/>
      <c r="Q549" s="16">
        <v>0.10555555555555556</v>
      </c>
      <c r="R549" s="16">
        <v>0.10555555555555556</v>
      </c>
      <c r="S549" s="6">
        <v>3646</v>
      </c>
      <c r="T549" s="16">
        <v>0.3354166666666667</v>
      </c>
      <c r="U549" s="16">
        <v>0.3354166666666667</v>
      </c>
      <c r="V549" s="6">
        <v>3676</v>
      </c>
      <c r="W549" s="6">
        <v>44</v>
      </c>
      <c r="X549" s="6">
        <v>44</v>
      </c>
      <c r="Y549" s="12">
        <v>0</v>
      </c>
      <c r="Z549" s="12">
        <v>30</v>
      </c>
      <c r="AA549" s="12">
        <v>30</v>
      </c>
      <c r="AB549" s="12">
        <v>0</v>
      </c>
      <c r="AC549" s="12">
        <v>0</v>
      </c>
      <c r="AD549" s="13">
        <v>1</v>
      </c>
      <c r="AE549" s="12">
        <v>150</v>
      </c>
      <c r="AF549" s="14">
        <v>0</v>
      </c>
      <c r="AG549" s="5">
        <v>0</v>
      </c>
      <c r="AH549" s="5">
        <v>0</v>
      </c>
      <c r="AI549" s="5">
        <v>0</v>
      </c>
      <c r="AJ549" s="5">
        <v>1085.48</v>
      </c>
      <c r="AK549" s="5">
        <v>0</v>
      </c>
      <c r="AL549" s="5">
        <v>1085.48</v>
      </c>
      <c r="AM549" s="8"/>
      <c r="AN549" s="8"/>
    </row>
    <row r="550" spans="1:40" ht="16" thickBot="1">
      <c r="A550" s="3">
        <v>549</v>
      </c>
      <c r="B550" s="19">
        <v>45954</v>
      </c>
      <c r="C550" s="5" t="s">
        <v>40</v>
      </c>
      <c r="D550" s="5" t="s">
        <v>41</v>
      </c>
      <c r="E550" s="6" t="s">
        <v>42</v>
      </c>
      <c r="F550" s="7" t="s">
        <v>105</v>
      </c>
      <c r="G550" s="5" t="s">
        <v>44</v>
      </c>
      <c r="H550" s="5" t="s">
        <v>45</v>
      </c>
      <c r="I550" s="5">
        <v>4</v>
      </c>
      <c r="J550" s="5">
        <v>8</v>
      </c>
      <c r="K550" s="5">
        <v>25000</v>
      </c>
      <c r="L550" s="5">
        <v>1000</v>
      </c>
      <c r="M550" s="5">
        <v>55</v>
      </c>
      <c r="N550" s="5">
        <v>31</v>
      </c>
      <c r="O550" s="6" t="s">
        <v>138</v>
      </c>
      <c r="P550" s="8"/>
      <c r="Q550" s="16">
        <v>0.10972222222222222</v>
      </c>
      <c r="R550" s="16">
        <v>0.10972222222222222</v>
      </c>
      <c r="S550" s="6">
        <v>41976</v>
      </c>
      <c r="T550" s="16">
        <v>0.34027777777777773</v>
      </c>
      <c r="U550" s="16">
        <v>0.34027777777777773</v>
      </c>
      <c r="V550" s="6">
        <v>42004</v>
      </c>
      <c r="W550" s="6">
        <v>30</v>
      </c>
      <c r="X550" s="6">
        <v>30</v>
      </c>
      <c r="Y550" s="12">
        <v>0</v>
      </c>
      <c r="Z550" s="12">
        <v>28</v>
      </c>
      <c r="AA550" s="12">
        <v>28</v>
      </c>
      <c r="AB550" s="12">
        <v>0</v>
      </c>
      <c r="AC550" s="12">
        <v>0</v>
      </c>
      <c r="AD550" s="13">
        <v>1</v>
      </c>
      <c r="AE550" s="12">
        <v>150</v>
      </c>
      <c r="AF550" s="14">
        <v>0</v>
      </c>
      <c r="AG550" s="5">
        <v>0</v>
      </c>
      <c r="AH550" s="5">
        <v>0</v>
      </c>
      <c r="AI550" s="5">
        <v>0</v>
      </c>
      <c r="AJ550" s="5">
        <v>956.45</v>
      </c>
      <c r="AK550" s="5">
        <v>0</v>
      </c>
      <c r="AL550" s="5">
        <v>956.45</v>
      </c>
      <c r="AM550" s="8"/>
      <c r="AN550" s="8"/>
    </row>
    <row r="551" spans="1:40" ht="16" thickBot="1">
      <c r="A551" s="3">
        <v>550</v>
      </c>
      <c r="B551" s="19">
        <v>45954</v>
      </c>
      <c r="C551" s="5" t="s">
        <v>40</v>
      </c>
      <c r="D551" s="5" t="s">
        <v>41</v>
      </c>
      <c r="E551" s="6" t="s">
        <v>42</v>
      </c>
      <c r="F551" s="7" t="s">
        <v>101</v>
      </c>
      <c r="G551" s="5" t="s">
        <v>44</v>
      </c>
      <c r="H551" s="5" t="s">
        <v>45</v>
      </c>
      <c r="I551" s="5">
        <v>4</v>
      </c>
      <c r="J551" s="5">
        <v>8</v>
      </c>
      <c r="K551" s="5">
        <v>25000</v>
      </c>
      <c r="L551" s="5">
        <v>1000</v>
      </c>
      <c r="M551" s="5">
        <v>55</v>
      </c>
      <c r="N551" s="5">
        <v>31</v>
      </c>
      <c r="O551" s="6" t="s">
        <v>79</v>
      </c>
      <c r="P551" s="8"/>
      <c r="Q551" s="16">
        <v>0.10972222222222222</v>
      </c>
      <c r="R551" s="16">
        <v>0.10972222222222222</v>
      </c>
      <c r="S551" s="6">
        <v>118893</v>
      </c>
      <c r="T551" s="16">
        <v>0.34097222222222223</v>
      </c>
      <c r="U551" s="16">
        <v>0.34097222222222223</v>
      </c>
      <c r="V551" s="6">
        <v>118921</v>
      </c>
      <c r="W551" s="6">
        <v>31</v>
      </c>
      <c r="X551" s="6">
        <v>31</v>
      </c>
      <c r="Y551" s="12">
        <v>0</v>
      </c>
      <c r="Z551" s="12">
        <v>28</v>
      </c>
      <c r="AA551" s="12">
        <v>28</v>
      </c>
      <c r="AB551" s="12">
        <v>0</v>
      </c>
      <c r="AC551" s="12">
        <v>0</v>
      </c>
      <c r="AD551" s="13">
        <v>1</v>
      </c>
      <c r="AE551" s="12">
        <v>150</v>
      </c>
      <c r="AF551" s="14">
        <v>0</v>
      </c>
      <c r="AG551" s="5">
        <v>0</v>
      </c>
      <c r="AH551" s="5">
        <v>0</v>
      </c>
      <c r="AI551" s="5">
        <v>0</v>
      </c>
      <c r="AJ551" s="5">
        <v>956.45</v>
      </c>
      <c r="AK551" s="5">
        <v>0</v>
      </c>
      <c r="AL551" s="5">
        <v>956.45</v>
      </c>
      <c r="AM551" s="8"/>
      <c r="AN551" s="8"/>
    </row>
    <row r="552" spans="1:40" ht="16" thickBot="1">
      <c r="A552" s="3">
        <v>551</v>
      </c>
      <c r="B552" s="19">
        <v>45954</v>
      </c>
      <c r="C552" s="5" t="s">
        <v>40</v>
      </c>
      <c r="D552" s="5" t="s">
        <v>41</v>
      </c>
      <c r="E552" s="6" t="s">
        <v>42</v>
      </c>
      <c r="F552" s="7" t="s">
        <v>64</v>
      </c>
      <c r="G552" s="5" t="s">
        <v>44</v>
      </c>
      <c r="H552" s="5" t="s">
        <v>45</v>
      </c>
      <c r="I552" s="5">
        <v>4</v>
      </c>
      <c r="J552" s="5">
        <v>8</v>
      </c>
      <c r="K552" s="5">
        <v>25000</v>
      </c>
      <c r="L552" s="5">
        <v>1000</v>
      </c>
      <c r="M552" s="5">
        <v>55</v>
      </c>
      <c r="N552" s="5">
        <v>31</v>
      </c>
      <c r="O552" s="6" t="s">
        <v>220</v>
      </c>
      <c r="P552" s="8"/>
      <c r="Q552" s="16">
        <v>0.11944444444444445</v>
      </c>
      <c r="R552" s="16">
        <v>0.11944444444444445</v>
      </c>
      <c r="S552" s="6">
        <v>76216</v>
      </c>
      <c r="T552" s="16">
        <v>0.3430555555555555</v>
      </c>
      <c r="U552" s="16">
        <v>0.3430555555555555</v>
      </c>
      <c r="V552" s="6">
        <v>76230</v>
      </c>
      <c r="W552" s="8"/>
      <c r="X552" s="8"/>
      <c r="Y552" s="12">
        <v>0</v>
      </c>
      <c r="Z552" s="12">
        <v>14</v>
      </c>
      <c r="AA552" s="12">
        <v>14</v>
      </c>
      <c r="AB552" s="12">
        <v>0</v>
      </c>
      <c r="AC552" s="12">
        <v>0</v>
      </c>
      <c r="AD552" s="13">
        <v>1</v>
      </c>
      <c r="AE552" s="12">
        <v>150</v>
      </c>
      <c r="AF552" s="14">
        <v>0</v>
      </c>
      <c r="AG552" s="5">
        <v>0</v>
      </c>
      <c r="AH552" s="5">
        <v>0</v>
      </c>
      <c r="AI552" s="5">
        <v>0</v>
      </c>
      <c r="AJ552" s="5">
        <v>956.45</v>
      </c>
      <c r="AK552" s="5">
        <v>0</v>
      </c>
      <c r="AL552" s="5">
        <v>956.45</v>
      </c>
      <c r="AM552" s="8"/>
      <c r="AN552" s="8"/>
    </row>
    <row r="553" spans="1:40" ht="16" thickBot="1">
      <c r="A553" s="3">
        <v>552</v>
      </c>
      <c r="B553" s="19">
        <v>45954</v>
      </c>
      <c r="C553" s="5" t="s">
        <v>40</v>
      </c>
      <c r="D553" s="5" t="s">
        <v>41</v>
      </c>
      <c r="E553" s="6" t="s">
        <v>42</v>
      </c>
      <c r="F553" s="7" t="s">
        <v>82</v>
      </c>
      <c r="G553" s="10" t="s">
        <v>83</v>
      </c>
      <c r="H553" s="5" t="s">
        <v>84</v>
      </c>
      <c r="I553" s="5">
        <v>4</v>
      </c>
      <c r="J553" s="5">
        <v>10</v>
      </c>
      <c r="K553" s="6">
        <v>29000</v>
      </c>
      <c r="L553" s="5">
        <v>1000</v>
      </c>
      <c r="M553" s="5">
        <v>55</v>
      </c>
      <c r="N553" s="5">
        <v>31</v>
      </c>
      <c r="O553" s="6" t="s">
        <v>220</v>
      </c>
      <c r="P553" s="8"/>
      <c r="Q553" s="16">
        <v>0.12569444444444444</v>
      </c>
      <c r="R553" s="16">
        <v>0.12569444444444444</v>
      </c>
      <c r="S553" s="6">
        <v>33154</v>
      </c>
      <c r="T553" s="16">
        <v>0.35833333333333334</v>
      </c>
      <c r="U553" s="16">
        <v>0.35833333333333334</v>
      </c>
      <c r="V553" s="6">
        <v>33163</v>
      </c>
      <c r="W553" s="8"/>
      <c r="X553" s="8"/>
      <c r="Y553" s="12">
        <v>0</v>
      </c>
      <c r="Z553" s="12">
        <v>9</v>
      </c>
      <c r="AA553" s="12">
        <v>9</v>
      </c>
      <c r="AB553" s="12">
        <v>0</v>
      </c>
      <c r="AC553" s="12">
        <v>0</v>
      </c>
      <c r="AD553" s="13">
        <v>1</v>
      </c>
      <c r="AE553" s="12">
        <v>150</v>
      </c>
      <c r="AF553" s="14">
        <v>0</v>
      </c>
      <c r="AG553" s="5">
        <v>0</v>
      </c>
      <c r="AH553" s="5">
        <v>0</v>
      </c>
      <c r="AI553" s="5">
        <v>0</v>
      </c>
      <c r="AJ553" s="5">
        <v>1085.48</v>
      </c>
      <c r="AK553" s="5">
        <v>0</v>
      </c>
      <c r="AL553" s="5">
        <v>1085.48</v>
      </c>
      <c r="AM553" s="8"/>
      <c r="AN553" s="8"/>
    </row>
    <row r="554" spans="1:40" ht="16" thickBot="1">
      <c r="A554" s="3">
        <v>553</v>
      </c>
      <c r="B554" s="19">
        <v>45954</v>
      </c>
      <c r="C554" s="5" t="s">
        <v>40</v>
      </c>
      <c r="D554" s="5" t="s">
        <v>41</v>
      </c>
      <c r="E554" s="6" t="s">
        <v>42</v>
      </c>
      <c r="F554" s="7" t="s">
        <v>59</v>
      </c>
      <c r="G554" s="5" t="s">
        <v>44</v>
      </c>
      <c r="H554" s="5" t="s">
        <v>45</v>
      </c>
      <c r="I554" s="5">
        <v>4</v>
      </c>
      <c r="J554" s="5">
        <v>8</v>
      </c>
      <c r="K554" s="5">
        <v>25000</v>
      </c>
      <c r="L554" s="5">
        <v>1000</v>
      </c>
      <c r="M554" s="5">
        <v>55</v>
      </c>
      <c r="N554" s="5">
        <v>31</v>
      </c>
      <c r="O554" s="6" t="s">
        <v>220</v>
      </c>
      <c r="P554" s="8"/>
      <c r="Q554" s="16">
        <v>0.1277777777777778</v>
      </c>
      <c r="R554" s="16">
        <v>0.1277777777777778</v>
      </c>
      <c r="S554" s="6">
        <v>159880</v>
      </c>
      <c r="T554" s="16">
        <v>0.35972222222222222</v>
      </c>
      <c r="U554" s="16">
        <v>0.35972222222222222</v>
      </c>
      <c r="V554" s="6">
        <v>159927</v>
      </c>
      <c r="W554" s="8"/>
      <c r="X554" s="8"/>
      <c r="Y554" s="12">
        <v>0</v>
      </c>
      <c r="Z554" s="12">
        <v>47</v>
      </c>
      <c r="AA554" s="12">
        <v>47</v>
      </c>
      <c r="AB554" s="12">
        <v>0</v>
      </c>
      <c r="AC554" s="12">
        <v>0</v>
      </c>
      <c r="AD554" s="13">
        <v>1</v>
      </c>
      <c r="AE554" s="12">
        <v>150</v>
      </c>
      <c r="AF554" s="14">
        <v>0</v>
      </c>
      <c r="AG554" s="5">
        <v>0</v>
      </c>
      <c r="AH554" s="5">
        <v>0</v>
      </c>
      <c r="AI554" s="5">
        <v>0</v>
      </c>
      <c r="AJ554" s="5">
        <v>956.45</v>
      </c>
      <c r="AK554" s="5">
        <v>0</v>
      </c>
      <c r="AL554" s="5">
        <v>956.45</v>
      </c>
      <c r="AM554" s="8"/>
      <c r="AN554" s="8"/>
    </row>
    <row r="555" spans="1:40" ht="16" thickBot="1">
      <c r="A555" s="3">
        <v>554</v>
      </c>
      <c r="B555" s="26">
        <v>45954</v>
      </c>
      <c r="C555" s="27" t="s">
        <v>40</v>
      </c>
      <c r="D555" s="27" t="s">
        <v>41</v>
      </c>
      <c r="E555" s="28" t="s">
        <v>42</v>
      </c>
      <c r="F555" s="29" t="s">
        <v>225</v>
      </c>
      <c r="G555" s="27" t="s">
        <v>83</v>
      </c>
      <c r="H555" s="27" t="s">
        <v>84</v>
      </c>
      <c r="I555" s="27">
        <v>6</v>
      </c>
      <c r="J555" s="27">
        <v>10</v>
      </c>
      <c r="K555" s="28">
        <v>38000</v>
      </c>
      <c r="L555" s="27">
        <v>2000</v>
      </c>
      <c r="M555" s="27">
        <v>55</v>
      </c>
      <c r="N555" s="27">
        <v>31</v>
      </c>
      <c r="O555" s="28" t="s">
        <v>226</v>
      </c>
      <c r="P555" s="30"/>
      <c r="Q555" s="30"/>
      <c r="R555" s="30"/>
      <c r="S555" s="30"/>
      <c r="T555" s="30"/>
      <c r="U555" s="30"/>
      <c r="V555" s="30"/>
      <c r="W555" s="30"/>
      <c r="X555" s="30"/>
      <c r="Y555" s="31">
        <v>0</v>
      </c>
      <c r="Z555" s="31">
        <v>0</v>
      </c>
      <c r="AA555" s="31">
        <v>0</v>
      </c>
      <c r="AB555" s="31">
        <v>0</v>
      </c>
      <c r="AC555" s="31">
        <v>0</v>
      </c>
      <c r="AD555" s="32">
        <v>0</v>
      </c>
      <c r="AE555" s="31">
        <v>0</v>
      </c>
      <c r="AF555" s="33">
        <v>0</v>
      </c>
      <c r="AG555" s="27">
        <v>0</v>
      </c>
      <c r="AH555" s="27">
        <v>0</v>
      </c>
      <c r="AI555" s="27">
        <v>0</v>
      </c>
      <c r="AJ555" s="27">
        <v>1225.81</v>
      </c>
      <c r="AK555" s="27">
        <v>0</v>
      </c>
      <c r="AL555" s="27">
        <v>1225.81</v>
      </c>
      <c r="AM555" s="27" t="s">
        <v>227</v>
      </c>
      <c r="AN555" s="8"/>
    </row>
    <row r="556" spans="1:40" ht="16" thickBot="1">
      <c r="A556" s="3">
        <v>555</v>
      </c>
      <c r="B556" s="26">
        <v>45954</v>
      </c>
      <c r="C556" s="27" t="s">
        <v>40</v>
      </c>
      <c r="D556" s="27" t="s">
        <v>41</v>
      </c>
      <c r="E556" s="28" t="s">
        <v>42</v>
      </c>
      <c r="F556" s="29" t="s">
        <v>150</v>
      </c>
      <c r="G556" s="34" t="s">
        <v>83</v>
      </c>
      <c r="H556" s="27" t="s">
        <v>84</v>
      </c>
      <c r="I556" s="27">
        <v>4</v>
      </c>
      <c r="J556" s="27">
        <v>10</v>
      </c>
      <c r="K556" s="28">
        <v>29000</v>
      </c>
      <c r="L556" s="27">
        <v>1000</v>
      </c>
      <c r="M556" s="27">
        <v>55</v>
      </c>
      <c r="N556" s="27">
        <v>31</v>
      </c>
      <c r="O556" s="28" t="s">
        <v>226</v>
      </c>
      <c r="P556" s="30"/>
      <c r="Q556" s="30"/>
      <c r="R556" s="30"/>
      <c r="S556" s="30"/>
      <c r="T556" s="30"/>
      <c r="U556" s="30"/>
      <c r="V556" s="30"/>
      <c r="W556" s="30"/>
      <c r="X556" s="30"/>
      <c r="Y556" s="31">
        <v>0</v>
      </c>
      <c r="Z556" s="31">
        <v>0</v>
      </c>
      <c r="AA556" s="31">
        <v>0</v>
      </c>
      <c r="AB556" s="31">
        <v>0</v>
      </c>
      <c r="AC556" s="31">
        <v>0</v>
      </c>
      <c r="AD556" s="32">
        <v>0</v>
      </c>
      <c r="AE556" s="31">
        <v>0</v>
      </c>
      <c r="AF556" s="33">
        <v>0</v>
      </c>
      <c r="AG556" s="27">
        <v>0</v>
      </c>
      <c r="AH556" s="27">
        <v>0</v>
      </c>
      <c r="AI556" s="27">
        <v>0</v>
      </c>
      <c r="AJ556" s="27">
        <v>935.48</v>
      </c>
      <c r="AK556" s="27">
        <v>0</v>
      </c>
      <c r="AL556" s="27">
        <v>935.48</v>
      </c>
      <c r="AM556" s="27" t="s">
        <v>227</v>
      </c>
      <c r="AN556" s="8"/>
    </row>
    <row r="557" spans="1:40" ht="16" thickBot="1">
      <c r="A557" s="3">
        <v>556</v>
      </c>
      <c r="B557" s="26">
        <v>45954</v>
      </c>
      <c r="C557" s="27" t="s">
        <v>40</v>
      </c>
      <c r="D557" s="27" t="s">
        <v>41</v>
      </c>
      <c r="E557" s="28" t="s">
        <v>42</v>
      </c>
      <c r="F557" s="29" t="s">
        <v>228</v>
      </c>
      <c r="G557" s="27" t="s">
        <v>83</v>
      </c>
      <c r="H557" s="27" t="s">
        <v>84</v>
      </c>
      <c r="I557" s="27">
        <v>6</v>
      </c>
      <c r="J557" s="27">
        <v>10</v>
      </c>
      <c r="K557" s="28">
        <v>38000</v>
      </c>
      <c r="L557" s="27">
        <v>2000</v>
      </c>
      <c r="M557" s="27">
        <v>55</v>
      </c>
      <c r="N557" s="27">
        <v>31</v>
      </c>
      <c r="O557" s="28" t="s">
        <v>226</v>
      </c>
      <c r="P557" s="30"/>
      <c r="Q557" s="30"/>
      <c r="R557" s="30"/>
      <c r="S557" s="30"/>
      <c r="T557" s="30"/>
      <c r="U557" s="30"/>
      <c r="V557" s="30"/>
      <c r="W557" s="30"/>
      <c r="X557" s="30"/>
      <c r="Y557" s="31">
        <v>0</v>
      </c>
      <c r="Z557" s="31">
        <v>0</v>
      </c>
      <c r="AA557" s="31">
        <v>0</v>
      </c>
      <c r="AB557" s="31">
        <v>0</v>
      </c>
      <c r="AC557" s="31">
        <v>0</v>
      </c>
      <c r="AD557" s="32">
        <v>0</v>
      </c>
      <c r="AE557" s="31">
        <v>0</v>
      </c>
      <c r="AF557" s="33">
        <v>0</v>
      </c>
      <c r="AG557" s="27">
        <v>0</v>
      </c>
      <c r="AH557" s="27">
        <v>0</v>
      </c>
      <c r="AI557" s="27">
        <v>0</v>
      </c>
      <c r="AJ557" s="27">
        <v>1225.81</v>
      </c>
      <c r="AK557" s="27">
        <v>0</v>
      </c>
      <c r="AL557" s="27">
        <v>1225.81</v>
      </c>
      <c r="AM557" s="27" t="s">
        <v>227</v>
      </c>
      <c r="AN557" s="8"/>
    </row>
    <row r="558" spans="1:40" ht="16" thickBot="1">
      <c r="A558" s="3">
        <v>557</v>
      </c>
      <c r="B558" s="19">
        <v>45955</v>
      </c>
      <c r="C558" s="5" t="s">
        <v>40</v>
      </c>
      <c r="D558" s="7" t="s">
        <v>41</v>
      </c>
      <c r="E558" s="6" t="s">
        <v>42</v>
      </c>
      <c r="F558" s="7" t="s">
        <v>43</v>
      </c>
      <c r="G558" s="5" t="s">
        <v>44</v>
      </c>
      <c r="H558" s="5" t="s">
        <v>45</v>
      </c>
      <c r="I558" s="5">
        <v>4</v>
      </c>
      <c r="J558" s="5">
        <v>8</v>
      </c>
      <c r="K558" s="5">
        <v>25000</v>
      </c>
      <c r="L558" s="5">
        <v>1000</v>
      </c>
      <c r="M558" s="5">
        <v>55</v>
      </c>
      <c r="N558" s="5">
        <v>31</v>
      </c>
      <c r="O558" s="6" t="s">
        <v>46</v>
      </c>
      <c r="P558" s="8"/>
      <c r="Q558" s="16">
        <v>4.9999999999999996E-2</v>
      </c>
      <c r="R558" s="16">
        <v>0.14006944444444444</v>
      </c>
      <c r="S558" s="6">
        <v>58040</v>
      </c>
      <c r="T558" s="16">
        <v>0.28644675925925928</v>
      </c>
      <c r="U558" s="16">
        <v>0.287025462962963</v>
      </c>
      <c r="V558" s="6">
        <v>58047</v>
      </c>
      <c r="W558" s="6">
        <v>31</v>
      </c>
      <c r="X558" s="6">
        <v>82</v>
      </c>
      <c r="Y558" s="12">
        <v>-51</v>
      </c>
      <c r="Z558" s="12">
        <v>7</v>
      </c>
      <c r="AA558" s="12">
        <v>7</v>
      </c>
      <c r="AB558" s="12">
        <v>0</v>
      </c>
      <c r="AC558" s="12">
        <v>0</v>
      </c>
      <c r="AD558" s="13">
        <v>0</v>
      </c>
      <c r="AE558" s="12">
        <v>0</v>
      </c>
      <c r="AF558" s="14">
        <v>0</v>
      </c>
      <c r="AG558" s="5">
        <v>0</v>
      </c>
      <c r="AH558" s="5">
        <v>0</v>
      </c>
      <c r="AI558" s="5">
        <v>0</v>
      </c>
      <c r="AJ558" s="5">
        <v>806.45</v>
      </c>
      <c r="AK558" s="5">
        <v>0</v>
      </c>
      <c r="AL558" s="5">
        <v>806.45</v>
      </c>
      <c r="AM558" s="8"/>
      <c r="AN558" s="8"/>
    </row>
    <row r="559" spans="1:40" ht="16" thickBot="1">
      <c r="A559" s="3">
        <v>558</v>
      </c>
      <c r="B559" s="19">
        <v>45955</v>
      </c>
      <c r="C559" s="5" t="s">
        <v>40</v>
      </c>
      <c r="D559" s="7" t="s">
        <v>41</v>
      </c>
      <c r="E559" s="6" t="s">
        <v>42</v>
      </c>
      <c r="F559" s="7" t="s">
        <v>132</v>
      </c>
      <c r="G559" s="5" t="s">
        <v>44</v>
      </c>
      <c r="H559" s="5" t="s">
        <v>45</v>
      </c>
      <c r="I559" s="5">
        <v>4</v>
      </c>
      <c r="J559" s="5">
        <v>8</v>
      </c>
      <c r="K559" s="5">
        <v>25000</v>
      </c>
      <c r="L559" s="5">
        <v>1000</v>
      </c>
      <c r="M559" s="5">
        <v>55</v>
      </c>
      <c r="N559" s="5">
        <v>31</v>
      </c>
      <c r="O559" s="6" t="s">
        <v>86</v>
      </c>
      <c r="P559" s="8"/>
      <c r="Q559" s="16">
        <v>4.5833333333333337E-2</v>
      </c>
      <c r="R559" s="16">
        <v>0.1401273148148148</v>
      </c>
      <c r="S559" s="6">
        <v>110786</v>
      </c>
      <c r="T559" s="16">
        <v>0.32871527777777776</v>
      </c>
      <c r="U559" s="16">
        <v>0.32884259259259258</v>
      </c>
      <c r="V559" s="6">
        <v>110804</v>
      </c>
      <c r="W559" s="6">
        <v>0</v>
      </c>
      <c r="X559" s="6">
        <v>17</v>
      </c>
      <c r="Y559" s="12">
        <v>-17</v>
      </c>
      <c r="Z559" s="12">
        <v>18</v>
      </c>
      <c r="AA559" s="12">
        <v>18</v>
      </c>
      <c r="AB559" s="12">
        <v>0</v>
      </c>
      <c r="AC559" s="12">
        <v>0</v>
      </c>
      <c r="AD559" s="13">
        <v>0</v>
      </c>
      <c r="AE559" s="12">
        <v>0</v>
      </c>
      <c r="AF559" s="14">
        <v>0</v>
      </c>
      <c r="AG559" s="5">
        <v>0</v>
      </c>
      <c r="AH559" s="5">
        <v>0</v>
      </c>
      <c r="AI559" s="5">
        <v>0</v>
      </c>
      <c r="AJ559" s="5">
        <v>806.45</v>
      </c>
      <c r="AK559" s="5">
        <v>0</v>
      </c>
      <c r="AL559" s="5">
        <v>806.45</v>
      </c>
      <c r="AM559" s="8"/>
      <c r="AN559" s="8"/>
    </row>
    <row r="560" spans="1:40" ht="16" thickBot="1">
      <c r="A560" s="3">
        <v>559</v>
      </c>
      <c r="B560" s="19">
        <v>45955</v>
      </c>
      <c r="C560" s="5" t="s">
        <v>40</v>
      </c>
      <c r="D560" s="7" t="s">
        <v>41</v>
      </c>
      <c r="E560" s="6" t="s">
        <v>42</v>
      </c>
      <c r="F560" s="7" t="s">
        <v>51</v>
      </c>
      <c r="G560" s="5" t="s">
        <v>44</v>
      </c>
      <c r="H560" s="5" t="s">
        <v>45</v>
      </c>
      <c r="I560" s="5">
        <v>4</v>
      </c>
      <c r="J560" s="5">
        <v>8</v>
      </c>
      <c r="K560" s="5">
        <v>25000</v>
      </c>
      <c r="L560" s="5">
        <v>1000</v>
      </c>
      <c r="M560" s="5">
        <v>55</v>
      </c>
      <c r="N560" s="5">
        <v>31</v>
      </c>
      <c r="O560" s="6" t="s">
        <v>112</v>
      </c>
      <c r="P560" s="8"/>
      <c r="Q560" s="16">
        <v>0.11180555555555556</v>
      </c>
      <c r="R560" s="16">
        <v>0.14329861111111111</v>
      </c>
      <c r="S560" s="6">
        <v>84315</v>
      </c>
      <c r="T560" s="16">
        <v>0.29032407407407407</v>
      </c>
      <c r="U560" s="16">
        <v>0.29040509259259256</v>
      </c>
      <c r="V560" s="6">
        <v>84344</v>
      </c>
      <c r="W560" s="6">
        <v>35</v>
      </c>
      <c r="X560" s="6">
        <v>49</v>
      </c>
      <c r="Y560" s="12">
        <v>-14</v>
      </c>
      <c r="Z560" s="12">
        <v>29</v>
      </c>
      <c r="AA560" s="12">
        <v>29</v>
      </c>
      <c r="AB560" s="12">
        <v>0</v>
      </c>
      <c r="AC560" s="12">
        <v>0</v>
      </c>
      <c r="AD560" s="13">
        <v>0</v>
      </c>
      <c r="AE560" s="12">
        <v>0</v>
      </c>
      <c r="AF560" s="14">
        <v>0</v>
      </c>
      <c r="AG560" s="5">
        <v>0</v>
      </c>
      <c r="AH560" s="5">
        <v>0</v>
      </c>
      <c r="AI560" s="5">
        <v>0</v>
      </c>
      <c r="AJ560" s="5">
        <v>806.45</v>
      </c>
      <c r="AK560" s="5">
        <v>0</v>
      </c>
      <c r="AL560" s="5">
        <v>806.45</v>
      </c>
      <c r="AM560" s="8"/>
      <c r="AN560" s="8"/>
    </row>
    <row r="561" spans="1:40" ht="16" thickBot="1">
      <c r="A561" s="3">
        <v>560</v>
      </c>
      <c r="B561" s="19">
        <v>45955</v>
      </c>
      <c r="C561" s="5" t="s">
        <v>40</v>
      </c>
      <c r="D561" s="7" t="s">
        <v>41</v>
      </c>
      <c r="E561" s="6" t="s">
        <v>42</v>
      </c>
      <c r="F561" s="7" t="s">
        <v>145</v>
      </c>
      <c r="G561" s="5" t="s">
        <v>44</v>
      </c>
      <c r="H561" s="5" t="s">
        <v>45</v>
      </c>
      <c r="I561" s="5">
        <v>4</v>
      </c>
      <c r="J561" s="5">
        <v>8</v>
      </c>
      <c r="K561" s="5">
        <v>25000</v>
      </c>
      <c r="L561" s="5">
        <v>1000</v>
      </c>
      <c r="M561" s="5">
        <v>55</v>
      </c>
      <c r="N561" s="5">
        <v>31</v>
      </c>
      <c r="O561" s="6" t="s">
        <v>52</v>
      </c>
      <c r="P561" s="8"/>
      <c r="Q561" s="16">
        <v>4.5833333333333337E-2</v>
      </c>
      <c r="R561" s="16">
        <v>0.13548611111111111</v>
      </c>
      <c r="S561" s="6">
        <v>39141</v>
      </c>
      <c r="T561" s="16">
        <v>0.32530092592592591</v>
      </c>
      <c r="U561" s="16">
        <v>0.32535879629629633</v>
      </c>
      <c r="V561" s="6">
        <v>39158</v>
      </c>
      <c r="W561" s="6">
        <v>36</v>
      </c>
      <c r="X561" s="6">
        <v>36</v>
      </c>
      <c r="Y561" s="12">
        <v>0</v>
      </c>
      <c r="Z561" s="12">
        <v>17</v>
      </c>
      <c r="AA561" s="12">
        <v>17</v>
      </c>
      <c r="AB561" s="12">
        <v>0</v>
      </c>
      <c r="AC561" s="12">
        <v>0</v>
      </c>
      <c r="AD561" s="13">
        <v>0</v>
      </c>
      <c r="AE561" s="12">
        <v>0</v>
      </c>
      <c r="AF561" s="14">
        <v>0</v>
      </c>
      <c r="AG561" s="5">
        <v>0</v>
      </c>
      <c r="AH561" s="5">
        <v>0</v>
      </c>
      <c r="AI561" s="5">
        <v>0</v>
      </c>
      <c r="AJ561" s="5">
        <v>806.45</v>
      </c>
      <c r="AK561" s="5">
        <v>0</v>
      </c>
      <c r="AL561" s="5">
        <v>806.45</v>
      </c>
      <c r="AM561" s="8"/>
      <c r="AN561" s="8"/>
    </row>
    <row r="562" spans="1:40" ht="16" thickBot="1">
      <c r="A562" s="3">
        <v>561</v>
      </c>
      <c r="B562" s="19">
        <v>45955</v>
      </c>
      <c r="C562" s="5" t="s">
        <v>40</v>
      </c>
      <c r="D562" s="7" t="s">
        <v>41</v>
      </c>
      <c r="E562" s="6" t="s">
        <v>42</v>
      </c>
      <c r="F562" s="7" t="s">
        <v>53</v>
      </c>
      <c r="G562" s="5" t="s">
        <v>44</v>
      </c>
      <c r="H562" s="5" t="s">
        <v>45</v>
      </c>
      <c r="I562" s="5">
        <v>4</v>
      </c>
      <c r="J562" s="5">
        <v>8</v>
      </c>
      <c r="K562" s="5">
        <v>25000</v>
      </c>
      <c r="L562" s="5">
        <v>1000</v>
      </c>
      <c r="M562" s="5">
        <v>55</v>
      </c>
      <c r="N562" s="5">
        <v>31</v>
      </c>
      <c r="O562" s="6" t="s">
        <v>75</v>
      </c>
      <c r="P562" s="8"/>
      <c r="Q562" s="16">
        <v>5.2777777777777778E-2</v>
      </c>
      <c r="R562" s="16">
        <v>0.14126157407407408</v>
      </c>
      <c r="S562" s="6">
        <v>12936</v>
      </c>
      <c r="T562" s="16">
        <v>0.29579861111111111</v>
      </c>
      <c r="U562" s="16">
        <v>0.29591435185185183</v>
      </c>
      <c r="V562" s="6">
        <v>12952</v>
      </c>
      <c r="W562" s="6">
        <v>27</v>
      </c>
      <c r="X562" s="6">
        <v>27</v>
      </c>
      <c r="Y562" s="12">
        <v>0</v>
      </c>
      <c r="Z562" s="12">
        <v>16</v>
      </c>
      <c r="AA562" s="12">
        <v>16</v>
      </c>
      <c r="AB562" s="12">
        <v>0</v>
      </c>
      <c r="AC562" s="12">
        <v>0</v>
      </c>
      <c r="AD562" s="13">
        <v>0</v>
      </c>
      <c r="AE562" s="12">
        <v>0</v>
      </c>
      <c r="AF562" s="14">
        <v>0</v>
      </c>
      <c r="AG562" s="5">
        <v>0</v>
      </c>
      <c r="AH562" s="5">
        <v>0</v>
      </c>
      <c r="AI562" s="5">
        <v>0</v>
      </c>
      <c r="AJ562" s="5">
        <v>806.45</v>
      </c>
      <c r="AK562" s="5">
        <v>0</v>
      </c>
      <c r="AL562" s="5">
        <v>806.45</v>
      </c>
      <c r="AM562" s="8"/>
      <c r="AN562" s="8"/>
    </row>
    <row r="563" spans="1:40" ht="16" thickBot="1">
      <c r="A563" s="3">
        <v>562</v>
      </c>
      <c r="B563" s="19">
        <v>45955</v>
      </c>
      <c r="C563" s="5" t="s">
        <v>40</v>
      </c>
      <c r="D563" s="7" t="s">
        <v>41</v>
      </c>
      <c r="E563" s="6" t="s">
        <v>42</v>
      </c>
      <c r="F563" s="7" t="s">
        <v>55</v>
      </c>
      <c r="G563" s="5" t="s">
        <v>44</v>
      </c>
      <c r="H563" s="5" t="s">
        <v>45</v>
      </c>
      <c r="I563" s="5">
        <v>4</v>
      </c>
      <c r="J563" s="5">
        <v>8</v>
      </c>
      <c r="K563" s="5">
        <v>25000</v>
      </c>
      <c r="L563" s="5">
        <v>1000</v>
      </c>
      <c r="M563" s="5">
        <v>55</v>
      </c>
      <c r="N563" s="5">
        <v>31</v>
      </c>
      <c r="O563" s="6" t="s">
        <v>56</v>
      </c>
      <c r="P563" s="8"/>
      <c r="Q563" s="16">
        <v>8.7500000000000008E-2</v>
      </c>
      <c r="R563" s="16">
        <v>0.14186342592592593</v>
      </c>
      <c r="S563" s="6">
        <v>145531</v>
      </c>
      <c r="T563" s="16">
        <v>0.28728009259259263</v>
      </c>
      <c r="U563" s="16">
        <v>0.28734953703703703</v>
      </c>
      <c r="V563" s="6">
        <v>145544</v>
      </c>
      <c r="W563" s="6">
        <v>30</v>
      </c>
      <c r="X563" s="6">
        <v>20</v>
      </c>
      <c r="Y563" s="12">
        <v>10</v>
      </c>
      <c r="Z563" s="12">
        <v>13</v>
      </c>
      <c r="AA563" s="12">
        <v>13</v>
      </c>
      <c r="AB563" s="12">
        <v>0</v>
      </c>
      <c r="AC563" s="12">
        <v>0</v>
      </c>
      <c r="AD563" s="13">
        <v>0</v>
      </c>
      <c r="AE563" s="12">
        <v>0</v>
      </c>
      <c r="AF563" s="14">
        <v>0</v>
      </c>
      <c r="AG563" s="5">
        <v>0</v>
      </c>
      <c r="AH563" s="5">
        <v>0</v>
      </c>
      <c r="AI563" s="5">
        <v>0</v>
      </c>
      <c r="AJ563" s="5">
        <v>806.45</v>
      </c>
      <c r="AK563" s="5">
        <v>0</v>
      </c>
      <c r="AL563" s="5">
        <v>806.45</v>
      </c>
      <c r="AM563" s="8"/>
      <c r="AN563" s="8"/>
    </row>
    <row r="564" spans="1:40" ht="16" thickBot="1">
      <c r="A564" s="3">
        <v>563</v>
      </c>
      <c r="B564" s="19">
        <v>45955</v>
      </c>
      <c r="C564" s="5" t="s">
        <v>40</v>
      </c>
      <c r="D564" s="7" t="s">
        <v>41</v>
      </c>
      <c r="E564" s="6" t="s">
        <v>42</v>
      </c>
      <c r="F564" s="7" t="s">
        <v>182</v>
      </c>
      <c r="G564" s="5" t="s">
        <v>44</v>
      </c>
      <c r="H564" s="5" t="s">
        <v>45</v>
      </c>
      <c r="I564" s="5">
        <v>4</v>
      </c>
      <c r="J564" s="5">
        <v>8</v>
      </c>
      <c r="K564" s="5">
        <v>25000</v>
      </c>
      <c r="L564" s="5">
        <v>1000</v>
      </c>
      <c r="M564" s="5">
        <v>55</v>
      </c>
      <c r="N564" s="5">
        <v>31</v>
      </c>
      <c r="O564" s="6" t="s">
        <v>152</v>
      </c>
      <c r="P564" s="8"/>
      <c r="Q564" s="16">
        <v>4.7916666666666663E-2</v>
      </c>
      <c r="R564" s="16">
        <v>0.13765046296296296</v>
      </c>
      <c r="S564" s="6">
        <v>116570</v>
      </c>
      <c r="T564" s="16">
        <v>0.3084722222222222</v>
      </c>
      <c r="U564" s="16">
        <v>0.30858796296296298</v>
      </c>
      <c r="V564" s="6">
        <v>116589</v>
      </c>
      <c r="W564" s="6">
        <v>35</v>
      </c>
      <c r="X564" s="6">
        <v>37</v>
      </c>
      <c r="Y564" s="12">
        <v>-2</v>
      </c>
      <c r="Z564" s="12">
        <v>19</v>
      </c>
      <c r="AA564" s="12">
        <v>19</v>
      </c>
      <c r="AB564" s="12">
        <v>0</v>
      </c>
      <c r="AC564" s="12">
        <v>0</v>
      </c>
      <c r="AD564" s="13">
        <v>0</v>
      </c>
      <c r="AE564" s="12">
        <v>0</v>
      </c>
      <c r="AF564" s="14">
        <v>0</v>
      </c>
      <c r="AG564" s="5">
        <v>0</v>
      </c>
      <c r="AH564" s="5">
        <v>0</v>
      </c>
      <c r="AI564" s="5">
        <v>0</v>
      </c>
      <c r="AJ564" s="5">
        <v>806.45</v>
      </c>
      <c r="AK564" s="5">
        <v>0</v>
      </c>
      <c r="AL564" s="5">
        <v>806.45</v>
      </c>
      <c r="AM564" s="8"/>
      <c r="AN564" s="8"/>
    </row>
    <row r="565" spans="1:40" ht="16" thickBot="1">
      <c r="A565" s="3">
        <v>564</v>
      </c>
      <c r="B565" s="19">
        <v>45955</v>
      </c>
      <c r="C565" s="5" t="s">
        <v>40</v>
      </c>
      <c r="D565" s="7" t="s">
        <v>41</v>
      </c>
      <c r="E565" s="6" t="s">
        <v>42</v>
      </c>
      <c r="F565" s="7" t="s">
        <v>57</v>
      </c>
      <c r="G565" s="5" t="s">
        <v>44</v>
      </c>
      <c r="H565" s="5" t="s">
        <v>45</v>
      </c>
      <c r="I565" s="5">
        <v>4</v>
      </c>
      <c r="J565" s="5">
        <v>8</v>
      </c>
      <c r="K565" s="5">
        <v>25000</v>
      </c>
      <c r="L565" s="5">
        <v>1000</v>
      </c>
      <c r="M565" s="5">
        <v>55</v>
      </c>
      <c r="N565" s="5">
        <v>31</v>
      </c>
      <c r="O565" s="6" t="s">
        <v>58</v>
      </c>
      <c r="P565" s="8"/>
      <c r="Q565" s="16">
        <v>4.8611111111111112E-2</v>
      </c>
      <c r="R565" s="16">
        <v>0.13688657407407409</v>
      </c>
      <c r="S565" s="6">
        <v>145792</v>
      </c>
      <c r="T565" s="16">
        <v>0.30982638888888886</v>
      </c>
      <c r="U565" s="16">
        <v>0.30993055555555554</v>
      </c>
      <c r="V565" s="6">
        <v>145823</v>
      </c>
      <c r="W565" s="6">
        <v>30</v>
      </c>
      <c r="X565" s="6">
        <v>69</v>
      </c>
      <c r="Y565" s="12">
        <v>-39</v>
      </c>
      <c r="Z565" s="12">
        <v>31</v>
      </c>
      <c r="AA565" s="12">
        <v>31</v>
      </c>
      <c r="AB565" s="12">
        <v>0</v>
      </c>
      <c r="AC565" s="12">
        <v>0</v>
      </c>
      <c r="AD565" s="13">
        <v>0</v>
      </c>
      <c r="AE565" s="12">
        <v>0</v>
      </c>
      <c r="AF565" s="14">
        <v>0</v>
      </c>
      <c r="AG565" s="5">
        <v>0</v>
      </c>
      <c r="AH565" s="5">
        <v>0</v>
      </c>
      <c r="AI565" s="5">
        <v>0</v>
      </c>
      <c r="AJ565" s="5">
        <v>806.45</v>
      </c>
      <c r="AK565" s="5">
        <v>0</v>
      </c>
      <c r="AL565" s="5">
        <v>806.45</v>
      </c>
      <c r="AM565" s="8"/>
      <c r="AN565" s="8"/>
    </row>
    <row r="566" spans="1:40" ht="16" thickBot="1">
      <c r="A566" s="3">
        <v>565</v>
      </c>
      <c r="B566" s="19">
        <v>45955</v>
      </c>
      <c r="C566" s="5" t="s">
        <v>40</v>
      </c>
      <c r="D566" s="7" t="s">
        <v>41</v>
      </c>
      <c r="E566" s="6" t="s">
        <v>42</v>
      </c>
      <c r="F566" s="7" t="s">
        <v>59</v>
      </c>
      <c r="G566" s="5" t="s">
        <v>44</v>
      </c>
      <c r="H566" s="5" t="s">
        <v>45</v>
      </c>
      <c r="I566" s="5">
        <v>4</v>
      </c>
      <c r="J566" s="5">
        <v>8</v>
      </c>
      <c r="K566" s="5">
        <v>25000</v>
      </c>
      <c r="L566" s="5">
        <v>1000</v>
      </c>
      <c r="M566" s="5">
        <v>55</v>
      </c>
      <c r="N566" s="5">
        <v>31</v>
      </c>
      <c r="O566" s="6" t="s">
        <v>221</v>
      </c>
      <c r="P566" s="8"/>
      <c r="Q566" s="16">
        <v>0.12083333333333333</v>
      </c>
      <c r="R566" s="16">
        <v>0.14171296296296296</v>
      </c>
      <c r="S566" s="6">
        <v>159948</v>
      </c>
      <c r="T566" s="16">
        <v>0.32824074074074078</v>
      </c>
      <c r="U566" s="16">
        <v>0.32832175925925927</v>
      </c>
      <c r="V566" s="6">
        <v>159985</v>
      </c>
      <c r="W566" s="6">
        <v>0</v>
      </c>
      <c r="X566" s="6">
        <v>0</v>
      </c>
      <c r="Y566" s="12">
        <v>0</v>
      </c>
      <c r="Z566" s="12">
        <v>37</v>
      </c>
      <c r="AA566" s="12">
        <v>37</v>
      </c>
      <c r="AB566" s="12">
        <v>0</v>
      </c>
      <c r="AC566" s="12">
        <v>0</v>
      </c>
      <c r="AD566" s="13">
        <v>0</v>
      </c>
      <c r="AE566" s="12">
        <v>0</v>
      </c>
      <c r="AF566" s="14">
        <v>0</v>
      </c>
      <c r="AG566" s="5">
        <v>0</v>
      </c>
      <c r="AH566" s="5">
        <v>0</v>
      </c>
      <c r="AI566" s="5">
        <v>0</v>
      </c>
      <c r="AJ566" s="5">
        <v>806.45</v>
      </c>
      <c r="AK566" s="5">
        <v>0</v>
      </c>
      <c r="AL566" s="5">
        <v>806.45</v>
      </c>
      <c r="AM566" s="8"/>
      <c r="AN566" s="8"/>
    </row>
    <row r="567" spans="1:40" ht="16" thickBot="1">
      <c r="A567" s="3">
        <v>566</v>
      </c>
      <c r="B567" s="19">
        <v>45955</v>
      </c>
      <c r="C567" s="5" t="s">
        <v>40</v>
      </c>
      <c r="D567" s="7" t="s">
        <v>41</v>
      </c>
      <c r="E567" s="6" t="s">
        <v>42</v>
      </c>
      <c r="F567" s="7" t="s">
        <v>60</v>
      </c>
      <c r="G567" s="5" t="s">
        <v>44</v>
      </c>
      <c r="H567" s="5" t="s">
        <v>45</v>
      </c>
      <c r="I567" s="5">
        <v>4</v>
      </c>
      <c r="J567" s="5">
        <v>8</v>
      </c>
      <c r="K567" s="5">
        <v>25000</v>
      </c>
      <c r="L567" s="5">
        <v>1000</v>
      </c>
      <c r="M567" s="5">
        <v>55</v>
      </c>
      <c r="N567" s="5">
        <v>31</v>
      </c>
      <c r="O567" s="6" t="s">
        <v>96</v>
      </c>
      <c r="P567" s="8"/>
      <c r="Q567" s="16">
        <v>5.4166666666666669E-2</v>
      </c>
      <c r="R567" s="16">
        <v>0.14052083333333334</v>
      </c>
      <c r="S567" s="6">
        <v>114825</v>
      </c>
      <c r="T567" s="16">
        <v>0.28903935185185187</v>
      </c>
      <c r="U567" s="16">
        <v>0.3268287037037037</v>
      </c>
      <c r="V567" s="6">
        <v>114847</v>
      </c>
      <c r="W567" s="6">
        <v>32</v>
      </c>
      <c r="X567" s="6">
        <v>33</v>
      </c>
      <c r="Y567" s="12">
        <v>-1</v>
      </c>
      <c r="Z567" s="12">
        <v>22</v>
      </c>
      <c r="AA567" s="12">
        <v>22</v>
      </c>
      <c r="AB567" s="12">
        <v>0</v>
      </c>
      <c r="AC567" s="12">
        <v>0</v>
      </c>
      <c r="AD567" s="13">
        <v>0</v>
      </c>
      <c r="AE567" s="12">
        <v>0</v>
      </c>
      <c r="AF567" s="14">
        <v>0</v>
      </c>
      <c r="AG567" s="5">
        <v>0</v>
      </c>
      <c r="AH567" s="5">
        <v>0</v>
      </c>
      <c r="AI567" s="5">
        <v>0</v>
      </c>
      <c r="AJ567" s="5">
        <v>806.45</v>
      </c>
      <c r="AK567" s="5">
        <v>0</v>
      </c>
      <c r="AL567" s="5">
        <v>806.45</v>
      </c>
      <c r="AM567" s="8"/>
      <c r="AN567" s="8"/>
    </row>
    <row r="568" spans="1:40" ht="16" thickBot="1">
      <c r="A568" s="3">
        <v>567</v>
      </c>
      <c r="B568" s="19">
        <v>45955</v>
      </c>
      <c r="C568" s="5" t="s">
        <v>40</v>
      </c>
      <c r="D568" s="7" t="s">
        <v>41</v>
      </c>
      <c r="E568" s="6" t="s">
        <v>42</v>
      </c>
      <c r="F568" s="7" t="s">
        <v>62</v>
      </c>
      <c r="G568" s="5" t="s">
        <v>44</v>
      </c>
      <c r="H568" s="5" t="s">
        <v>45</v>
      </c>
      <c r="I568" s="5">
        <v>6</v>
      </c>
      <c r="J568" s="5">
        <v>8</v>
      </c>
      <c r="K568" s="5">
        <v>33000</v>
      </c>
      <c r="L568" s="5">
        <v>2000</v>
      </c>
      <c r="M568" s="5">
        <v>55</v>
      </c>
      <c r="N568" s="5">
        <v>31</v>
      </c>
      <c r="O568" s="6" t="s">
        <v>167</v>
      </c>
      <c r="P568" s="8"/>
      <c r="Q568" s="16">
        <v>0.10069444444444443</v>
      </c>
      <c r="R568" s="16">
        <v>0.14440972222222223</v>
      </c>
      <c r="S568" s="6">
        <v>48691</v>
      </c>
      <c r="T568" s="16">
        <v>0.30160879629629628</v>
      </c>
      <c r="U568" s="16">
        <v>0.30167824074074073</v>
      </c>
      <c r="V568" s="6">
        <v>48750</v>
      </c>
      <c r="W568" s="6">
        <v>23</v>
      </c>
      <c r="X568" s="6">
        <v>30</v>
      </c>
      <c r="Y568" s="12">
        <v>-7</v>
      </c>
      <c r="Z568" s="12">
        <v>59</v>
      </c>
      <c r="AA568" s="12">
        <v>59</v>
      </c>
      <c r="AB568" s="12">
        <v>0</v>
      </c>
      <c r="AC568" s="12">
        <v>0</v>
      </c>
      <c r="AD568" s="13">
        <v>0</v>
      </c>
      <c r="AE568" s="12">
        <v>0</v>
      </c>
      <c r="AF568" s="14">
        <v>0</v>
      </c>
      <c r="AG568" s="5">
        <v>0</v>
      </c>
      <c r="AH568" s="5">
        <v>0</v>
      </c>
      <c r="AI568" s="5">
        <v>0</v>
      </c>
      <c r="AJ568" s="5">
        <v>1064.52</v>
      </c>
      <c r="AK568" s="5">
        <v>0</v>
      </c>
      <c r="AL568" s="5">
        <v>1064.52</v>
      </c>
      <c r="AM568" s="8"/>
      <c r="AN568" s="8"/>
    </row>
    <row r="569" spans="1:40" ht="16" thickBot="1">
      <c r="A569" s="3">
        <v>568</v>
      </c>
      <c r="B569" s="19">
        <v>45955</v>
      </c>
      <c r="C569" s="5" t="s">
        <v>40</v>
      </c>
      <c r="D569" s="7" t="s">
        <v>41</v>
      </c>
      <c r="E569" s="6" t="s">
        <v>42</v>
      </c>
      <c r="F569" s="7" t="s">
        <v>101</v>
      </c>
      <c r="G569" s="5" t="s">
        <v>44</v>
      </c>
      <c r="H569" s="5" t="s">
        <v>45</v>
      </c>
      <c r="I569" s="5">
        <v>4</v>
      </c>
      <c r="J569" s="5">
        <v>8</v>
      </c>
      <c r="K569" s="5">
        <v>25000</v>
      </c>
      <c r="L569" s="5">
        <v>1000</v>
      </c>
      <c r="M569" s="5">
        <v>55</v>
      </c>
      <c r="N569" s="5">
        <v>31</v>
      </c>
      <c r="O569" s="6" t="s">
        <v>67</v>
      </c>
      <c r="P569" s="8"/>
      <c r="Q569" s="16">
        <v>8.6805555555555566E-2</v>
      </c>
      <c r="R569" s="16">
        <v>0.1398611111111111</v>
      </c>
      <c r="S569" s="6">
        <v>118947</v>
      </c>
      <c r="T569" s="16">
        <v>0.30812499999999998</v>
      </c>
      <c r="U569" s="16">
        <v>0.30824074074074076</v>
      </c>
      <c r="V569" s="6">
        <v>118982</v>
      </c>
      <c r="W569" s="6">
        <v>10</v>
      </c>
      <c r="X569" s="6">
        <v>10</v>
      </c>
      <c r="Y569" s="12">
        <v>0</v>
      </c>
      <c r="Z569" s="12">
        <v>35</v>
      </c>
      <c r="AA569" s="12">
        <v>35</v>
      </c>
      <c r="AB569" s="12">
        <v>0</v>
      </c>
      <c r="AC569" s="12">
        <v>0</v>
      </c>
      <c r="AD569" s="13">
        <v>0</v>
      </c>
      <c r="AE569" s="12">
        <v>0</v>
      </c>
      <c r="AF569" s="14">
        <v>0</v>
      </c>
      <c r="AG569" s="5">
        <v>0</v>
      </c>
      <c r="AH569" s="5">
        <v>0</v>
      </c>
      <c r="AI569" s="5">
        <v>0</v>
      </c>
      <c r="AJ569" s="5">
        <v>806.45</v>
      </c>
      <c r="AK569" s="5">
        <v>0</v>
      </c>
      <c r="AL569" s="5">
        <v>806.45</v>
      </c>
      <c r="AM569" s="8"/>
      <c r="AN569" s="8"/>
    </row>
    <row r="570" spans="1:40" ht="16" thickBot="1">
      <c r="A570" s="3">
        <v>569</v>
      </c>
      <c r="B570" s="19">
        <v>45955</v>
      </c>
      <c r="C570" s="5" t="s">
        <v>40</v>
      </c>
      <c r="D570" s="7" t="s">
        <v>41</v>
      </c>
      <c r="E570" s="6" t="s">
        <v>42</v>
      </c>
      <c r="F570" s="7" t="s">
        <v>64</v>
      </c>
      <c r="G570" s="5" t="s">
        <v>44</v>
      </c>
      <c r="H570" s="5" t="s">
        <v>45</v>
      </c>
      <c r="I570" s="5">
        <v>4</v>
      </c>
      <c r="J570" s="5">
        <v>8</v>
      </c>
      <c r="K570" s="5">
        <v>25000</v>
      </c>
      <c r="L570" s="5">
        <v>1000</v>
      </c>
      <c r="M570" s="5">
        <v>55</v>
      </c>
      <c r="N570" s="5">
        <v>31</v>
      </c>
      <c r="O570" s="6" t="s">
        <v>111</v>
      </c>
      <c r="P570" s="8"/>
      <c r="Q570" s="16">
        <v>0.1173611111111111</v>
      </c>
      <c r="R570" s="16">
        <v>0.13804398148148148</v>
      </c>
      <c r="S570" s="6">
        <v>76288</v>
      </c>
      <c r="T570" s="16">
        <v>0.31841435185185185</v>
      </c>
      <c r="U570" s="16">
        <v>0.3184953703703704</v>
      </c>
      <c r="V570" s="6">
        <v>76305</v>
      </c>
      <c r="W570" s="6">
        <v>32</v>
      </c>
      <c r="X570" s="6">
        <v>37</v>
      </c>
      <c r="Y570" s="12">
        <v>-5</v>
      </c>
      <c r="Z570" s="12">
        <v>17</v>
      </c>
      <c r="AA570" s="12">
        <v>17</v>
      </c>
      <c r="AB570" s="12">
        <v>0</v>
      </c>
      <c r="AC570" s="12">
        <v>0</v>
      </c>
      <c r="AD570" s="13">
        <v>0</v>
      </c>
      <c r="AE570" s="12">
        <v>0</v>
      </c>
      <c r="AF570" s="14">
        <v>0</v>
      </c>
      <c r="AG570" s="5">
        <v>0</v>
      </c>
      <c r="AH570" s="5">
        <v>0</v>
      </c>
      <c r="AI570" s="5">
        <v>0</v>
      </c>
      <c r="AJ570" s="5">
        <v>806.45</v>
      </c>
      <c r="AK570" s="5">
        <v>0</v>
      </c>
      <c r="AL570" s="5">
        <v>806.45</v>
      </c>
      <c r="AM570" s="8"/>
      <c r="AN570" s="8"/>
    </row>
    <row r="571" spans="1:40" ht="16" thickBot="1">
      <c r="A571" s="3">
        <v>570</v>
      </c>
      <c r="B571" s="19">
        <v>45955</v>
      </c>
      <c r="C571" s="5" t="s">
        <v>40</v>
      </c>
      <c r="D571" s="7" t="s">
        <v>41</v>
      </c>
      <c r="E571" s="6" t="s">
        <v>42</v>
      </c>
      <c r="F571" s="7" t="s">
        <v>70</v>
      </c>
      <c r="G571" s="5" t="s">
        <v>44</v>
      </c>
      <c r="H571" s="5" t="s">
        <v>45</v>
      </c>
      <c r="I571" s="5">
        <v>4</v>
      </c>
      <c r="J571" s="5">
        <v>8</v>
      </c>
      <c r="K571" s="5">
        <v>25000</v>
      </c>
      <c r="L571" s="5">
        <v>1000</v>
      </c>
      <c r="M571" s="5">
        <v>55</v>
      </c>
      <c r="N571" s="5">
        <v>31</v>
      </c>
      <c r="O571" s="6" t="s">
        <v>229</v>
      </c>
      <c r="P571" s="8"/>
      <c r="Q571" s="16">
        <v>9.5833333333333326E-2</v>
      </c>
      <c r="R571" s="16">
        <v>0.1419212962962963</v>
      </c>
      <c r="S571" s="6">
        <v>37562</v>
      </c>
      <c r="T571" s="16">
        <v>0.32240740740740742</v>
      </c>
      <c r="U571" s="16">
        <v>0.32269675925925928</v>
      </c>
      <c r="V571" s="6">
        <v>37588</v>
      </c>
      <c r="W571" s="6">
        <v>51</v>
      </c>
      <c r="X571" s="6">
        <v>51</v>
      </c>
      <c r="Y571" s="12">
        <v>0</v>
      </c>
      <c r="Z571" s="12">
        <v>26</v>
      </c>
      <c r="AA571" s="12">
        <v>26</v>
      </c>
      <c r="AB571" s="12">
        <v>0</v>
      </c>
      <c r="AC571" s="12">
        <v>0</v>
      </c>
      <c r="AD571" s="13">
        <v>0</v>
      </c>
      <c r="AE571" s="12">
        <v>0</v>
      </c>
      <c r="AF571" s="14">
        <v>0</v>
      </c>
      <c r="AG571" s="5">
        <v>0</v>
      </c>
      <c r="AH571" s="5">
        <v>0</v>
      </c>
      <c r="AI571" s="5">
        <v>0</v>
      </c>
      <c r="AJ571" s="5">
        <v>806.45</v>
      </c>
      <c r="AK571" s="5">
        <v>0</v>
      </c>
      <c r="AL571" s="5">
        <v>806.45</v>
      </c>
      <c r="AM571" s="8"/>
      <c r="AN571" s="8"/>
    </row>
    <row r="572" spans="1:40" ht="16" thickBot="1">
      <c r="A572" s="3">
        <v>571</v>
      </c>
      <c r="B572" s="19">
        <v>45955</v>
      </c>
      <c r="C572" s="5" t="s">
        <v>40</v>
      </c>
      <c r="D572" s="7" t="s">
        <v>41</v>
      </c>
      <c r="E572" s="6" t="s">
        <v>42</v>
      </c>
      <c r="F572" s="7" t="s">
        <v>72</v>
      </c>
      <c r="G572" s="5" t="s">
        <v>44</v>
      </c>
      <c r="H572" s="5" t="s">
        <v>45</v>
      </c>
      <c r="I572" s="5">
        <v>6</v>
      </c>
      <c r="J572" s="5">
        <v>8</v>
      </c>
      <c r="K572" s="5">
        <v>33000</v>
      </c>
      <c r="L572" s="5">
        <v>2000</v>
      </c>
      <c r="M572" s="5">
        <v>55</v>
      </c>
      <c r="N572" s="5">
        <v>31</v>
      </c>
      <c r="O572" s="6" t="s">
        <v>73</v>
      </c>
      <c r="P572" s="8"/>
      <c r="Q572" s="16">
        <v>7.0833333333333331E-2</v>
      </c>
      <c r="R572" s="16">
        <v>0.13665509259259259</v>
      </c>
      <c r="S572" s="6">
        <v>35029</v>
      </c>
      <c r="T572" s="16">
        <v>0.32773148148148151</v>
      </c>
      <c r="U572" s="16">
        <v>0.32781250000000001</v>
      </c>
      <c r="V572" s="6">
        <v>35095</v>
      </c>
      <c r="W572" s="6">
        <v>22</v>
      </c>
      <c r="X572" s="6">
        <v>22</v>
      </c>
      <c r="Y572" s="12">
        <v>0</v>
      </c>
      <c r="Z572" s="12">
        <v>66</v>
      </c>
      <c r="AA572" s="12">
        <v>66</v>
      </c>
      <c r="AB572" s="12">
        <v>0</v>
      </c>
      <c r="AC572" s="12">
        <v>0</v>
      </c>
      <c r="AD572" s="13">
        <v>0</v>
      </c>
      <c r="AE572" s="12">
        <v>0</v>
      </c>
      <c r="AF572" s="14">
        <v>0</v>
      </c>
      <c r="AG572" s="5">
        <v>0</v>
      </c>
      <c r="AH572" s="5">
        <v>0</v>
      </c>
      <c r="AI572" s="5">
        <v>0</v>
      </c>
      <c r="AJ572" s="5">
        <v>1064.52</v>
      </c>
      <c r="AK572" s="5">
        <v>0</v>
      </c>
      <c r="AL572" s="5">
        <v>1064.52</v>
      </c>
      <c r="AM572" s="8"/>
      <c r="AN572" s="8"/>
    </row>
    <row r="573" spans="1:40" ht="16" thickBot="1">
      <c r="A573" s="3">
        <v>572</v>
      </c>
      <c r="B573" s="19">
        <v>45955</v>
      </c>
      <c r="C573" s="5" t="s">
        <v>40</v>
      </c>
      <c r="D573" s="7" t="s">
        <v>41</v>
      </c>
      <c r="E573" s="6" t="s">
        <v>42</v>
      </c>
      <c r="F573" s="7" t="s">
        <v>74</v>
      </c>
      <c r="G573" s="5" t="s">
        <v>44</v>
      </c>
      <c r="H573" s="5" t="s">
        <v>45</v>
      </c>
      <c r="I573" s="5">
        <v>4</v>
      </c>
      <c r="J573" s="5">
        <v>8</v>
      </c>
      <c r="K573" s="5">
        <v>25000</v>
      </c>
      <c r="L573" s="5">
        <v>1000</v>
      </c>
      <c r="M573" s="5">
        <v>55</v>
      </c>
      <c r="N573" s="5">
        <v>31</v>
      </c>
      <c r="O573" s="6" t="s">
        <v>61</v>
      </c>
      <c r="P573" s="8"/>
      <c r="Q573" s="16">
        <v>5.347222222222222E-2</v>
      </c>
      <c r="R573" s="16">
        <v>0.13925925925925928</v>
      </c>
      <c r="S573" s="6">
        <v>39478</v>
      </c>
      <c r="T573" s="16">
        <v>0.28763888888888889</v>
      </c>
      <c r="U573" s="16">
        <v>0.28777777777777774</v>
      </c>
      <c r="V573" s="6">
        <v>39494</v>
      </c>
      <c r="W573" s="6">
        <v>32</v>
      </c>
      <c r="X573" s="6">
        <v>43</v>
      </c>
      <c r="Y573" s="12">
        <v>-11</v>
      </c>
      <c r="Z573" s="12">
        <v>16</v>
      </c>
      <c r="AA573" s="12">
        <v>16</v>
      </c>
      <c r="AB573" s="12">
        <v>0</v>
      </c>
      <c r="AC573" s="12">
        <v>0</v>
      </c>
      <c r="AD573" s="13">
        <v>0</v>
      </c>
      <c r="AE573" s="12">
        <v>0</v>
      </c>
      <c r="AF573" s="14">
        <v>0</v>
      </c>
      <c r="AG573" s="5">
        <v>0</v>
      </c>
      <c r="AH573" s="5">
        <v>0</v>
      </c>
      <c r="AI573" s="5">
        <v>0</v>
      </c>
      <c r="AJ573" s="5">
        <v>806.45</v>
      </c>
      <c r="AK573" s="5">
        <v>0</v>
      </c>
      <c r="AL573" s="5">
        <v>806.45</v>
      </c>
      <c r="AM573" s="8"/>
      <c r="AN573" s="8"/>
    </row>
    <row r="574" spans="1:40" ht="16" thickBot="1">
      <c r="A574" s="3">
        <v>573</v>
      </c>
      <c r="B574" s="19">
        <v>45955</v>
      </c>
      <c r="C574" s="5" t="s">
        <v>40</v>
      </c>
      <c r="D574" s="7" t="s">
        <v>41</v>
      </c>
      <c r="E574" s="6" t="s">
        <v>42</v>
      </c>
      <c r="F574" s="7" t="s">
        <v>78</v>
      </c>
      <c r="G574" s="5" t="s">
        <v>44</v>
      </c>
      <c r="H574" s="5" t="s">
        <v>45</v>
      </c>
      <c r="I574" s="5">
        <v>4</v>
      </c>
      <c r="J574" s="5">
        <v>8</v>
      </c>
      <c r="K574" s="5">
        <v>25000</v>
      </c>
      <c r="L574" s="5">
        <v>1000</v>
      </c>
      <c r="M574" s="5">
        <v>55</v>
      </c>
      <c r="N574" s="5">
        <v>31</v>
      </c>
      <c r="O574" s="6" t="s">
        <v>79</v>
      </c>
      <c r="P574" s="8"/>
      <c r="Q574" s="16">
        <v>8.2638888888888887E-2</v>
      </c>
      <c r="R574" s="16">
        <v>0.14107638888888888</v>
      </c>
      <c r="S574" s="6">
        <v>8310</v>
      </c>
      <c r="T574" s="16">
        <v>0.30533564814814812</v>
      </c>
      <c r="U574" s="16">
        <v>0.30557870370370371</v>
      </c>
      <c r="V574" s="6">
        <v>8333</v>
      </c>
      <c r="W574" s="6">
        <v>22</v>
      </c>
      <c r="X574" s="6">
        <v>27</v>
      </c>
      <c r="Y574" s="12">
        <v>-5</v>
      </c>
      <c r="Z574" s="12">
        <v>23</v>
      </c>
      <c r="AA574" s="12">
        <v>23</v>
      </c>
      <c r="AB574" s="12">
        <v>0</v>
      </c>
      <c r="AC574" s="12">
        <v>0</v>
      </c>
      <c r="AD574" s="13">
        <v>0</v>
      </c>
      <c r="AE574" s="12">
        <v>0</v>
      </c>
      <c r="AF574" s="14">
        <v>0</v>
      </c>
      <c r="AG574" s="5">
        <v>0</v>
      </c>
      <c r="AH574" s="5">
        <v>0</v>
      </c>
      <c r="AI574" s="5">
        <v>0</v>
      </c>
      <c r="AJ574" s="5">
        <v>806.45</v>
      </c>
      <c r="AK574" s="5">
        <v>0</v>
      </c>
      <c r="AL574" s="5">
        <v>806.45</v>
      </c>
      <c r="AM574" s="8"/>
      <c r="AN574" s="8"/>
    </row>
    <row r="575" spans="1:40" ht="16" thickBot="1">
      <c r="A575" s="3">
        <v>574</v>
      </c>
      <c r="B575" s="19">
        <v>45955</v>
      </c>
      <c r="C575" s="5" t="s">
        <v>40</v>
      </c>
      <c r="D575" s="7" t="s">
        <v>41</v>
      </c>
      <c r="E575" s="6" t="s">
        <v>42</v>
      </c>
      <c r="F575" s="7" t="s">
        <v>80</v>
      </c>
      <c r="G575" s="5" t="s">
        <v>44</v>
      </c>
      <c r="H575" s="5" t="s">
        <v>45</v>
      </c>
      <c r="I575" s="5">
        <v>4</v>
      </c>
      <c r="J575" s="5">
        <v>8</v>
      </c>
      <c r="K575" s="5">
        <v>25000</v>
      </c>
      <c r="L575" s="5">
        <v>1000</v>
      </c>
      <c r="M575" s="5">
        <v>55</v>
      </c>
      <c r="N575" s="5">
        <v>31</v>
      </c>
      <c r="O575" s="6" t="s">
        <v>104</v>
      </c>
      <c r="P575" s="8"/>
      <c r="Q575" s="16">
        <v>5.2777777777777778E-2</v>
      </c>
      <c r="R575" s="16">
        <v>0.13966435185185186</v>
      </c>
      <c r="S575" s="6">
        <v>6049</v>
      </c>
      <c r="T575" s="16">
        <v>0.29033564814814816</v>
      </c>
      <c r="U575" s="16">
        <v>0.29048611111111111</v>
      </c>
      <c r="V575" s="6">
        <v>6066</v>
      </c>
      <c r="W575" s="6">
        <v>40</v>
      </c>
      <c r="X575" s="6">
        <v>36</v>
      </c>
      <c r="Y575" s="12">
        <v>4</v>
      </c>
      <c r="Z575" s="12">
        <v>17</v>
      </c>
      <c r="AA575" s="12">
        <v>17</v>
      </c>
      <c r="AB575" s="12">
        <v>0</v>
      </c>
      <c r="AC575" s="12">
        <v>0</v>
      </c>
      <c r="AD575" s="13">
        <v>0</v>
      </c>
      <c r="AE575" s="12">
        <v>0</v>
      </c>
      <c r="AF575" s="14">
        <v>0</v>
      </c>
      <c r="AG575" s="5">
        <v>0</v>
      </c>
      <c r="AH575" s="5">
        <v>0</v>
      </c>
      <c r="AI575" s="5">
        <v>0</v>
      </c>
      <c r="AJ575" s="5">
        <v>806.45</v>
      </c>
      <c r="AK575" s="5">
        <v>0</v>
      </c>
      <c r="AL575" s="5">
        <v>806.45</v>
      </c>
      <c r="AM575" s="8"/>
      <c r="AN575" s="8"/>
    </row>
    <row r="576" spans="1:40" ht="16" thickBot="1">
      <c r="A576" s="3">
        <v>575</v>
      </c>
      <c r="B576" s="19">
        <v>45955</v>
      </c>
      <c r="C576" s="5" t="s">
        <v>40</v>
      </c>
      <c r="D576" s="7" t="s">
        <v>41</v>
      </c>
      <c r="E576" s="6" t="s">
        <v>42</v>
      </c>
      <c r="F576" s="7" t="s">
        <v>105</v>
      </c>
      <c r="G576" s="5" t="s">
        <v>44</v>
      </c>
      <c r="H576" s="5" t="s">
        <v>45</v>
      </c>
      <c r="I576" s="5">
        <v>4</v>
      </c>
      <c r="J576" s="5">
        <v>8</v>
      </c>
      <c r="K576" s="5">
        <v>25000</v>
      </c>
      <c r="L576" s="5">
        <v>1000</v>
      </c>
      <c r="M576" s="5">
        <v>55</v>
      </c>
      <c r="N576" s="5">
        <v>31</v>
      </c>
      <c r="O576" s="6" t="s">
        <v>110</v>
      </c>
      <c r="P576" s="8"/>
      <c r="Q576" s="16">
        <v>0.11458333333333333</v>
      </c>
      <c r="R576" s="16">
        <v>0.13827546296296298</v>
      </c>
      <c r="S576" s="6">
        <v>42104</v>
      </c>
      <c r="T576" s="16">
        <v>0.2900462962962963</v>
      </c>
      <c r="U576" s="16">
        <v>0.29012731481481485</v>
      </c>
      <c r="V576" s="6">
        <v>42118</v>
      </c>
      <c r="W576" s="6">
        <v>35</v>
      </c>
      <c r="X576" s="6">
        <v>54</v>
      </c>
      <c r="Y576" s="12">
        <v>-19</v>
      </c>
      <c r="Z576" s="12">
        <v>14</v>
      </c>
      <c r="AA576" s="12">
        <v>14</v>
      </c>
      <c r="AB576" s="12">
        <v>0</v>
      </c>
      <c r="AC576" s="12">
        <v>0</v>
      </c>
      <c r="AD576" s="13">
        <v>0</v>
      </c>
      <c r="AE576" s="12">
        <v>0</v>
      </c>
      <c r="AF576" s="14">
        <v>0</v>
      </c>
      <c r="AG576" s="5">
        <v>0</v>
      </c>
      <c r="AH576" s="5">
        <v>0</v>
      </c>
      <c r="AI576" s="5">
        <v>0</v>
      </c>
      <c r="AJ576" s="5">
        <v>806.45</v>
      </c>
      <c r="AK576" s="5">
        <v>0</v>
      </c>
      <c r="AL576" s="5">
        <v>806.45</v>
      </c>
      <c r="AM576" s="8"/>
      <c r="AN576" s="8"/>
    </row>
    <row r="577" spans="1:40" ht="16" thickBot="1">
      <c r="A577" s="3">
        <v>576</v>
      </c>
      <c r="B577" s="19">
        <v>45955</v>
      </c>
      <c r="C577" s="5" t="s">
        <v>40</v>
      </c>
      <c r="D577" s="7" t="s">
        <v>41</v>
      </c>
      <c r="E577" s="6" t="s">
        <v>42</v>
      </c>
      <c r="F577" s="7" t="s">
        <v>85</v>
      </c>
      <c r="G577" s="10" t="s">
        <v>83</v>
      </c>
      <c r="H577" s="5" t="s">
        <v>84</v>
      </c>
      <c r="I577" s="5">
        <v>4</v>
      </c>
      <c r="J577" s="5">
        <v>10</v>
      </c>
      <c r="K577" s="6">
        <v>29000</v>
      </c>
      <c r="L577" s="5">
        <v>1000</v>
      </c>
      <c r="M577" s="5">
        <v>55</v>
      </c>
      <c r="N577" s="5">
        <v>31</v>
      </c>
      <c r="O577" s="6" t="s">
        <v>138</v>
      </c>
      <c r="P577" s="8"/>
      <c r="Q577" s="16">
        <v>8.6805555555555566E-2</v>
      </c>
      <c r="R577" s="16">
        <v>0.13739583333333333</v>
      </c>
      <c r="S577" s="6">
        <v>39741</v>
      </c>
      <c r="T577" s="16">
        <v>0.28967592592592589</v>
      </c>
      <c r="U577" s="16">
        <v>0.28979166666666667</v>
      </c>
      <c r="V577" s="6">
        <v>39773</v>
      </c>
      <c r="W577" s="6">
        <v>46</v>
      </c>
      <c r="X577" s="6">
        <v>47</v>
      </c>
      <c r="Y577" s="12">
        <v>-1</v>
      </c>
      <c r="Z577" s="12">
        <v>32</v>
      </c>
      <c r="AA577" s="12">
        <v>32</v>
      </c>
      <c r="AB577" s="12">
        <v>0</v>
      </c>
      <c r="AC577" s="12">
        <v>0</v>
      </c>
      <c r="AD577" s="13">
        <v>0</v>
      </c>
      <c r="AE577" s="12">
        <v>0</v>
      </c>
      <c r="AF577" s="14">
        <v>0</v>
      </c>
      <c r="AG577" s="5">
        <v>0</v>
      </c>
      <c r="AH577" s="5">
        <v>0</v>
      </c>
      <c r="AI577" s="5">
        <v>0</v>
      </c>
      <c r="AJ577" s="5">
        <v>935.48</v>
      </c>
      <c r="AK577" s="5">
        <v>0</v>
      </c>
      <c r="AL577" s="5">
        <v>935.48</v>
      </c>
      <c r="AM577" s="8"/>
      <c r="AN577" s="8"/>
    </row>
    <row r="578" spans="1:40" ht="16" thickBot="1">
      <c r="A578" s="3">
        <v>577</v>
      </c>
      <c r="B578" s="19">
        <v>45955</v>
      </c>
      <c r="C578" s="5" t="s">
        <v>40</v>
      </c>
      <c r="D578" s="7" t="s">
        <v>41</v>
      </c>
      <c r="E578" s="6" t="s">
        <v>42</v>
      </c>
      <c r="F578" s="7" t="s">
        <v>87</v>
      </c>
      <c r="G578" s="10" t="s">
        <v>83</v>
      </c>
      <c r="H578" s="5" t="s">
        <v>84</v>
      </c>
      <c r="I578" s="5">
        <v>4</v>
      </c>
      <c r="J578" s="5">
        <v>10</v>
      </c>
      <c r="K578" s="6">
        <v>29000</v>
      </c>
      <c r="L578" s="5">
        <v>1000</v>
      </c>
      <c r="M578" s="5">
        <v>55</v>
      </c>
      <c r="N578" s="5">
        <v>31</v>
      </c>
      <c r="O578" s="6" t="s">
        <v>126</v>
      </c>
      <c r="P578" s="8"/>
      <c r="Q578" s="16">
        <v>0.10486111111111111</v>
      </c>
      <c r="R578" s="16">
        <v>0.13746527777777778</v>
      </c>
      <c r="S578" s="6">
        <v>3697</v>
      </c>
      <c r="T578" s="16">
        <v>0.31180555555555556</v>
      </c>
      <c r="U578" s="16">
        <v>0.31189814814814815</v>
      </c>
      <c r="V578" s="6">
        <v>3726</v>
      </c>
      <c r="W578" s="6">
        <v>45</v>
      </c>
      <c r="X578" s="6">
        <v>45</v>
      </c>
      <c r="Y578" s="12">
        <v>0</v>
      </c>
      <c r="Z578" s="12">
        <v>29</v>
      </c>
      <c r="AA578" s="12">
        <v>29</v>
      </c>
      <c r="AB578" s="12">
        <v>0</v>
      </c>
      <c r="AC578" s="12">
        <v>0</v>
      </c>
      <c r="AD578" s="13">
        <v>0</v>
      </c>
      <c r="AE578" s="12">
        <v>0</v>
      </c>
      <c r="AF578" s="14">
        <v>0</v>
      </c>
      <c r="AG578" s="5">
        <v>0</v>
      </c>
      <c r="AH578" s="5">
        <v>0</v>
      </c>
      <c r="AI578" s="5">
        <v>0</v>
      </c>
      <c r="AJ578" s="5">
        <v>935.48</v>
      </c>
      <c r="AK578" s="5">
        <v>0</v>
      </c>
      <c r="AL578" s="5">
        <v>935.48</v>
      </c>
      <c r="AM578" s="8"/>
      <c r="AN578" s="8"/>
    </row>
    <row r="579" spans="1:40" ht="16" thickBot="1">
      <c r="A579" s="3">
        <v>578</v>
      </c>
      <c r="B579" s="19">
        <v>45955</v>
      </c>
      <c r="C579" s="5" t="s">
        <v>40</v>
      </c>
      <c r="D579" s="5" t="s">
        <v>41</v>
      </c>
      <c r="E579" s="6" t="s">
        <v>42</v>
      </c>
      <c r="F579" s="7" t="s">
        <v>228</v>
      </c>
      <c r="G579" s="5" t="s">
        <v>83</v>
      </c>
      <c r="H579" s="5" t="s">
        <v>84</v>
      </c>
      <c r="I579" s="5">
        <v>6</v>
      </c>
      <c r="J579" s="5">
        <v>10</v>
      </c>
      <c r="K579" s="6">
        <v>38000</v>
      </c>
      <c r="L579" s="5">
        <v>2000</v>
      </c>
      <c r="M579" s="5">
        <v>55</v>
      </c>
      <c r="N579" s="5">
        <v>31</v>
      </c>
      <c r="O579" s="6" t="s">
        <v>230</v>
      </c>
      <c r="P579" s="8"/>
      <c r="Q579" s="8"/>
      <c r="R579" s="8"/>
      <c r="S579" s="6">
        <v>162153</v>
      </c>
      <c r="T579" s="8"/>
      <c r="U579" s="8"/>
      <c r="V579" s="6">
        <v>162153</v>
      </c>
      <c r="W579" s="8"/>
      <c r="X579" s="8"/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3">
        <v>0</v>
      </c>
      <c r="AE579" s="12">
        <v>0</v>
      </c>
      <c r="AF579" s="14">
        <v>0</v>
      </c>
      <c r="AG579" s="5">
        <v>0</v>
      </c>
      <c r="AH579" s="5">
        <v>0</v>
      </c>
      <c r="AI579" s="5">
        <v>0</v>
      </c>
      <c r="AJ579" s="5">
        <v>1225.81</v>
      </c>
      <c r="AK579" s="5">
        <v>0</v>
      </c>
      <c r="AL579" s="5">
        <v>1225.81</v>
      </c>
      <c r="AM579" s="8"/>
      <c r="AN579" s="8"/>
    </row>
    <row r="580" spans="1:40" ht="16" thickBot="1">
      <c r="A580" s="3">
        <v>579</v>
      </c>
      <c r="B580" s="19">
        <v>45955</v>
      </c>
      <c r="C580" s="5" t="s">
        <v>40</v>
      </c>
      <c r="D580" s="7" t="s">
        <v>41</v>
      </c>
      <c r="E580" s="6" t="s">
        <v>42</v>
      </c>
      <c r="F580" s="7" t="s">
        <v>89</v>
      </c>
      <c r="G580" s="10" t="s">
        <v>83</v>
      </c>
      <c r="H580" s="5" t="s">
        <v>84</v>
      </c>
      <c r="I580" s="5">
        <v>4</v>
      </c>
      <c r="J580" s="5">
        <v>10</v>
      </c>
      <c r="K580" s="6">
        <v>29000</v>
      </c>
      <c r="L580" s="5">
        <v>1000</v>
      </c>
      <c r="M580" s="5">
        <v>55</v>
      </c>
      <c r="N580" s="5">
        <v>31</v>
      </c>
      <c r="O580" s="6" t="s">
        <v>231</v>
      </c>
      <c r="P580" s="8"/>
      <c r="Q580" s="16">
        <v>9.2361111111111116E-2</v>
      </c>
      <c r="R580" s="16">
        <v>0.13853009259259261</v>
      </c>
      <c r="S580" s="6">
        <v>139725</v>
      </c>
      <c r="T580" s="16">
        <v>0.37861111111111106</v>
      </c>
      <c r="U580" s="16">
        <v>0.38289351851851849</v>
      </c>
      <c r="V580" s="6">
        <v>139753</v>
      </c>
      <c r="W580" s="6">
        <v>34</v>
      </c>
      <c r="X580" s="6">
        <v>40</v>
      </c>
      <c r="Y580" s="12">
        <v>-6</v>
      </c>
      <c r="Z580" s="12">
        <v>28</v>
      </c>
      <c r="AA580" s="12">
        <v>28</v>
      </c>
      <c r="AB580" s="12">
        <v>0</v>
      </c>
      <c r="AC580" s="12">
        <v>0</v>
      </c>
      <c r="AD580" s="13">
        <v>2</v>
      </c>
      <c r="AE580" s="12">
        <v>300</v>
      </c>
      <c r="AF580" s="14">
        <v>0</v>
      </c>
      <c r="AG580" s="5">
        <v>0</v>
      </c>
      <c r="AH580" s="5">
        <v>0</v>
      </c>
      <c r="AI580" s="5">
        <v>0</v>
      </c>
      <c r="AJ580" s="5">
        <v>1235.48</v>
      </c>
      <c r="AK580" s="5">
        <v>0</v>
      </c>
      <c r="AL580" s="5">
        <v>1235.48</v>
      </c>
      <c r="AM580" s="8"/>
      <c r="AN580" s="8"/>
    </row>
    <row r="581" spans="1:40" ht="16" thickBot="1">
      <c r="A581" s="3">
        <v>580</v>
      </c>
      <c r="B581" s="19">
        <v>45956</v>
      </c>
      <c r="C581" s="5" t="s">
        <v>40</v>
      </c>
      <c r="D581" s="7" t="s">
        <v>41</v>
      </c>
      <c r="E581" s="6" t="s">
        <v>42</v>
      </c>
      <c r="F581" s="7" t="s">
        <v>43</v>
      </c>
      <c r="G581" s="5" t="s">
        <v>44</v>
      </c>
      <c r="H581" s="5" t="s">
        <v>45</v>
      </c>
      <c r="I581" s="5">
        <v>4</v>
      </c>
      <c r="J581" s="5">
        <v>8</v>
      </c>
      <c r="K581" s="5">
        <v>25000</v>
      </c>
      <c r="L581" s="5">
        <v>1000</v>
      </c>
      <c r="M581" s="5">
        <v>55</v>
      </c>
      <c r="N581" s="5">
        <v>31</v>
      </c>
      <c r="O581" s="6" t="s">
        <v>46</v>
      </c>
      <c r="P581" s="8"/>
      <c r="Q581" s="16">
        <v>4.5833333333333337E-2</v>
      </c>
      <c r="R581" s="16">
        <v>0.14150462962962962</v>
      </c>
      <c r="S581" s="6">
        <v>58111</v>
      </c>
      <c r="T581" s="16">
        <v>0.29125000000000001</v>
      </c>
      <c r="U581" s="16">
        <v>0.29135416666666664</v>
      </c>
      <c r="V581" s="6">
        <v>58117</v>
      </c>
      <c r="W581" s="6">
        <v>29</v>
      </c>
      <c r="X581" s="6">
        <v>29</v>
      </c>
      <c r="Y581" s="12">
        <v>0</v>
      </c>
      <c r="Z581" s="12">
        <v>6</v>
      </c>
      <c r="AA581" s="12">
        <v>6</v>
      </c>
      <c r="AB581" s="12">
        <v>0</v>
      </c>
      <c r="AC581" s="12">
        <v>0</v>
      </c>
      <c r="AD581" s="13">
        <v>0</v>
      </c>
      <c r="AE581" s="12">
        <v>0</v>
      </c>
      <c r="AF581" s="14">
        <v>0</v>
      </c>
      <c r="AG581" s="5">
        <v>0</v>
      </c>
      <c r="AH581" s="5">
        <v>0</v>
      </c>
      <c r="AI581" s="5">
        <v>0</v>
      </c>
      <c r="AJ581" s="5">
        <v>806.45</v>
      </c>
      <c r="AK581" s="5">
        <v>0</v>
      </c>
      <c r="AL581" s="5">
        <v>806.45</v>
      </c>
      <c r="AM581" s="8"/>
      <c r="AN581" s="8"/>
    </row>
    <row r="582" spans="1:40" ht="16" thickBot="1">
      <c r="A582" s="3">
        <v>581</v>
      </c>
      <c r="B582" s="19">
        <v>45956</v>
      </c>
      <c r="C582" s="5" t="s">
        <v>40</v>
      </c>
      <c r="D582" s="7" t="s">
        <v>41</v>
      </c>
      <c r="E582" s="6" t="s">
        <v>42</v>
      </c>
      <c r="F582" s="7" t="s">
        <v>132</v>
      </c>
      <c r="G582" s="5" t="s">
        <v>44</v>
      </c>
      <c r="H582" s="5" t="s">
        <v>45</v>
      </c>
      <c r="I582" s="5">
        <v>4</v>
      </c>
      <c r="J582" s="5">
        <v>8</v>
      </c>
      <c r="K582" s="5">
        <v>25000</v>
      </c>
      <c r="L582" s="5">
        <v>1000</v>
      </c>
      <c r="M582" s="5">
        <v>55</v>
      </c>
      <c r="N582" s="5">
        <v>31</v>
      </c>
      <c r="O582" s="6" t="s">
        <v>65</v>
      </c>
      <c r="P582" s="8"/>
      <c r="Q582" s="16">
        <v>4.3055555555555562E-2</v>
      </c>
      <c r="R582" s="16">
        <v>0.14276620370370371</v>
      </c>
      <c r="S582" s="6">
        <v>110828</v>
      </c>
      <c r="T582" s="16">
        <v>0.315</v>
      </c>
      <c r="U582" s="16">
        <v>0.31510416666666669</v>
      </c>
      <c r="V582" s="6">
        <v>110853</v>
      </c>
      <c r="W582" s="6">
        <v>25</v>
      </c>
      <c r="X582" s="6">
        <v>40</v>
      </c>
      <c r="Y582" s="12">
        <v>-15</v>
      </c>
      <c r="Z582" s="12">
        <v>25</v>
      </c>
      <c r="AA582" s="12">
        <v>25</v>
      </c>
      <c r="AB582" s="12">
        <v>0</v>
      </c>
      <c r="AC582" s="12">
        <v>0</v>
      </c>
      <c r="AD582" s="13">
        <v>0</v>
      </c>
      <c r="AE582" s="12">
        <v>0</v>
      </c>
      <c r="AF582" s="14">
        <v>0</v>
      </c>
      <c r="AG582" s="5">
        <v>0</v>
      </c>
      <c r="AH582" s="5">
        <v>0</v>
      </c>
      <c r="AI582" s="5">
        <v>0</v>
      </c>
      <c r="AJ582" s="5">
        <v>806.45</v>
      </c>
      <c r="AK582" s="5">
        <v>0</v>
      </c>
      <c r="AL582" s="5">
        <v>806.45</v>
      </c>
      <c r="AM582" s="8"/>
      <c r="AN582" s="8"/>
    </row>
    <row r="583" spans="1:40" ht="16" thickBot="1">
      <c r="A583" s="3">
        <v>582</v>
      </c>
      <c r="B583" s="19">
        <v>45956</v>
      </c>
      <c r="C583" s="5" t="s">
        <v>40</v>
      </c>
      <c r="D583" s="7" t="s">
        <v>41</v>
      </c>
      <c r="E583" s="6" t="s">
        <v>42</v>
      </c>
      <c r="F583" s="7" t="s">
        <v>49</v>
      </c>
      <c r="G583" s="5" t="s">
        <v>44</v>
      </c>
      <c r="H583" s="5" t="s">
        <v>45</v>
      </c>
      <c r="I583" s="5">
        <v>6</v>
      </c>
      <c r="J583" s="5">
        <v>8</v>
      </c>
      <c r="K583" s="5">
        <v>33000</v>
      </c>
      <c r="L583" s="5">
        <v>2000</v>
      </c>
      <c r="M583" s="5">
        <v>55</v>
      </c>
      <c r="N583" s="5">
        <v>31</v>
      </c>
      <c r="O583" s="6" t="s">
        <v>50</v>
      </c>
      <c r="P583" s="8"/>
      <c r="Q583" s="16">
        <v>4.1666666666666664E-2</v>
      </c>
      <c r="R583" s="16">
        <v>0.14469907407407409</v>
      </c>
      <c r="S583" s="6">
        <v>101688</v>
      </c>
      <c r="T583" s="16">
        <v>0.31729166666666669</v>
      </c>
      <c r="U583" s="16">
        <v>0.31737268518518519</v>
      </c>
      <c r="V583" s="6">
        <v>101739</v>
      </c>
      <c r="W583" s="6">
        <v>34</v>
      </c>
      <c r="X583" s="6">
        <v>34</v>
      </c>
      <c r="Y583" s="12">
        <v>0</v>
      </c>
      <c r="Z583" s="12">
        <v>51</v>
      </c>
      <c r="AA583" s="12">
        <v>51</v>
      </c>
      <c r="AB583" s="12">
        <v>0</v>
      </c>
      <c r="AC583" s="12">
        <v>0</v>
      </c>
      <c r="AD583" s="13">
        <v>0</v>
      </c>
      <c r="AE583" s="12">
        <v>0</v>
      </c>
      <c r="AF583" s="14">
        <v>0</v>
      </c>
      <c r="AG583" s="5">
        <v>0</v>
      </c>
      <c r="AH583" s="5">
        <v>0</v>
      </c>
      <c r="AI583" s="5">
        <v>0</v>
      </c>
      <c r="AJ583" s="5">
        <v>1064.52</v>
      </c>
      <c r="AK583" s="5">
        <v>0</v>
      </c>
      <c r="AL583" s="5">
        <v>1064.52</v>
      </c>
      <c r="AM583" s="8"/>
      <c r="AN583" s="8"/>
    </row>
    <row r="584" spans="1:40" ht="16" thickBot="1">
      <c r="A584" s="3">
        <v>583</v>
      </c>
      <c r="B584" s="19">
        <v>45956</v>
      </c>
      <c r="C584" s="5" t="s">
        <v>40</v>
      </c>
      <c r="D584" s="7" t="s">
        <v>41</v>
      </c>
      <c r="E584" s="6" t="s">
        <v>42</v>
      </c>
      <c r="F584" s="7" t="s">
        <v>51</v>
      </c>
      <c r="G584" s="5" t="s">
        <v>44</v>
      </c>
      <c r="H584" s="5" t="s">
        <v>45</v>
      </c>
      <c r="I584" s="5">
        <v>4</v>
      </c>
      <c r="J584" s="5">
        <v>8</v>
      </c>
      <c r="K584" s="5">
        <v>25000</v>
      </c>
      <c r="L584" s="5">
        <v>1000</v>
      </c>
      <c r="M584" s="5">
        <v>55</v>
      </c>
      <c r="N584" s="5">
        <v>31</v>
      </c>
      <c r="O584" s="6" t="s">
        <v>46</v>
      </c>
      <c r="P584" s="8"/>
      <c r="Q584" s="16">
        <v>0.12152777777777778</v>
      </c>
      <c r="R584" s="16">
        <v>0.33357638888888891</v>
      </c>
      <c r="S584" s="6">
        <v>84376</v>
      </c>
      <c r="T584" s="16">
        <v>0.33368055555555554</v>
      </c>
      <c r="U584" s="16">
        <v>0.33436342592592588</v>
      </c>
      <c r="V584" s="6">
        <v>84376</v>
      </c>
      <c r="W584" s="6">
        <v>0</v>
      </c>
      <c r="X584" s="6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3">
        <v>0</v>
      </c>
      <c r="AE584" s="12">
        <v>0</v>
      </c>
      <c r="AF584" s="14">
        <v>0</v>
      </c>
      <c r="AG584" s="5">
        <v>0</v>
      </c>
      <c r="AH584" s="5">
        <v>0</v>
      </c>
      <c r="AI584" s="5">
        <v>0</v>
      </c>
      <c r="AJ584" s="5">
        <v>806.45</v>
      </c>
      <c r="AK584" s="5">
        <v>0</v>
      </c>
      <c r="AL584" s="5">
        <v>806.45</v>
      </c>
      <c r="AM584" s="8"/>
      <c r="AN584" s="8"/>
    </row>
    <row r="585" spans="1:40" ht="16" thickBot="1">
      <c r="A585" s="3">
        <v>584</v>
      </c>
      <c r="B585" s="19">
        <v>45956</v>
      </c>
      <c r="C585" s="5" t="s">
        <v>40</v>
      </c>
      <c r="D585" s="7" t="s">
        <v>41</v>
      </c>
      <c r="E585" s="6" t="s">
        <v>42</v>
      </c>
      <c r="F585" s="7" t="s">
        <v>145</v>
      </c>
      <c r="G585" s="5" t="s">
        <v>44</v>
      </c>
      <c r="H585" s="5" t="s">
        <v>45</v>
      </c>
      <c r="I585" s="5">
        <v>4</v>
      </c>
      <c r="J585" s="5">
        <v>8</v>
      </c>
      <c r="K585" s="5">
        <v>25000</v>
      </c>
      <c r="L585" s="5">
        <v>1000</v>
      </c>
      <c r="M585" s="5">
        <v>55</v>
      </c>
      <c r="N585" s="5">
        <v>31</v>
      </c>
      <c r="O585" s="6" t="s">
        <v>52</v>
      </c>
      <c r="P585" s="8"/>
      <c r="Q585" s="16">
        <v>4.3750000000000004E-2</v>
      </c>
      <c r="R585" s="16">
        <v>0.13428240740740741</v>
      </c>
      <c r="S585" s="6">
        <v>39272</v>
      </c>
      <c r="T585" s="16">
        <v>0.31555555555555553</v>
      </c>
      <c r="U585" s="16">
        <v>0.31569444444444444</v>
      </c>
      <c r="V585" s="6">
        <v>39360</v>
      </c>
      <c r="W585" s="6">
        <v>34</v>
      </c>
      <c r="X585" s="6">
        <v>22</v>
      </c>
      <c r="Y585" s="12">
        <v>12</v>
      </c>
      <c r="Z585" s="12">
        <v>88</v>
      </c>
      <c r="AA585" s="12">
        <v>88</v>
      </c>
      <c r="AB585" s="12">
        <v>0</v>
      </c>
      <c r="AC585" s="12">
        <v>0</v>
      </c>
      <c r="AD585" s="13">
        <v>0</v>
      </c>
      <c r="AE585" s="12">
        <v>0</v>
      </c>
      <c r="AF585" s="14">
        <v>0</v>
      </c>
      <c r="AG585" s="5">
        <v>0</v>
      </c>
      <c r="AH585" s="5">
        <v>0</v>
      </c>
      <c r="AI585" s="5">
        <v>0</v>
      </c>
      <c r="AJ585" s="5">
        <v>806.45</v>
      </c>
      <c r="AK585" s="5">
        <v>0</v>
      </c>
      <c r="AL585" s="5">
        <v>806.45</v>
      </c>
      <c r="AM585" s="8"/>
      <c r="AN585" s="8"/>
    </row>
    <row r="586" spans="1:40" ht="16" thickBot="1">
      <c r="A586" s="3">
        <v>585</v>
      </c>
      <c r="B586" s="19">
        <v>45956</v>
      </c>
      <c r="C586" s="5" t="s">
        <v>40</v>
      </c>
      <c r="D586" s="7" t="s">
        <v>41</v>
      </c>
      <c r="E586" s="6" t="s">
        <v>42</v>
      </c>
      <c r="F586" s="7" t="s">
        <v>53</v>
      </c>
      <c r="G586" s="5" t="s">
        <v>44</v>
      </c>
      <c r="H586" s="5" t="s">
        <v>45</v>
      </c>
      <c r="I586" s="5">
        <v>4</v>
      </c>
      <c r="J586" s="5">
        <v>8</v>
      </c>
      <c r="K586" s="5">
        <v>25000</v>
      </c>
      <c r="L586" s="5">
        <v>1000</v>
      </c>
      <c r="M586" s="5">
        <v>55</v>
      </c>
      <c r="N586" s="5">
        <v>31</v>
      </c>
      <c r="O586" s="6" t="s">
        <v>127</v>
      </c>
      <c r="P586" s="8"/>
      <c r="Q586" s="16">
        <v>0.11875000000000001</v>
      </c>
      <c r="R586" s="16">
        <v>0.15336805555555555</v>
      </c>
      <c r="S586" s="6">
        <v>13035</v>
      </c>
      <c r="T586" s="16">
        <v>0.3923726851851852</v>
      </c>
      <c r="U586" s="16">
        <v>0.39247685185185183</v>
      </c>
      <c r="V586" s="6">
        <v>13044</v>
      </c>
      <c r="W586" s="6">
        <v>36</v>
      </c>
      <c r="X586" s="6">
        <v>37</v>
      </c>
      <c r="Y586" s="12">
        <v>-1</v>
      </c>
      <c r="Z586" s="12">
        <v>9</v>
      </c>
      <c r="AA586" s="12">
        <v>9</v>
      </c>
      <c r="AB586" s="12">
        <v>0</v>
      </c>
      <c r="AC586" s="12">
        <v>0</v>
      </c>
      <c r="AD586" s="13">
        <v>2</v>
      </c>
      <c r="AE586" s="12">
        <v>300</v>
      </c>
      <c r="AF586" s="14">
        <v>0</v>
      </c>
      <c r="AG586" s="5">
        <v>0</v>
      </c>
      <c r="AH586" s="5">
        <v>0</v>
      </c>
      <c r="AI586" s="5">
        <v>0</v>
      </c>
      <c r="AJ586" s="5">
        <v>1106.45</v>
      </c>
      <c r="AK586" s="5">
        <v>0</v>
      </c>
      <c r="AL586" s="5">
        <v>1106.45</v>
      </c>
      <c r="AM586" s="8"/>
      <c r="AN586" s="8"/>
    </row>
    <row r="587" spans="1:40" ht="16" thickBot="1">
      <c r="A587" s="3">
        <v>586</v>
      </c>
      <c r="B587" s="19">
        <v>45956</v>
      </c>
      <c r="C587" s="5" t="s">
        <v>40</v>
      </c>
      <c r="D587" s="7" t="s">
        <v>41</v>
      </c>
      <c r="E587" s="6" t="s">
        <v>42</v>
      </c>
      <c r="F587" s="7" t="s">
        <v>55</v>
      </c>
      <c r="G587" s="5" t="s">
        <v>44</v>
      </c>
      <c r="H587" s="5" t="s">
        <v>45</v>
      </c>
      <c r="I587" s="5">
        <v>4</v>
      </c>
      <c r="J587" s="5">
        <v>8</v>
      </c>
      <c r="K587" s="5">
        <v>25000</v>
      </c>
      <c r="L587" s="5">
        <v>1000</v>
      </c>
      <c r="M587" s="5">
        <v>55</v>
      </c>
      <c r="N587" s="5">
        <v>31</v>
      </c>
      <c r="O587" s="6" t="s">
        <v>56</v>
      </c>
      <c r="P587" s="8"/>
      <c r="Q587" s="16">
        <v>8.6805555555555566E-2</v>
      </c>
      <c r="R587" s="16">
        <v>0.14032407407407407</v>
      </c>
      <c r="S587" s="6">
        <v>145553</v>
      </c>
      <c r="T587" s="16">
        <v>0.30812499999999998</v>
      </c>
      <c r="U587" s="16">
        <v>0.30824074074074076</v>
      </c>
      <c r="V587" s="6">
        <v>145570</v>
      </c>
      <c r="W587" s="6">
        <v>25</v>
      </c>
      <c r="X587" s="6">
        <v>25</v>
      </c>
      <c r="Y587" s="12">
        <v>0</v>
      </c>
      <c r="Z587" s="12">
        <v>17</v>
      </c>
      <c r="AA587" s="12">
        <v>17</v>
      </c>
      <c r="AB587" s="12">
        <v>0</v>
      </c>
      <c r="AC587" s="12">
        <v>0</v>
      </c>
      <c r="AD587" s="13">
        <v>0</v>
      </c>
      <c r="AE587" s="12">
        <v>0</v>
      </c>
      <c r="AF587" s="14">
        <v>0</v>
      </c>
      <c r="AG587" s="5">
        <v>0</v>
      </c>
      <c r="AH587" s="5">
        <v>0</v>
      </c>
      <c r="AI587" s="5">
        <v>0</v>
      </c>
      <c r="AJ587" s="5">
        <v>806.45</v>
      </c>
      <c r="AK587" s="5">
        <v>0</v>
      </c>
      <c r="AL587" s="5">
        <v>806.45</v>
      </c>
      <c r="AM587" s="8"/>
      <c r="AN587" s="8"/>
    </row>
    <row r="588" spans="1:40" ht="16" thickBot="1">
      <c r="A588" s="3">
        <v>587</v>
      </c>
      <c r="B588" s="19">
        <v>45956</v>
      </c>
      <c r="C588" s="5" t="s">
        <v>40</v>
      </c>
      <c r="D588" s="7" t="s">
        <v>41</v>
      </c>
      <c r="E588" s="6" t="s">
        <v>42</v>
      </c>
      <c r="F588" s="7" t="s">
        <v>176</v>
      </c>
      <c r="G588" s="5" t="s">
        <v>44</v>
      </c>
      <c r="H588" s="5" t="s">
        <v>45</v>
      </c>
      <c r="I588" s="5">
        <v>4</v>
      </c>
      <c r="J588" s="5">
        <v>8</v>
      </c>
      <c r="K588" s="5">
        <v>25000</v>
      </c>
      <c r="L588" s="5">
        <v>1000</v>
      </c>
      <c r="M588" s="5">
        <v>55</v>
      </c>
      <c r="N588" s="5">
        <v>31</v>
      </c>
      <c r="O588" s="6" t="s">
        <v>155</v>
      </c>
      <c r="P588" s="8"/>
      <c r="Q588" s="16">
        <v>4.3055555555555562E-2</v>
      </c>
      <c r="R588" s="16">
        <v>0.14498842592592592</v>
      </c>
      <c r="S588" s="6">
        <v>166041</v>
      </c>
      <c r="T588" s="16">
        <v>0.33481481481481484</v>
      </c>
      <c r="U588" s="16">
        <v>0.33490740740740743</v>
      </c>
      <c r="V588" s="6">
        <v>166062</v>
      </c>
      <c r="W588" s="6">
        <v>32</v>
      </c>
      <c r="X588" s="6">
        <v>32</v>
      </c>
      <c r="Y588" s="12">
        <v>0</v>
      </c>
      <c r="Z588" s="12">
        <v>21</v>
      </c>
      <c r="AA588" s="12">
        <v>21</v>
      </c>
      <c r="AB588" s="12">
        <v>0</v>
      </c>
      <c r="AC588" s="12">
        <v>0</v>
      </c>
      <c r="AD588" s="13">
        <v>1</v>
      </c>
      <c r="AE588" s="12">
        <v>150</v>
      </c>
      <c r="AF588" s="14">
        <v>0</v>
      </c>
      <c r="AG588" s="5">
        <v>0</v>
      </c>
      <c r="AH588" s="5">
        <v>0</v>
      </c>
      <c r="AI588" s="5">
        <v>0</v>
      </c>
      <c r="AJ588" s="5">
        <v>956.45</v>
      </c>
      <c r="AK588" s="5">
        <v>0</v>
      </c>
      <c r="AL588" s="5">
        <v>956.45</v>
      </c>
      <c r="AM588" s="8"/>
      <c r="AN588" s="8"/>
    </row>
    <row r="589" spans="1:40" ht="16" thickBot="1">
      <c r="A589" s="3">
        <v>588</v>
      </c>
      <c r="B589" s="19">
        <v>45956</v>
      </c>
      <c r="C589" s="5" t="s">
        <v>40</v>
      </c>
      <c r="D589" s="7" t="s">
        <v>41</v>
      </c>
      <c r="E589" s="6" t="s">
        <v>42</v>
      </c>
      <c r="F589" s="7" t="s">
        <v>182</v>
      </c>
      <c r="G589" s="5" t="s">
        <v>44</v>
      </c>
      <c r="H589" s="5" t="s">
        <v>45</v>
      </c>
      <c r="I589" s="5">
        <v>4</v>
      </c>
      <c r="J589" s="5">
        <v>8</v>
      </c>
      <c r="K589" s="5">
        <v>25000</v>
      </c>
      <c r="L589" s="5">
        <v>1000</v>
      </c>
      <c r="M589" s="5">
        <v>55</v>
      </c>
      <c r="N589" s="5">
        <v>31</v>
      </c>
      <c r="O589" s="6" t="s">
        <v>152</v>
      </c>
      <c r="P589" s="8"/>
      <c r="Q589" s="16">
        <v>4.3055555555555562E-2</v>
      </c>
      <c r="R589" s="16">
        <v>0.14604166666666665</v>
      </c>
      <c r="S589" s="6">
        <v>116698</v>
      </c>
      <c r="T589" s="16">
        <v>0.33394675925925926</v>
      </c>
      <c r="U589" s="16">
        <v>0.33402777777777781</v>
      </c>
      <c r="V589" s="6">
        <v>116725</v>
      </c>
      <c r="W589" s="6">
        <v>29</v>
      </c>
      <c r="X589" s="6">
        <v>53</v>
      </c>
      <c r="Y589" s="12">
        <v>-24</v>
      </c>
      <c r="Z589" s="12">
        <v>27</v>
      </c>
      <c r="AA589" s="12">
        <v>27</v>
      </c>
      <c r="AB589" s="12">
        <v>0</v>
      </c>
      <c r="AC589" s="12">
        <v>0</v>
      </c>
      <c r="AD589" s="13">
        <v>0</v>
      </c>
      <c r="AE589" s="12">
        <v>0</v>
      </c>
      <c r="AF589" s="14">
        <v>0</v>
      </c>
      <c r="AG589" s="5">
        <v>0</v>
      </c>
      <c r="AH589" s="5">
        <v>0</v>
      </c>
      <c r="AI589" s="5">
        <v>0</v>
      </c>
      <c r="AJ589" s="5">
        <v>806.45</v>
      </c>
      <c r="AK589" s="5">
        <v>0</v>
      </c>
      <c r="AL589" s="5">
        <v>806.45</v>
      </c>
      <c r="AM589" s="8"/>
      <c r="AN589" s="8"/>
    </row>
    <row r="590" spans="1:40" ht="16" thickBot="1">
      <c r="A590" s="3">
        <v>589</v>
      </c>
      <c r="B590" s="19">
        <v>45956</v>
      </c>
      <c r="C590" s="5" t="s">
        <v>40</v>
      </c>
      <c r="D590" s="7" t="s">
        <v>41</v>
      </c>
      <c r="E590" s="6" t="s">
        <v>42</v>
      </c>
      <c r="F590" s="7" t="s">
        <v>57</v>
      </c>
      <c r="G590" s="5" t="s">
        <v>44</v>
      </c>
      <c r="H590" s="5" t="s">
        <v>45</v>
      </c>
      <c r="I590" s="5">
        <v>4</v>
      </c>
      <c r="J590" s="5">
        <v>8</v>
      </c>
      <c r="K590" s="5">
        <v>25000</v>
      </c>
      <c r="L590" s="5">
        <v>1000</v>
      </c>
      <c r="M590" s="5">
        <v>55</v>
      </c>
      <c r="N590" s="5">
        <v>31</v>
      </c>
      <c r="O590" s="6" t="s">
        <v>58</v>
      </c>
      <c r="P590" s="8"/>
      <c r="Q590" s="16">
        <v>4.3750000000000004E-2</v>
      </c>
      <c r="R590" s="16">
        <v>0.14512731481481481</v>
      </c>
      <c r="S590" s="6">
        <v>145951</v>
      </c>
      <c r="T590" s="16">
        <v>0.33417824074074076</v>
      </c>
      <c r="U590" s="16">
        <v>0.33427083333333335</v>
      </c>
      <c r="V590" s="6">
        <v>145978</v>
      </c>
      <c r="W590" s="6">
        <v>33</v>
      </c>
      <c r="X590" s="6">
        <v>33</v>
      </c>
      <c r="Y590" s="12">
        <v>0</v>
      </c>
      <c r="Z590" s="12">
        <v>27</v>
      </c>
      <c r="AA590" s="12">
        <v>27</v>
      </c>
      <c r="AB590" s="12">
        <v>0</v>
      </c>
      <c r="AC590" s="12">
        <v>0</v>
      </c>
      <c r="AD590" s="13">
        <v>1</v>
      </c>
      <c r="AE590" s="12">
        <v>150</v>
      </c>
      <c r="AF590" s="14">
        <v>0</v>
      </c>
      <c r="AG590" s="5">
        <v>0</v>
      </c>
      <c r="AH590" s="5">
        <v>0</v>
      </c>
      <c r="AI590" s="5">
        <v>0</v>
      </c>
      <c r="AJ590" s="5">
        <v>956.45</v>
      </c>
      <c r="AK590" s="5">
        <v>0</v>
      </c>
      <c r="AL590" s="5">
        <v>956.45</v>
      </c>
      <c r="AM590" s="8"/>
      <c r="AN590" s="8"/>
    </row>
    <row r="591" spans="1:40" ht="16" thickBot="1">
      <c r="A591" s="3">
        <v>590</v>
      </c>
      <c r="B591" s="19">
        <v>45956</v>
      </c>
      <c r="C591" s="5" t="s">
        <v>40</v>
      </c>
      <c r="D591" s="7" t="s">
        <v>41</v>
      </c>
      <c r="E591" s="6" t="s">
        <v>42</v>
      </c>
      <c r="F591" s="7" t="s">
        <v>59</v>
      </c>
      <c r="G591" s="5" t="s">
        <v>44</v>
      </c>
      <c r="H591" s="5" t="s">
        <v>45</v>
      </c>
      <c r="I591" s="5">
        <v>4</v>
      </c>
      <c r="J591" s="5">
        <v>8</v>
      </c>
      <c r="K591" s="5">
        <v>25000</v>
      </c>
      <c r="L591" s="5">
        <v>1000</v>
      </c>
      <c r="M591" s="5">
        <v>55</v>
      </c>
      <c r="N591" s="5">
        <v>31</v>
      </c>
      <c r="O591" s="6" t="s">
        <v>170</v>
      </c>
      <c r="P591" s="8"/>
      <c r="Q591" s="16">
        <v>0.11875000000000001</v>
      </c>
      <c r="R591" s="16">
        <v>0.14675925925925926</v>
      </c>
      <c r="S591" s="6">
        <v>160083</v>
      </c>
      <c r="T591" s="16">
        <v>0.34030092592592592</v>
      </c>
      <c r="U591" s="16">
        <v>0.34046296296296297</v>
      </c>
      <c r="V591" s="6">
        <v>160104</v>
      </c>
      <c r="W591" s="6">
        <v>23</v>
      </c>
      <c r="X591" s="6">
        <v>0</v>
      </c>
      <c r="Y591" s="12">
        <v>23</v>
      </c>
      <c r="Z591" s="12">
        <v>21</v>
      </c>
      <c r="AA591" s="12">
        <v>21</v>
      </c>
      <c r="AB591" s="12">
        <v>0</v>
      </c>
      <c r="AC591" s="12">
        <v>0</v>
      </c>
      <c r="AD591" s="13">
        <v>1</v>
      </c>
      <c r="AE591" s="12">
        <v>150</v>
      </c>
      <c r="AF591" s="14">
        <v>0</v>
      </c>
      <c r="AG591" s="5">
        <v>0</v>
      </c>
      <c r="AH591" s="5">
        <v>0</v>
      </c>
      <c r="AI591" s="5">
        <v>0</v>
      </c>
      <c r="AJ591" s="5">
        <v>956.45</v>
      </c>
      <c r="AK591" s="5">
        <v>0</v>
      </c>
      <c r="AL591" s="5">
        <v>956.45</v>
      </c>
      <c r="AM591" s="8"/>
      <c r="AN591" s="8"/>
    </row>
    <row r="592" spans="1:40" ht="16" thickBot="1">
      <c r="A592" s="3">
        <v>591</v>
      </c>
      <c r="B592" s="19">
        <v>45956</v>
      </c>
      <c r="C592" s="5" t="s">
        <v>40</v>
      </c>
      <c r="D592" s="7" t="s">
        <v>41</v>
      </c>
      <c r="E592" s="6" t="s">
        <v>42</v>
      </c>
      <c r="F592" s="7" t="s">
        <v>97</v>
      </c>
      <c r="G592" s="5" t="s">
        <v>44</v>
      </c>
      <c r="H592" s="5" t="s">
        <v>45</v>
      </c>
      <c r="I592" s="5">
        <v>4</v>
      </c>
      <c r="J592" s="5">
        <v>8</v>
      </c>
      <c r="K592" s="5">
        <v>25000</v>
      </c>
      <c r="L592" s="5">
        <v>1000</v>
      </c>
      <c r="M592" s="5">
        <v>55</v>
      </c>
      <c r="N592" s="5">
        <v>31</v>
      </c>
      <c r="O592" s="6" t="s">
        <v>221</v>
      </c>
      <c r="P592" s="8"/>
      <c r="Q592" s="16">
        <v>4.9305555555555554E-2</v>
      </c>
      <c r="R592" s="16">
        <v>0.13579861111111111</v>
      </c>
      <c r="S592" s="6">
        <v>79302</v>
      </c>
      <c r="T592" s="16">
        <v>0.30520833333333336</v>
      </c>
      <c r="U592" s="16">
        <v>0.30531249999999999</v>
      </c>
      <c r="V592" s="6">
        <v>79337</v>
      </c>
      <c r="W592" s="6">
        <v>34</v>
      </c>
      <c r="X592" s="6">
        <v>34</v>
      </c>
      <c r="Y592" s="12">
        <v>0</v>
      </c>
      <c r="Z592" s="12">
        <v>35</v>
      </c>
      <c r="AA592" s="12">
        <v>35</v>
      </c>
      <c r="AB592" s="12">
        <v>0</v>
      </c>
      <c r="AC592" s="12">
        <v>0</v>
      </c>
      <c r="AD592" s="13">
        <v>0</v>
      </c>
      <c r="AE592" s="12">
        <v>0</v>
      </c>
      <c r="AF592" s="14">
        <v>0</v>
      </c>
      <c r="AG592" s="5">
        <v>0</v>
      </c>
      <c r="AH592" s="5">
        <v>0</v>
      </c>
      <c r="AI592" s="5">
        <v>0</v>
      </c>
      <c r="AJ592" s="5">
        <v>806.45</v>
      </c>
      <c r="AK592" s="5">
        <v>0</v>
      </c>
      <c r="AL592" s="5">
        <v>806.45</v>
      </c>
      <c r="AM592" s="8"/>
      <c r="AN592" s="8"/>
    </row>
    <row r="593" spans="1:40" ht="16" thickBot="1">
      <c r="A593" s="3">
        <v>592</v>
      </c>
      <c r="B593" s="19">
        <v>45956</v>
      </c>
      <c r="C593" s="5" t="s">
        <v>40</v>
      </c>
      <c r="D593" s="7" t="s">
        <v>41</v>
      </c>
      <c r="E593" s="6" t="s">
        <v>42</v>
      </c>
      <c r="F593" s="7" t="s">
        <v>62</v>
      </c>
      <c r="G593" s="5" t="s">
        <v>44</v>
      </c>
      <c r="H593" s="5" t="s">
        <v>45</v>
      </c>
      <c r="I593" s="5">
        <v>6</v>
      </c>
      <c r="J593" s="5">
        <v>8</v>
      </c>
      <c r="K593" s="5">
        <v>33000</v>
      </c>
      <c r="L593" s="5">
        <v>2000</v>
      </c>
      <c r="M593" s="5">
        <v>55</v>
      </c>
      <c r="N593" s="5">
        <v>31</v>
      </c>
      <c r="O593" s="6" t="s">
        <v>167</v>
      </c>
      <c r="P593" s="8"/>
      <c r="Q593" s="16">
        <v>4.2361111111111106E-2</v>
      </c>
      <c r="R593" s="16">
        <v>0.14484953703703704</v>
      </c>
      <c r="S593" s="6">
        <v>48803</v>
      </c>
      <c r="T593" s="16">
        <v>0.3304050925925926</v>
      </c>
      <c r="U593" s="16">
        <v>0.33200231481481485</v>
      </c>
      <c r="V593" s="6">
        <v>48862</v>
      </c>
      <c r="W593" s="6">
        <v>20</v>
      </c>
      <c r="X593" s="6">
        <v>58</v>
      </c>
      <c r="Y593" s="12">
        <v>-38</v>
      </c>
      <c r="Z593" s="12">
        <v>59</v>
      </c>
      <c r="AA593" s="12">
        <v>59</v>
      </c>
      <c r="AB593" s="12">
        <v>0</v>
      </c>
      <c r="AC593" s="12">
        <v>0</v>
      </c>
      <c r="AD593" s="13">
        <v>0</v>
      </c>
      <c r="AE593" s="12">
        <v>0</v>
      </c>
      <c r="AF593" s="14">
        <v>0</v>
      </c>
      <c r="AG593" s="5">
        <v>0</v>
      </c>
      <c r="AH593" s="5">
        <v>0</v>
      </c>
      <c r="AI593" s="5">
        <v>0</v>
      </c>
      <c r="AJ593" s="5">
        <v>1064.52</v>
      </c>
      <c r="AK593" s="5">
        <v>0</v>
      </c>
      <c r="AL593" s="5">
        <v>1064.52</v>
      </c>
      <c r="AM593" s="8"/>
      <c r="AN593" s="8"/>
    </row>
    <row r="594" spans="1:40" ht="16" thickBot="1">
      <c r="A594" s="3">
        <v>593</v>
      </c>
      <c r="B594" s="19">
        <v>45956</v>
      </c>
      <c r="C594" s="5" t="s">
        <v>40</v>
      </c>
      <c r="D594" s="7" t="s">
        <v>41</v>
      </c>
      <c r="E594" s="6" t="s">
        <v>42</v>
      </c>
      <c r="F594" s="7" t="s">
        <v>101</v>
      </c>
      <c r="G594" s="5" t="s">
        <v>44</v>
      </c>
      <c r="H594" s="5" t="s">
        <v>45</v>
      </c>
      <c r="I594" s="5">
        <v>4</v>
      </c>
      <c r="J594" s="5">
        <v>8</v>
      </c>
      <c r="K594" s="5">
        <v>25000</v>
      </c>
      <c r="L594" s="5">
        <v>1000</v>
      </c>
      <c r="M594" s="5">
        <v>55</v>
      </c>
      <c r="N594" s="5">
        <v>31</v>
      </c>
      <c r="O594" s="6" t="s">
        <v>67</v>
      </c>
      <c r="P594" s="8"/>
      <c r="Q594" s="16">
        <v>8.7500000000000008E-2</v>
      </c>
      <c r="R594" s="16">
        <v>0.1398263888888889</v>
      </c>
      <c r="S594" s="6">
        <v>119014</v>
      </c>
      <c r="T594" s="16">
        <v>0.31140046296296298</v>
      </c>
      <c r="U594" s="16">
        <v>0.31160879629629629</v>
      </c>
      <c r="V594" s="6">
        <v>119037</v>
      </c>
      <c r="W594" s="6">
        <v>12</v>
      </c>
      <c r="X594" s="6">
        <v>12</v>
      </c>
      <c r="Y594" s="12">
        <v>0</v>
      </c>
      <c r="Z594" s="12">
        <v>23</v>
      </c>
      <c r="AA594" s="12">
        <v>23</v>
      </c>
      <c r="AB594" s="12">
        <v>0</v>
      </c>
      <c r="AC594" s="12">
        <v>0</v>
      </c>
      <c r="AD594" s="13">
        <v>0</v>
      </c>
      <c r="AE594" s="12">
        <v>0</v>
      </c>
      <c r="AF594" s="14">
        <v>0</v>
      </c>
      <c r="AG594" s="5">
        <v>0</v>
      </c>
      <c r="AH594" s="5">
        <v>0</v>
      </c>
      <c r="AI594" s="5">
        <v>0</v>
      </c>
      <c r="AJ594" s="5">
        <v>806.45</v>
      </c>
      <c r="AK594" s="5">
        <v>0</v>
      </c>
      <c r="AL594" s="5">
        <v>806.45</v>
      </c>
      <c r="AM594" s="8"/>
      <c r="AN594" s="8"/>
    </row>
    <row r="595" spans="1:40" ht="16" thickBot="1">
      <c r="A595" s="3">
        <v>594</v>
      </c>
      <c r="B595" s="19">
        <v>45956</v>
      </c>
      <c r="C595" s="5" t="s">
        <v>40</v>
      </c>
      <c r="D595" s="7" t="s">
        <v>41</v>
      </c>
      <c r="E595" s="6" t="s">
        <v>42</v>
      </c>
      <c r="F595" s="7" t="s">
        <v>185</v>
      </c>
      <c r="G595" s="5" t="s">
        <v>44</v>
      </c>
      <c r="H595" s="5" t="s">
        <v>45</v>
      </c>
      <c r="I595" s="5">
        <v>4</v>
      </c>
      <c r="J595" s="5">
        <v>8</v>
      </c>
      <c r="K595" s="5">
        <v>25000</v>
      </c>
      <c r="L595" s="5">
        <v>1000</v>
      </c>
      <c r="M595" s="5">
        <v>55</v>
      </c>
      <c r="N595" s="5">
        <v>31</v>
      </c>
      <c r="O595" s="6" t="s">
        <v>186</v>
      </c>
      <c r="P595" s="8"/>
      <c r="Q595" s="16">
        <v>5.5555555555555552E-2</v>
      </c>
      <c r="R595" s="16">
        <v>0.14546296296296296</v>
      </c>
      <c r="S595" s="6">
        <v>66592</v>
      </c>
      <c r="T595" s="16">
        <v>0.39072916666666663</v>
      </c>
      <c r="U595" s="16">
        <v>0.39101851851851849</v>
      </c>
      <c r="V595" s="6">
        <v>66601</v>
      </c>
      <c r="W595" s="6">
        <v>34</v>
      </c>
      <c r="X595" s="6">
        <v>24</v>
      </c>
      <c r="Y595" s="12">
        <v>10</v>
      </c>
      <c r="Z595" s="12">
        <v>9</v>
      </c>
      <c r="AA595" s="12">
        <v>9</v>
      </c>
      <c r="AB595" s="12">
        <v>0</v>
      </c>
      <c r="AC595" s="12">
        <v>0</v>
      </c>
      <c r="AD595" s="13">
        <v>2</v>
      </c>
      <c r="AE595" s="12">
        <v>300</v>
      </c>
      <c r="AF595" s="14">
        <v>0</v>
      </c>
      <c r="AG595" s="5">
        <v>0</v>
      </c>
      <c r="AH595" s="5">
        <v>0</v>
      </c>
      <c r="AI595" s="5">
        <v>0</v>
      </c>
      <c r="AJ595" s="5">
        <v>1106.45</v>
      </c>
      <c r="AK595" s="5">
        <v>0</v>
      </c>
      <c r="AL595" s="5">
        <v>1106.45</v>
      </c>
      <c r="AM595" s="8"/>
      <c r="AN595" s="8"/>
    </row>
    <row r="596" spans="1:40" ht="16" thickBot="1">
      <c r="A596" s="3">
        <v>595</v>
      </c>
      <c r="B596" s="19">
        <v>45956</v>
      </c>
      <c r="C596" s="5" t="s">
        <v>40</v>
      </c>
      <c r="D596" s="7" t="s">
        <v>41</v>
      </c>
      <c r="E596" s="6" t="s">
        <v>42</v>
      </c>
      <c r="F596" s="7" t="s">
        <v>68</v>
      </c>
      <c r="G596" s="5" t="s">
        <v>44</v>
      </c>
      <c r="H596" s="5" t="s">
        <v>45</v>
      </c>
      <c r="I596" s="5">
        <v>4</v>
      </c>
      <c r="J596" s="5">
        <v>8</v>
      </c>
      <c r="K596" s="5">
        <v>25000</v>
      </c>
      <c r="L596" s="5">
        <v>1000</v>
      </c>
      <c r="M596" s="5">
        <v>55</v>
      </c>
      <c r="N596" s="5">
        <v>31</v>
      </c>
      <c r="O596" s="6" t="s">
        <v>81</v>
      </c>
      <c r="P596" s="8"/>
      <c r="Q596" s="16">
        <v>4.5833333333333337E-2</v>
      </c>
      <c r="R596" s="16">
        <v>0.13936342592592593</v>
      </c>
      <c r="S596" s="6">
        <v>85635</v>
      </c>
      <c r="T596" s="16">
        <v>0.3059837962962963</v>
      </c>
      <c r="U596" s="16">
        <v>0.30607638888888888</v>
      </c>
      <c r="V596" s="6">
        <v>85652</v>
      </c>
      <c r="W596" s="6">
        <v>22</v>
      </c>
      <c r="X596" s="6">
        <v>22</v>
      </c>
      <c r="Y596" s="12">
        <v>0</v>
      </c>
      <c r="Z596" s="12">
        <v>17</v>
      </c>
      <c r="AA596" s="12">
        <v>17</v>
      </c>
      <c r="AB596" s="12">
        <v>0</v>
      </c>
      <c r="AC596" s="12">
        <v>0</v>
      </c>
      <c r="AD596" s="13">
        <v>0</v>
      </c>
      <c r="AE596" s="12">
        <v>0</v>
      </c>
      <c r="AF596" s="14">
        <v>0</v>
      </c>
      <c r="AG596" s="5">
        <v>0</v>
      </c>
      <c r="AH596" s="5">
        <v>0</v>
      </c>
      <c r="AI596" s="5">
        <v>0</v>
      </c>
      <c r="AJ596" s="5">
        <v>806.45</v>
      </c>
      <c r="AK596" s="5">
        <v>0</v>
      </c>
      <c r="AL596" s="5">
        <v>806.45</v>
      </c>
      <c r="AM596" s="8"/>
      <c r="AN596" s="8"/>
    </row>
    <row r="597" spans="1:40" ht="16" thickBot="1">
      <c r="A597" s="3">
        <v>596</v>
      </c>
      <c r="B597" s="19">
        <v>45956</v>
      </c>
      <c r="C597" s="5" t="s">
        <v>40</v>
      </c>
      <c r="D597" s="7" t="s">
        <v>41</v>
      </c>
      <c r="E597" s="6" t="s">
        <v>42</v>
      </c>
      <c r="F597" s="7" t="s">
        <v>70</v>
      </c>
      <c r="G597" s="5" t="s">
        <v>44</v>
      </c>
      <c r="H597" s="5" t="s">
        <v>45</v>
      </c>
      <c r="I597" s="5">
        <v>4</v>
      </c>
      <c r="J597" s="5">
        <v>8</v>
      </c>
      <c r="K597" s="5">
        <v>25000</v>
      </c>
      <c r="L597" s="5">
        <v>1000</v>
      </c>
      <c r="M597" s="5">
        <v>55</v>
      </c>
      <c r="N597" s="5">
        <v>31</v>
      </c>
      <c r="O597" s="6" t="s">
        <v>88</v>
      </c>
      <c r="P597" s="8"/>
      <c r="Q597" s="16">
        <v>9.1666666666666674E-2</v>
      </c>
      <c r="R597" s="16">
        <v>0.14348379629629629</v>
      </c>
      <c r="S597" s="6">
        <v>37650</v>
      </c>
      <c r="T597" s="16">
        <v>0.39079861111111108</v>
      </c>
      <c r="U597" s="16">
        <v>0.39156250000000004</v>
      </c>
      <c r="V597" s="6">
        <v>37680</v>
      </c>
      <c r="W597" s="6">
        <v>32</v>
      </c>
      <c r="X597" s="6">
        <v>31</v>
      </c>
      <c r="Y597" s="12">
        <v>1</v>
      </c>
      <c r="Z597" s="12">
        <v>30</v>
      </c>
      <c r="AA597" s="12">
        <v>30</v>
      </c>
      <c r="AB597" s="12">
        <v>0</v>
      </c>
      <c r="AC597" s="12">
        <v>0</v>
      </c>
      <c r="AD597" s="13">
        <v>2</v>
      </c>
      <c r="AE597" s="12">
        <v>300</v>
      </c>
      <c r="AF597" s="14">
        <v>0</v>
      </c>
      <c r="AG597" s="5">
        <v>0</v>
      </c>
      <c r="AH597" s="5">
        <v>0</v>
      </c>
      <c r="AI597" s="5">
        <v>0</v>
      </c>
      <c r="AJ597" s="5">
        <v>1106.45</v>
      </c>
      <c r="AK597" s="5">
        <v>0</v>
      </c>
      <c r="AL597" s="5">
        <v>1106.45</v>
      </c>
      <c r="AM597" s="8"/>
      <c r="AN597" s="8"/>
    </row>
    <row r="598" spans="1:40" ht="16" thickBot="1">
      <c r="A598" s="3">
        <v>597</v>
      </c>
      <c r="B598" s="19">
        <v>45956</v>
      </c>
      <c r="C598" s="5" t="s">
        <v>40</v>
      </c>
      <c r="D598" s="7" t="s">
        <v>41</v>
      </c>
      <c r="E598" s="6" t="s">
        <v>42</v>
      </c>
      <c r="F598" s="7" t="s">
        <v>72</v>
      </c>
      <c r="G598" s="5" t="s">
        <v>44</v>
      </c>
      <c r="H598" s="5" t="s">
        <v>45</v>
      </c>
      <c r="I598" s="5">
        <v>6</v>
      </c>
      <c r="J598" s="5">
        <v>8</v>
      </c>
      <c r="K598" s="5">
        <v>33000</v>
      </c>
      <c r="L598" s="5">
        <v>2000</v>
      </c>
      <c r="M598" s="5">
        <v>55</v>
      </c>
      <c r="N598" s="5">
        <v>31</v>
      </c>
      <c r="O598" s="6" t="s">
        <v>73</v>
      </c>
      <c r="P598" s="8"/>
      <c r="Q598" s="16">
        <v>8.1250000000000003E-2</v>
      </c>
      <c r="R598" s="16">
        <v>0.14622685185185186</v>
      </c>
      <c r="S598" s="6">
        <v>35158</v>
      </c>
      <c r="T598" s="16">
        <v>0.3586805555555555</v>
      </c>
      <c r="U598" s="16">
        <v>0.35940972222222217</v>
      </c>
      <c r="V598" s="6">
        <v>35226</v>
      </c>
      <c r="W598" s="6">
        <v>25</v>
      </c>
      <c r="X598" s="6">
        <v>23</v>
      </c>
      <c r="Y598" s="12">
        <v>2</v>
      </c>
      <c r="Z598" s="12">
        <v>68</v>
      </c>
      <c r="AA598" s="12">
        <v>68</v>
      </c>
      <c r="AB598" s="12">
        <v>0</v>
      </c>
      <c r="AC598" s="12">
        <v>0</v>
      </c>
      <c r="AD598" s="13">
        <v>0</v>
      </c>
      <c r="AE598" s="12">
        <v>0</v>
      </c>
      <c r="AF598" s="14">
        <v>0</v>
      </c>
      <c r="AG598" s="5">
        <v>0</v>
      </c>
      <c r="AH598" s="5">
        <v>0</v>
      </c>
      <c r="AI598" s="5">
        <v>0</v>
      </c>
      <c r="AJ598" s="5">
        <v>1064.52</v>
      </c>
      <c r="AK598" s="5">
        <v>0</v>
      </c>
      <c r="AL598" s="5">
        <v>1064.52</v>
      </c>
      <c r="AM598" s="8"/>
      <c r="AN598" s="8"/>
    </row>
    <row r="599" spans="1:40" ht="16" thickBot="1">
      <c r="A599" s="3">
        <v>598</v>
      </c>
      <c r="B599" s="19">
        <v>45956</v>
      </c>
      <c r="C599" s="5" t="s">
        <v>40</v>
      </c>
      <c r="D599" s="7" t="s">
        <v>41</v>
      </c>
      <c r="E599" s="6" t="s">
        <v>42</v>
      </c>
      <c r="F599" s="7" t="s">
        <v>74</v>
      </c>
      <c r="G599" s="5" t="s">
        <v>44</v>
      </c>
      <c r="H599" s="5" t="s">
        <v>45</v>
      </c>
      <c r="I599" s="5">
        <v>4</v>
      </c>
      <c r="J599" s="5">
        <v>8</v>
      </c>
      <c r="K599" s="5">
        <v>25000</v>
      </c>
      <c r="L599" s="5">
        <v>1000</v>
      </c>
      <c r="M599" s="5">
        <v>55</v>
      </c>
      <c r="N599" s="5">
        <v>31</v>
      </c>
      <c r="O599" s="6" t="s">
        <v>221</v>
      </c>
      <c r="P599" s="8"/>
      <c r="Q599" s="16">
        <v>0.12083333333333333</v>
      </c>
      <c r="R599" s="16">
        <v>0.1454398148148148</v>
      </c>
      <c r="S599" s="6">
        <v>39611</v>
      </c>
      <c r="T599" s="16">
        <v>0.30660879629629628</v>
      </c>
      <c r="U599" s="16">
        <v>0.30675925925925923</v>
      </c>
      <c r="V599" s="6">
        <v>39635</v>
      </c>
      <c r="W599" s="6">
        <v>22</v>
      </c>
      <c r="X599" s="6">
        <v>0</v>
      </c>
      <c r="Y599" s="12">
        <v>22</v>
      </c>
      <c r="Z599" s="12">
        <v>24</v>
      </c>
      <c r="AA599" s="12">
        <v>24</v>
      </c>
      <c r="AB599" s="12">
        <v>0</v>
      </c>
      <c r="AC599" s="12">
        <v>0</v>
      </c>
      <c r="AD599" s="13">
        <v>0</v>
      </c>
      <c r="AE599" s="12">
        <v>0</v>
      </c>
      <c r="AF599" s="14">
        <v>0</v>
      </c>
      <c r="AG599" s="5">
        <v>0</v>
      </c>
      <c r="AH599" s="5">
        <v>0</v>
      </c>
      <c r="AI599" s="5">
        <v>0</v>
      </c>
      <c r="AJ599" s="5">
        <v>806.45</v>
      </c>
      <c r="AK599" s="5">
        <v>0</v>
      </c>
      <c r="AL599" s="5">
        <v>806.45</v>
      </c>
      <c r="AM599" s="8"/>
      <c r="AN599" s="8"/>
    </row>
    <row r="600" spans="1:40" ht="16" thickBot="1">
      <c r="A600" s="3">
        <v>599</v>
      </c>
      <c r="B600" s="19">
        <v>45956</v>
      </c>
      <c r="C600" s="5" t="s">
        <v>40</v>
      </c>
      <c r="D600" s="7" t="s">
        <v>41</v>
      </c>
      <c r="E600" s="6" t="s">
        <v>42</v>
      </c>
      <c r="F600" s="7" t="s">
        <v>78</v>
      </c>
      <c r="G600" s="5" t="s">
        <v>44</v>
      </c>
      <c r="H600" s="5" t="s">
        <v>45</v>
      </c>
      <c r="I600" s="5">
        <v>4</v>
      </c>
      <c r="J600" s="5">
        <v>8</v>
      </c>
      <c r="K600" s="5">
        <v>25000</v>
      </c>
      <c r="L600" s="5">
        <v>1000</v>
      </c>
      <c r="M600" s="5">
        <v>55</v>
      </c>
      <c r="N600" s="5">
        <v>31</v>
      </c>
      <c r="O600" s="6" t="s">
        <v>79</v>
      </c>
      <c r="P600" s="8"/>
      <c r="Q600" s="16">
        <v>4.7222222222222221E-2</v>
      </c>
      <c r="R600" s="16">
        <v>0.13915509259259259</v>
      </c>
      <c r="S600" s="6">
        <v>8372</v>
      </c>
      <c r="T600" s="16">
        <v>0.33581018518518518</v>
      </c>
      <c r="U600" s="16">
        <v>0.33587962962962964</v>
      </c>
      <c r="V600" s="6">
        <v>8406</v>
      </c>
      <c r="W600" s="6">
        <v>27</v>
      </c>
      <c r="X600" s="6">
        <v>27</v>
      </c>
      <c r="Y600" s="12">
        <v>0</v>
      </c>
      <c r="Z600" s="12">
        <v>34</v>
      </c>
      <c r="AA600" s="12">
        <v>34</v>
      </c>
      <c r="AB600" s="12">
        <v>0</v>
      </c>
      <c r="AC600" s="12">
        <v>0</v>
      </c>
      <c r="AD600" s="13">
        <v>1</v>
      </c>
      <c r="AE600" s="12">
        <v>150</v>
      </c>
      <c r="AF600" s="14">
        <v>0</v>
      </c>
      <c r="AG600" s="5">
        <v>0</v>
      </c>
      <c r="AH600" s="5">
        <v>0</v>
      </c>
      <c r="AI600" s="5">
        <v>0</v>
      </c>
      <c r="AJ600" s="5">
        <v>956.45</v>
      </c>
      <c r="AK600" s="5">
        <v>0</v>
      </c>
      <c r="AL600" s="5">
        <v>956.45</v>
      </c>
      <c r="AM600" s="8"/>
      <c r="AN600" s="8"/>
    </row>
    <row r="601" spans="1:40" ht="16" thickBot="1">
      <c r="A601" s="3">
        <v>600</v>
      </c>
      <c r="B601" s="19">
        <v>45956</v>
      </c>
      <c r="C601" s="5" t="s">
        <v>40</v>
      </c>
      <c r="D601" s="7" t="s">
        <v>41</v>
      </c>
      <c r="E601" s="6" t="s">
        <v>42</v>
      </c>
      <c r="F601" s="7" t="s">
        <v>80</v>
      </c>
      <c r="G601" s="5" t="s">
        <v>44</v>
      </c>
      <c r="H601" s="5" t="s">
        <v>45</v>
      </c>
      <c r="I601" s="5">
        <v>4</v>
      </c>
      <c r="J601" s="5">
        <v>8</v>
      </c>
      <c r="K601" s="5">
        <v>25000</v>
      </c>
      <c r="L601" s="5">
        <v>1000</v>
      </c>
      <c r="M601" s="5">
        <v>55</v>
      </c>
      <c r="N601" s="5">
        <v>31</v>
      </c>
      <c r="O601" s="6" t="s">
        <v>69</v>
      </c>
      <c r="P601" s="8"/>
      <c r="Q601" s="16">
        <v>4.6527777777777779E-2</v>
      </c>
      <c r="R601" s="16">
        <v>0.13999999999999999</v>
      </c>
      <c r="S601" s="6">
        <v>6134</v>
      </c>
      <c r="T601" s="16">
        <v>0.3049189814814815</v>
      </c>
      <c r="U601" s="16">
        <v>0.30502314814814818</v>
      </c>
      <c r="V601" s="6">
        <v>6147</v>
      </c>
      <c r="W601" s="6">
        <v>30</v>
      </c>
      <c r="X601" s="6">
        <v>35</v>
      </c>
      <c r="Y601" s="12">
        <v>-5</v>
      </c>
      <c r="Z601" s="12">
        <v>13</v>
      </c>
      <c r="AA601" s="12">
        <v>13</v>
      </c>
      <c r="AB601" s="12">
        <v>0</v>
      </c>
      <c r="AC601" s="12">
        <v>0</v>
      </c>
      <c r="AD601" s="13">
        <v>0</v>
      </c>
      <c r="AE601" s="12">
        <v>0</v>
      </c>
      <c r="AF601" s="14">
        <v>0</v>
      </c>
      <c r="AG601" s="5">
        <v>0</v>
      </c>
      <c r="AH601" s="5">
        <v>0</v>
      </c>
      <c r="AI601" s="5">
        <v>0</v>
      </c>
      <c r="AJ601" s="5">
        <v>806.45</v>
      </c>
      <c r="AK601" s="5">
        <v>0</v>
      </c>
      <c r="AL601" s="5">
        <v>806.45</v>
      </c>
      <c r="AM601" s="8"/>
      <c r="AN601" s="8"/>
    </row>
    <row r="602" spans="1:40" ht="16" thickBot="1">
      <c r="A602" s="3">
        <v>601</v>
      </c>
      <c r="B602" s="19">
        <v>45956</v>
      </c>
      <c r="C602" s="5" t="s">
        <v>40</v>
      </c>
      <c r="D602" s="7" t="s">
        <v>41</v>
      </c>
      <c r="E602" s="6" t="s">
        <v>42</v>
      </c>
      <c r="F602" s="7" t="s">
        <v>105</v>
      </c>
      <c r="G602" s="5" t="s">
        <v>44</v>
      </c>
      <c r="H602" s="5" t="s">
        <v>45</v>
      </c>
      <c r="I602" s="5">
        <v>4</v>
      </c>
      <c r="J602" s="5">
        <v>8</v>
      </c>
      <c r="K602" s="5">
        <v>25000</v>
      </c>
      <c r="L602" s="5">
        <v>1000</v>
      </c>
      <c r="M602" s="5">
        <v>55</v>
      </c>
      <c r="N602" s="5">
        <v>31</v>
      </c>
      <c r="O602" s="6" t="s">
        <v>75</v>
      </c>
      <c r="P602" s="8"/>
      <c r="Q602" s="16">
        <v>0.1111111111111111</v>
      </c>
      <c r="R602" s="16">
        <v>0.14324074074074075</v>
      </c>
      <c r="S602" s="6">
        <v>42232</v>
      </c>
      <c r="T602" s="16">
        <v>0.30267361111111107</v>
      </c>
      <c r="U602" s="16">
        <v>0.30305555555555558</v>
      </c>
      <c r="V602" s="6">
        <v>42245</v>
      </c>
      <c r="W602" s="6">
        <v>10</v>
      </c>
      <c r="X602" s="6">
        <v>27</v>
      </c>
      <c r="Y602" s="12">
        <v>-17</v>
      </c>
      <c r="Z602" s="12">
        <v>13</v>
      </c>
      <c r="AA602" s="12">
        <v>13</v>
      </c>
      <c r="AB602" s="12">
        <v>0</v>
      </c>
      <c r="AC602" s="12">
        <v>0</v>
      </c>
      <c r="AD602" s="13">
        <v>0</v>
      </c>
      <c r="AE602" s="12">
        <v>0</v>
      </c>
      <c r="AF602" s="14">
        <v>0</v>
      </c>
      <c r="AG602" s="5">
        <v>0</v>
      </c>
      <c r="AH602" s="5">
        <v>0</v>
      </c>
      <c r="AI602" s="5">
        <v>0</v>
      </c>
      <c r="AJ602" s="5">
        <v>806.45</v>
      </c>
      <c r="AK602" s="5">
        <v>0</v>
      </c>
      <c r="AL602" s="5">
        <v>806.45</v>
      </c>
      <c r="AM602" s="8"/>
      <c r="AN602" s="8"/>
    </row>
    <row r="603" spans="1:40" ht="16" thickBot="1">
      <c r="A603" s="3">
        <v>602</v>
      </c>
      <c r="B603" s="19">
        <v>45956</v>
      </c>
      <c r="C603" s="5" t="s">
        <v>40</v>
      </c>
      <c r="D603" s="7" t="s">
        <v>41</v>
      </c>
      <c r="E603" s="6" t="s">
        <v>42</v>
      </c>
      <c r="F603" s="7" t="s">
        <v>232</v>
      </c>
      <c r="G603" s="10" t="s">
        <v>83</v>
      </c>
      <c r="H603" s="5" t="s">
        <v>84</v>
      </c>
      <c r="I603" s="5">
        <v>4</v>
      </c>
      <c r="J603" s="5">
        <v>10</v>
      </c>
      <c r="K603" s="6">
        <v>29000</v>
      </c>
      <c r="L603" s="5">
        <v>1000</v>
      </c>
      <c r="M603" s="5">
        <v>55</v>
      </c>
      <c r="N603" s="5">
        <v>31</v>
      </c>
      <c r="O603" s="6" t="s">
        <v>46</v>
      </c>
      <c r="P603" s="8"/>
      <c r="Q603" s="16">
        <v>0.12291666666666667</v>
      </c>
      <c r="R603" s="16">
        <v>0.33320601851851855</v>
      </c>
      <c r="S603" s="6">
        <v>124</v>
      </c>
      <c r="T603" s="16">
        <v>0.33333333333333331</v>
      </c>
      <c r="U603" s="16">
        <v>0.33340277777777777</v>
      </c>
      <c r="V603" s="6">
        <v>124</v>
      </c>
      <c r="W603" s="6">
        <v>0</v>
      </c>
      <c r="X603" s="6">
        <v>0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3">
        <v>0</v>
      </c>
      <c r="AE603" s="12">
        <v>0</v>
      </c>
      <c r="AF603" s="14">
        <v>0</v>
      </c>
      <c r="AG603" s="5">
        <v>0</v>
      </c>
      <c r="AH603" s="5">
        <v>0</v>
      </c>
      <c r="AI603" s="5">
        <v>0</v>
      </c>
      <c r="AJ603" s="5">
        <v>935.48</v>
      </c>
      <c r="AK603" s="5">
        <v>0</v>
      </c>
      <c r="AL603" s="5">
        <v>935.48</v>
      </c>
      <c r="AM603" s="8"/>
      <c r="AN603" s="8"/>
    </row>
    <row r="604" spans="1:40" ht="16" thickBot="1">
      <c r="A604" s="3">
        <v>603</v>
      </c>
      <c r="B604" s="19">
        <v>45956</v>
      </c>
      <c r="C604" s="5" t="s">
        <v>40</v>
      </c>
      <c r="D604" s="7" t="s">
        <v>41</v>
      </c>
      <c r="E604" s="6" t="s">
        <v>42</v>
      </c>
      <c r="F604" s="7" t="s">
        <v>82</v>
      </c>
      <c r="G604" s="10" t="s">
        <v>83</v>
      </c>
      <c r="H604" s="5" t="s">
        <v>84</v>
      </c>
      <c r="I604" s="5">
        <v>4</v>
      </c>
      <c r="J604" s="5">
        <v>10</v>
      </c>
      <c r="K604" s="6">
        <v>29000</v>
      </c>
      <c r="L604" s="5">
        <v>1000</v>
      </c>
      <c r="M604" s="5">
        <v>55</v>
      </c>
      <c r="N604" s="5">
        <v>31</v>
      </c>
      <c r="O604" s="6" t="s">
        <v>158</v>
      </c>
      <c r="P604" s="8"/>
      <c r="Q604" s="16">
        <v>0.1111111111111111</v>
      </c>
      <c r="R604" s="16">
        <v>0.14305555555555557</v>
      </c>
      <c r="S604" s="6">
        <v>33213</v>
      </c>
      <c r="T604" s="16">
        <v>0.33545138888888887</v>
      </c>
      <c r="U604" s="16">
        <v>0.33557870370370368</v>
      </c>
      <c r="V604" s="6">
        <v>33230</v>
      </c>
      <c r="W604" s="6">
        <v>35</v>
      </c>
      <c r="X604" s="6">
        <v>36</v>
      </c>
      <c r="Y604" s="12">
        <v>-1</v>
      </c>
      <c r="Z604" s="12">
        <v>17</v>
      </c>
      <c r="AA604" s="12">
        <v>17</v>
      </c>
      <c r="AB604" s="12">
        <v>0</v>
      </c>
      <c r="AC604" s="12">
        <v>0</v>
      </c>
      <c r="AD604" s="13">
        <v>1</v>
      </c>
      <c r="AE604" s="12">
        <v>150</v>
      </c>
      <c r="AF604" s="14">
        <v>0</v>
      </c>
      <c r="AG604" s="5">
        <v>0</v>
      </c>
      <c r="AH604" s="5">
        <v>0</v>
      </c>
      <c r="AI604" s="5">
        <v>0</v>
      </c>
      <c r="AJ604" s="5">
        <v>1085.48</v>
      </c>
      <c r="AK604" s="5">
        <v>0</v>
      </c>
      <c r="AL604" s="5">
        <v>1085.48</v>
      </c>
      <c r="AM604" s="8"/>
      <c r="AN604" s="8"/>
    </row>
    <row r="605" spans="1:40" ht="16" thickBot="1">
      <c r="A605" s="3">
        <v>604</v>
      </c>
      <c r="B605" s="19">
        <v>45956</v>
      </c>
      <c r="C605" s="5" t="s">
        <v>40</v>
      </c>
      <c r="D605" s="7" t="s">
        <v>41</v>
      </c>
      <c r="E605" s="6" t="s">
        <v>42</v>
      </c>
      <c r="F605" s="7" t="s">
        <v>85</v>
      </c>
      <c r="G605" s="10" t="s">
        <v>83</v>
      </c>
      <c r="H605" s="5" t="s">
        <v>84</v>
      </c>
      <c r="I605" s="5">
        <v>4</v>
      </c>
      <c r="J605" s="5">
        <v>10</v>
      </c>
      <c r="K605" s="6">
        <v>29000</v>
      </c>
      <c r="L605" s="5">
        <v>1000</v>
      </c>
      <c r="M605" s="5">
        <v>55</v>
      </c>
      <c r="N605" s="5">
        <v>31</v>
      </c>
      <c r="O605" s="6" t="s">
        <v>222</v>
      </c>
      <c r="P605" s="8"/>
      <c r="Q605" s="16">
        <v>7.6388888888888895E-2</v>
      </c>
      <c r="R605" s="16">
        <v>0.13503472222222221</v>
      </c>
      <c r="S605" s="6">
        <v>39843</v>
      </c>
      <c r="T605" s="16">
        <v>0.31776620370370373</v>
      </c>
      <c r="U605" s="16">
        <v>0.31784722222222223</v>
      </c>
      <c r="V605" s="6">
        <v>39879</v>
      </c>
      <c r="W605" s="6">
        <v>50</v>
      </c>
      <c r="X605" s="6">
        <v>50</v>
      </c>
      <c r="Y605" s="12">
        <v>0</v>
      </c>
      <c r="Z605" s="12">
        <v>36</v>
      </c>
      <c r="AA605" s="12">
        <v>36</v>
      </c>
      <c r="AB605" s="12">
        <v>0</v>
      </c>
      <c r="AC605" s="12">
        <v>0</v>
      </c>
      <c r="AD605" s="13">
        <v>0</v>
      </c>
      <c r="AE605" s="12">
        <v>0</v>
      </c>
      <c r="AF605" s="14">
        <v>0</v>
      </c>
      <c r="AG605" s="5">
        <v>0</v>
      </c>
      <c r="AH605" s="5">
        <v>0</v>
      </c>
      <c r="AI605" s="5">
        <v>0</v>
      </c>
      <c r="AJ605" s="5">
        <v>935.48</v>
      </c>
      <c r="AK605" s="5">
        <v>0</v>
      </c>
      <c r="AL605" s="5">
        <v>935.48</v>
      </c>
      <c r="AM605" s="8"/>
      <c r="AN605" s="8"/>
    </row>
    <row r="606" spans="1:40" ht="16" thickBot="1">
      <c r="A606" s="3">
        <v>605</v>
      </c>
      <c r="B606" s="19">
        <v>45956</v>
      </c>
      <c r="C606" s="5" t="s">
        <v>40</v>
      </c>
      <c r="D606" s="7" t="s">
        <v>41</v>
      </c>
      <c r="E606" s="6" t="s">
        <v>42</v>
      </c>
      <c r="F606" s="7" t="s">
        <v>87</v>
      </c>
      <c r="G606" s="10" t="s">
        <v>83</v>
      </c>
      <c r="H606" s="5" t="s">
        <v>84</v>
      </c>
      <c r="I606" s="5">
        <v>4</v>
      </c>
      <c r="J606" s="5">
        <v>10</v>
      </c>
      <c r="K606" s="6">
        <v>29000</v>
      </c>
      <c r="L606" s="5">
        <v>1000</v>
      </c>
      <c r="M606" s="5">
        <v>55</v>
      </c>
      <c r="N606" s="5">
        <v>31</v>
      </c>
      <c r="O606" s="6" t="s">
        <v>124</v>
      </c>
      <c r="P606" s="8"/>
      <c r="Q606" s="16">
        <v>0.10069444444444443</v>
      </c>
      <c r="R606" s="16">
        <v>0.14097222222222222</v>
      </c>
      <c r="S606" s="6">
        <v>3748</v>
      </c>
      <c r="T606" s="16">
        <v>0.29072916666666665</v>
      </c>
      <c r="U606" s="16">
        <v>0.29097222222222224</v>
      </c>
      <c r="V606" s="6">
        <v>3775</v>
      </c>
      <c r="W606" s="6">
        <v>53</v>
      </c>
      <c r="X606" s="6">
        <v>53</v>
      </c>
      <c r="Y606" s="12">
        <v>0</v>
      </c>
      <c r="Z606" s="12">
        <v>27</v>
      </c>
      <c r="AA606" s="12">
        <v>27</v>
      </c>
      <c r="AB606" s="12">
        <v>0</v>
      </c>
      <c r="AC606" s="12">
        <v>0</v>
      </c>
      <c r="AD606" s="13">
        <v>0</v>
      </c>
      <c r="AE606" s="12">
        <v>0</v>
      </c>
      <c r="AF606" s="14">
        <v>0</v>
      </c>
      <c r="AG606" s="5">
        <v>0</v>
      </c>
      <c r="AH606" s="5">
        <v>0</v>
      </c>
      <c r="AI606" s="5">
        <v>0</v>
      </c>
      <c r="AJ606" s="5">
        <v>935.48</v>
      </c>
      <c r="AK606" s="5">
        <v>0</v>
      </c>
      <c r="AL606" s="5">
        <v>935.48</v>
      </c>
      <c r="AM606" s="8"/>
      <c r="AN606" s="8"/>
    </row>
    <row r="607" spans="1:40" ht="16" thickBot="1">
      <c r="A607" s="3">
        <v>606</v>
      </c>
      <c r="B607" s="19">
        <v>45956</v>
      </c>
      <c r="C607" s="5" t="s">
        <v>40</v>
      </c>
      <c r="D607" s="7" t="s">
        <v>41</v>
      </c>
      <c r="E607" s="6" t="s">
        <v>42</v>
      </c>
      <c r="F607" s="7" t="s">
        <v>89</v>
      </c>
      <c r="G607" s="10" t="s">
        <v>83</v>
      </c>
      <c r="H607" s="5" t="s">
        <v>84</v>
      </c>
      <c r="I607" s="5">
        <v>4</v>
      </c>
      <c r="J607" s="5">
        <v>10</v>
      </c>
      <c r="K607" s="6">
        <v>29000</v>
      </c>
      <c r="L607" s="5">
        <v>1000</v>
      </c>
      <c r="M607" s="5">
        <v>55</v>
      </c>
      <c r="N607" s="5">
        <v>31</v>
      </c>
      <c r="O607" s="6" t="s">
        <v>90</v>
      </c>
      <c r="P607" s="8"/>
      <c r="Q607" s="16">
        <v>9.4444444444444442E-2</v>
      </c>
      <c r="R607" s="16">
        <v>0.14388888888888887</v>
      </c>
      <c r="S607" s="6">
        <v>139770</v>
      </c>
      <c r="T607" s="16">
        <v>0.3183449074074074</v>
      </c>
      <c r="U607" s="16">
        <v>0.31847222222222221</v>
      </c>
      <c r="V607" s="6">
        <v>139801</v>
      </c>
      <c r="W607" s="6">
        <v>35</v>
      </c>
      <c r="X607" s="6">
        <v>77</v>
      </c>
      <c r="Y607" s="12">
        <v>-42</v>
      </c>
      <c r="Z607" s="12">
        <v>31</v>
      </c>
      <c r="AA607" s="12">
        <v>31</v>
      </c>
      <c r="AB607" s="12">
        <v>0</v>
      </c>
      <c r="AC607" s="12">
        <v>0</v>
      </c>
      <c r="AD607" s="13">
        <v>0</v>
      </c>
      <c r="AE607" s="12">
        <v>0</v>
      </c>
      <c r="AF607" s="14">
        <v>0</v>
      </c>
      <c r="AG607" s="5">
        <v>0</v>
      </c>
      <c r="AH607" s="5">
        <v>0</v>
      </c>
      <c r="AI607" s="5">
        <v>0</v>
      </c>
      <c r="AJ607" s="5">
        <v>935.48</v>
      </c>
      <c r="AK607" s="5">
        <v>0</v>
      </c>
      <c r="AL607" s="5">
        <v>935.48</v>
      </c>
      <c r="AM607" s="8"/>
      <c r="AN607" s="8"/>
    </row>
    <row r="608" spans="1:40" ht="16" thickBot="1">
      <c r="A608" s="3">
        <v>607</v>
      </c>
      <c r="B608" s="19">
        <v>45957</v>
      </c>
      <c r="C608" s="5" t="s">
        <v>40</v>
      </c>
      <c r="D608" s="7" t="s">
        <v>41</v>
      </c>
      <c r="E608" s="6" t="s">
        <v>42</v>
      </c>
      <c r="F608" s="7" t="s">
        <v>43</v>
      </c>
      <c r="G608" s="5" t="s">
        <v>44</v>
      </c>
      <c r="H608" s="5" t="s">
        <v>45</v>
      </c>
      <c r="I608" s="5">
        <v>4</v>
      </c>
      <c r="J608" s="5">
        <v>8</v>
      </c>
      <c r="K608" s="5">
        <v>25000</v>
      </c>
      <c r="L608" s="5">
        <v>1000</v>
      </c>
      <c r="M608" s="5">
        <v>55</v>
      </c>
      <c r="N608" s="5">
        <v>31</v>
      </c>
      <c r="O608" s="6" t="s">
        <v>46</v>
      </c>
      <c r="P608" s="8"/>
      <c r="Q608" s="16">
        <v>5.0694444444444452E-2</v>
      </c>
      <c r="R608" s="16">
        <v>0.15197916666666667</v>
      </c>
      <c r="S608" s="6">
        <v>58297</v>
      </c>
      <c r="T608" s="16">
        <v>0.31114583333333334</v>
      </c>
      <c r="U608" s="16">
        <v>0.31155092592592593</v>
      </c>
      <c r="V608" s="6">
        <v>58304</v>
      </c>
      <c r="W608" s="6">
        <v>34</v>
      </c>
      <c r="X608" s="6">
        <v>40</v>
      </c>
      <c r="Y608" s="12">
        <v>-6</v>
      </c>
      <c r="Z608" s="12">
        <v>7</v>
      </c>
      <c r="AA608" s="12">
        <v>7</v>
      </c>
      <c r="AB608" s="12">
        <v>0</v>
      </c>
      <c r="AC608" s="12">
        <v>0</v>
      </c>
      <c r="AD608" s="13">
        <v>0</v>
      </c>
      <c r="AE608" s="12">
        <v>0</v>
      </c>
      <c r="AF608" s="14">
        <v>0</v>
      </c>
      <c r="AG608" s="5">
        <v>0</v>
      </c>
      <c r="AH608" s="5">
        <v>0</v>
      </c>
      <c r="AI608" s="5">
        <v>0</v>
      </c>
      <c r="AJ608" s="5">
        <v>806.45</v>
      </c>
      <c r="AK608" s="5">
        <v>0</v>
      </c>
      <c r="AL608" s="5">
        <v>806.45</v>
      </c>
      <c r="AM608" s="8"/>
      <c r="AN608" s="8"/>
    </row>
    <row r="609" spans="1:40" ht="16" thickBot="1">
      <c r="A609" s="3">
        <v>608</v>
      </c>
      <c r="B609" s="19">
        <v>45957</v>
      </c>
      <c r="C609" s="5" t="s">
        <v>40</v>
      </c>
      <c r="D609" s="7" t="s">
        <v>41</v>
      </c>
      <c r="E609" s="6" t="s">
        <v>42</v>
      </c>
      <c r="F609" s="7" t="s">
        <v>49</v>
      </c>
      <c r="G609" s="5" t="s">
        <v>44</v>
      </c>
      <c r="H609" s="5" t="s">
        <v>45</v>
      </c>
      <c r="I609" s="5">
        <v>6</v>
      </c>
      <c r="J609" s="5">
        <v>8</v>
      </c>
      <c r="K609" s="5">
        <v>33000</v>
      </c>
      <c r="L609" s="5">
        <v>2000</v>
      </c>
      <c r="M609" s="5">
        <v>55</v>
      </c>
      <c r="N609" s="5">
        <v>31</v>
      </c>
      <c r="O609" s="6" t="s">
        <v>50</v>
      </c>
      <c r="P609" s="8"/>
      <c r="Q609" s="16">
        <v>4.7916666666666663E-2</v>
      </c>
      <c r="R609" s="16">
        <v>0.1587847222222222</v>
      </c>
      <c r="S609" s="6">
        <v>101837</v>
      </c>
      <c r="T609" s="16">
        <v>0.32057870370370373</v>
      </c>
      <c r="U609" s="16">
        <v>0.32089120370370372</v>
      </c>
      <c r="V609" s="6">
        <v>101881</v>
      </c>
      <c r="W609" s="6">
        <v>29</v>
      </c>
      <c r="X609" s="6">
        <v>34</v>
      </c>
      <c r="Y609" s="12">
        <v>-5</v>
      </c>
      <c r="Z609" s="12">
        <v>44</v>
      </c>
      <c r="AA609" s="12">
        <v>44</v>
      </c>
      <c r="AB609" s="12">
        <v>0</v>
      </c>
      <c r="AC609" s="12">
        <v>0</v>
      </c>
      <c r="AD609" s="13">
        <v>0</v>
      </c>
      <c r="AE609" s="12">
        <v>0</v>
      </c>
      <c r="AF609" s="14">
        <v>0</v>
      </c>
      <c r="AG609" s="5">
        <v>0</v>
      </c>
      <c r="AH609" s="5">
        <v>0</v>
      </c>
      <c r="AI609" s="5">
        <v>0</v>
      </c>
      <c r="AJ609" s="5">
        <v>1064.52</v>
      </c>
      <c r="AK609" s="5">
        <v>0</v>
      </c>
      <c r="AL609" s="5">
        <v>1064.52</v>
      </c>
      <c r="AM609" s="8"/>
      <c r="AN609" s="8"/>
    </row>
    <row r="610" spans="1:40" ht="16" thickBot="1">
      <c r="A610" s="3">
        <v>609</v>
      </c>
      <c r="B610" s="19">
        <v>45957</v>
      </c>
      <c r="C610" s="5" t="s">
        <v>40</v>
      </c>
      <c r="D610" s="7" t="s">
        <v>41</v>
      </c>
      <c r="E610" s="6" t="s">
        <v>42</v>
      </c>
      <c r="F610" s="7" t="s">
        <v>51</v>
      </c>
      <c r="G610" s="5" t="s">
        <v>44</v>
      </c>
      <c r="H610" s="5" t="s">
        <v>45</v>
      </c>
      <c r="I610" s="5">
        <v>4</v>
      </c>
      <c r="J610" s="5">
        <v>8</v>
      </c>
      <c r="K610" s="5">
        <v>25000</v>
      </c>
      <c r="L610" s="5">
        <v>1000</v>
      </c>
      <c r="M610" s="5">
        <v>55</v>
      </c>
      <c r="N610" s="5">
        <v>31</v>
      </c>
      <c r="O610" s="6" t="s">
        <v>148</v>
      </c>
      <c r="P610" s="8"/>
      <c r="Q610" s="16">
        <v>0.11527777777777777</v>
      </c>
      <c r="R610" s="16">
        <v>0.15449074074074073</v>
      </c>
      <c r="S610" s="6">
        <v>84394</v>
      </c>
      <c r="T610" s="16">
        <v>0.30628472222222219</v>
      </c>
      <c r="U610" s="16">
        <v>0.30637731481481484</v>
      </c>
      <c r="V610" s="6">
        <v>84413</v>
      </c>
      <c r="W610" s="6">
        <v>20</v>
      </c>
      <c r="X610" s="6">
        <v>22</v>
      </c>
      <c r="Y610" s="12">
        <v>-2</v>
      </c>
      <c r="Z610" s="12">
        <v>19</v>
      </c>
      <c r="AA610" s="12">
        <v>19</v>
      </c>
      <c r="AB610" s="12">
        <v>0</v>
      </c>
      <c r="AC610" s="12">
        <v>0</v>
      </c>
      <c r="AD610" s="13">
        <v>0</v>
      </c>
      <c r="AE610" s="12">
        <v>0</v>
      </c>
      <c r="AF610" s="14">
        <v>0</v>
      </c>
      <c r="AG610" s="5">
        <v>0</v>
      </c>
      <c r="AH610" s="5">
        <v>0</v>
      </c>
      <c r="AI610" s="5">
        <v>0</v>
      </c>
      <c r="AJ610" s="5">
        <v>806.45</v>
      </c>
      <c r="AK610" s="5">
        <v>0</v>
      </c>
      <c r="AL610" s="5">
        <v>806.45</v>
      </c>
      <c r="AM610" s="8"/>
      <c r="AN610" s="8"/>
    </row>
    <row r="611" spans="1:40" ht="16" thickBot="1">
      <c r="A611" s="3">
        <v>610</v>
      </c>
      <c r="B611" s="19">
        <v>45957</v>
      </c>
      <c r="C611" s="5" t="s">
        <v>40</v>
      </c>
      <c r="D611" s="7" t="s">
        <v>41</v>
      </c>
      <c r="E611" s="6" t="s">
        <v>42</v>
      </c>
      <c r="F611" s="7" t="s">
        <v>145</v>
      </c>
      <c r="G611" s="5" t="s">
        <v>44</v>
      </c>
      <c r="H611" s="5" t="s">
        <v>45</v>
      </c>
      <c r="I611" s="5">
        <v>4</v>
      </c>
      <c r="J611" s="5">
        <v>8</v>
      </c>
      <c r="K611" s="5">
        <v>25000</v>
      </c>
      <c r="L611" s="5">
        <v>1000</v>
      </c>
      <c r="M611" s="5">
        <v>55</v>
      </c>
      <c r="N611" s="5">
        <v>31</v>
      </c>
      <c r="O611" s="6" t="s">
        <v>181</v>
      </c>
      <c r="P611" s="8"/>
      <c r="Q611" s="16">
        <v>4.8611111111111112E-2</v>
      </c>
      <c r="R611" s="16">
        <v>0.14954861111111112</v>
      </c>
      <c r="S611" s="6">
        <v>39326</v>
      </c>
      <c r="T611" s="16">
        <v>0.30219907407407409</v>
      </c>
      <c r="U611" s="16">
        <v>0.32719907407407406</v>
      </c>
      <c r="V611" s="6">
        <v>39356</v>
      </c>
      <c r="W611" s="6">
        <v>20</v>
      </c>
      <c r="X611" s="6">
        <v>55</v>
      </c>
      <c r="Y611" s="12">
        <v>-35</v>
      </c>
      <c r="Z611" s="12">
        <v>30</v>
      </c>
      <c r="AA611" s="12">
        <v>30</v>
      </c>
      <c r="AB611" s="12">
        <v>0</v>
      </c>
      <c r="AC611" s="12">
        <v>0</v>
      </c>
      <c r="AD611" s="13">
        <v>0</v>
      </c>
      <c r="AE611" s="12">
        <v>0</v>
      </c>
      <c r="AF611" s="14">
        <v>0</v>
      </c>
      <c r="AG611" s="5">
        <v>0</v>
      </c>
      <c r="AH611" s="5">
        <v>0</v>
      </c>
      <c r="AI611" s="5">
        <v>0</v>
      </c>
      <c r="AJ611" s="5">
        <v>806.45</v>
      </c>
      <c r="AK611" s="5">
        <v>0</v>
      </c>
      <c r="AL611" s="5">
        <v>806.45</v>
      </c>
      <c r="AM611" s="8"/>
      <c r="AN611" s="8"/>
    </row>
    <row r="612" spans="1:40" ht="16" thickBot="1">
      <c r="A612" s="3">
        <v>611</v>
      </c>
      <c r="B612" s="19">
        <v>45957</v>
      </c>
      <c r="C612" s="5" t="s">
        <v>40</v>
      </c>
      <c r="D612" s="7" t="s">
        <v>41</v>
      </c>
      <c r="E612" s="6" t="s">
        <v>42</v>
      </c>
      <c r="F612" s="7" t="s">
        <v>53</v>
      </c>
      <c r="G612" s="5" t="s">
        <v>44</v>
      </c>
      <c r="H612" s="5" t="s">
        <v>45</v>
      </c>
      <c r="I612" s="5">
        <v>4</v>
      </c>
      <c r="J612" s="5">
        <v>8</v>
      </c>
      <c r="K612" s="5">
        <v>25000</v>
      </c>
      <c r="L612" s="5">
        <v>1000</v>
      </c>
      <c r="M612" s="5">
        <v>55</v>
      </c>
      <c r="N612" s="5">
        <v>31</v>
      </c>
      <c r="O612" s="6" t="s">
        <v>222</v>
      </c>
      <c r="P612" s="8"/>
      <c r="Q612" s="16">
        <v>0.11805555555555557</v>
      </c>
      <c r="R612" s="16">
        <v>0.16289351851851852</v>
      </c>
      <c r="S612" s="6">
        <v>13049</v>
      </c>
      <c r="T612" s="16">
        <v>0.38289351851851849</v>
      </c>
      <c r="U612" s="16">
        <v>0.38297453703703704</v>
      </c>
      <c r="V612" s="6">
        <v>13072</v>
      </c>
      <c r="W612" s="6">
        <v>0</v>
      </c>
      <c r="X612" s="6">
        <v>0</v>
      </c>
      <c r="Y612" s="12">
        <v>0</v>
      </c>
      <c r="Z612" s="12">
        <v>23</v>
      </c>
      <c r="AA612" s="12">
        <v>23</v>
      </c>
      <c r="AB612" s="12">
        <v>0</v>
      </c>
      <c r="AC612" s="12">
        <v>0</v>
      </c>
      <c r="AD612" s="13">
        <v>2</v>
      </c>
      <c r="AE612" s="12">
        <v>300</v>
      </c>
      <c r="AF612" s="14">
        <v>0</v>
      </c>
      <c r="AG612" s="5">
        <v>0</v>
      </c>
      <c r="AH612" s="5">
        <v>0</v>
      </c>
      <c r="AI612" s="5">
        <v>0</v>
      </c>
      <c r="AJ612" s="5">
        <v>1106.45</v>
      </c>
      <c r="AK612" s="5">
        <v>0</v>
      </c>
      <c r="AL612" s="5">
        <v>1106.45</v>
      </c>
      <c r="AM612" s="8"/>
      <c r="AN612" s="8"/>
    </row>
    <row r="613" spans="1:40" ht="16" thickBot="1">
      <c r="A613" s="3">
        <v>612</v>
      </c>
      <c r="B613" s="19">
        <v>45957</v>
      </c>
      <c r="C613" s="5" t="s">
        <v>40</v>
      </c>
      <c r="D613" s="7" t="s">
        <v>41</v>
      </c>
      <c r="E613" s="6" t="s">
        <v>42</v>
      </c>
      <c r="F613" s="7" t="s">
        <v>55</v>
      </c>
      <c r="G613" s="5" t="s">
        <v>44</v>
      </c>
      <c r="H613" s="5" t="s">
        <v>45</v>
      </c>
      <c r="I613" s="5">
        <v>4</v>
      </c>
      <c r="J613" s="5">
        <v>8</v>
      </c>
      <c r="K613" s="5">
        <v>25000</v>
      </c>
      <c r="L613" s="5">
        <v>1000</v>
      </c>
      <c r="M613" s="5">
        <v>55</v>
      </c>
      <c r="N613" s="5">
        <v>31</v>
      </c>
      <c r="O613" s="6" t="s">
        <v>56</v>
      </c>
      <c r="P613" s="8"/>
      <c r="Q613" s="16">
        <v>8.9583333333333334E-2</v>
      </c>
      <c r="R613" s="16">
        <v>0.15246527777777777</v>
      </c>
      <c r="S613" s="6">
        <v>145574</v>
      </c>
      <c r="T613" s="16">
        <v>0.31504629629629627</v>
      </c>
      <c r="U613" s="16">
        <v>0.31519675925925927</v>
      </c>
      <c r="V613" s="6">
        <v>145591</v>
      </c>
      <c r="W613" s="6">
        <v>28</v>
      </c>
      <c r="X613" s="6">
        <v>28</v>
      </c>
      <c r="Y613" s="12">
        <v>0</v>
      </c>
      <c r="Z613" s="12">
        <v>17</v>
      </c>
      <c r="AA613" s="12">
        <v>17</v>
      </c>
      <c r="AB613" s="12">
        <v>0</v>
      </c>
      <c r="AC613" s="12">
        <v>0</v>
      </c>
      <c r="AD613" s="13">
        <v>0</v>
      </c>
      <c r="AE613" s="12">
        <v>0</v>
      </c>
      <c r="AF613" s="14">
        <v>0</v>
      </c>
      <c r="AG613" s="5">
        <v>0</v>
      </c>
      <c r="AH613" s="5">
        <v>0</v>
      </c>
      <c r="AI613" s="5">
        <v>0</v>
      </c>
      <c r="AJ613" s="5">
        <v>806.45</v>
      </c>
      <c r="AK613" s="5">
        <v>0</v>
      </c>
      <c r="AL613" s="5">
        <v>806.45</v>
      </c>
      <c r="AM613" s="8"/>
      <c r="AN613" s="8"/>
    </row>
    <row r="614" spans="1:40" ht="16" thickBot="1">
      <c r="A614" s="3">
        <v>613</v>
      </c>
      <c r="B614" s="19">
        <v>45957</v>
      </c>
      <c r="C614" s="5" t="s">
        <v>40</v>
      </c>
      <c r="D614" s="7" t="s">
        <v>41</v>
      </c>
      <c r="E614" s="6" t="s">
        <v>42</v>
      </c>
      <c r="F614" s="7" t="s">
        <v>176</v>
      </c>
      <c r="G614" s="5" t="s">
        <v>44</v>
      </c>
      <c r="H614" s="5" t="s">
        <v>45</v>
      </c>
      <c r="I614" s="5">
        <v>4</v>
      </c>
      <c r="J614" s="5">
        <v>8</v>
      </c>
      <c r="K614" s="5">
        <v>25000</v>
      </c>
      <c r="L614" s="5">
        <v>1000</v>
      </c>
      <c r="M614" s="5">
        <v>55</v>
      </c>
      <c r="N614" s="5">
        <v>31</v>
      </c>
      <c r="O614" s="6" t="s">
        <v>155</v>
      </c>
      <c r="P614" s="8"/>
      <c r="Q614" s="16">
        <v>4.9305555555555554E-2</v>
      </c>
      <c r="R614" s="16">
        <v>0.16130787037037037</v>
      </c>
      <c r="S614" s="6">
        <v>166162</v>
      </c>
      <c r="T614" s="16">
        <v>0.33866898148148145</v>
      </c>
      <c r="U614" s="16">
        <v>0.33875000000000005</v>
      </c>
      <c r="V614" s="6">
        <v>166182</v>
      </c>
      <c r="W614" s="6">
        <v>30</v>
      </c>
      <c r="X614" s="6">
        <v>39</v>
      </c>
      <c r="Y614" s="12">
        <v>-9</v>
      </c>
      <c r="Z614" s="12">
        <v>20</v>
      </c>
      <c r="AA614" s="12">
        <v>20</v>
      </c>
      <c r="AB614" s="12">
        <v>0</v>
      </c>
      <c r="AC614" s="12">
        <v>0</v>
      </c>
      <c r="AD614" s="13">
        <v>1</v>
      </c>
      <c r="AE614" s="12">
        <v>150</v>
      </c>
      <c r="AF614" s="14">
        <v>0</v>
      </c>
      <c r="AG614" s="5">
        <v>0</v>
      </c>
      <c r="AH614" s="5">
        <v>0</v>
      </c>
      <c r="AI614" s="5">
        <v>0</v>
      </c>
      <c r="AJ614" s="5">
        <v>956.45</v>
      </c>
      <c r="AK614" s="5">
        <v>0</v>
      </c>
      <c r="AL614" s="5">
        <v>956.45</v>
      </c>
      <c r="AM614" s="8"/>
      <c r="AN614" s="8"/>
    </row>
    <row r="615" spans="1:40" ht="16" thickBot="1">
      <c r="A615" s="3">
        <v>614</v>
      </c>
      <c r="B615" s="19">
        <v>45957</v>
      </c>
      <c r="C615" s="5" t="s">
        <v>40</v>
      </c>
      <c r="D615" s="7" t="s">
        <v>41</v>
      </c>
      <c r="E615" s="6" t="s">
        <v>42</v>
      </c>
      <c r="F615" s="7" t="s">
        <v>182</v>
      </c>
      <c r="G615" s="5" t="s">
        <v>44</v>
      </c>
      <c r="H615" s="5" t="s">
        <v>45</v>
      </c>
      <c r="I615" s="5">
        <v>4</v>
      </c>
      <c r="J615" s="5">
        <v>8</v>
      </c>
      <c r="K615" s="5">
        <v>25000</v>
      </c>
      <c r="L615" s="5">
        <v>1000</v>
      </c>
      <c r="M615" s="5">
        <v>55</v>
      </c>
      <c r="N615" s="5">
        <v>31</v>
      </c>
      <c r="O615" s="6" t="s">
        <v>102</v>
      </c>
      <c r="P615" s="8"/>
      <c r="Q615" s="16">
        <v>7.7083333333333337E-2</v>
      </c>
      <c r="R615" s="16">
        <v>0.15349537037037037</v>
      </c>
      <c r="S615" s="6">
        <v>116766</v>
      </c>
      <c r="T615" s="16">
        <v>0.33884259259259258</v>
      </c>
      <c r="U615" s="16">
        <v>0.33899305555555559</v>
      </c>
      <c r="V615" s="6">
        <v>116792</v>
      </c>
      <c r="W615" s="6">
        <v>22</v>
      </c>
      <c r="X615" s="6">
        <v>61</v>
      </c>
      <c r="Y615" s="12">
        <v>-39</v>
      </c>
      <c r="Z615" s="12">
        <v>26</v>
      </c>
      <c r="AA615" s="12">
        <v>26</v>
      </c>
      <c r="AB615" s="12">
        <v>0</v>
      </c>
      <c r="AC615" s="12">
        <v>0</v>
      </c>
      <c r="AD615" s="13">
        <v>1</v>
      </c>
      <c r="AE615" s="12">
        <v>150</v>
      </c>
      <c r="AF615" s="14">
        <v>0</v>
      </c>
      <c r="AG615" s="5">
        <v>0</v>
      </c>
      <c r="AH615" s="5">
        <v>0</v>
      </c>
      <c r="AI615" s="5">
        <v>0</v>
      </c>
      <c r="AJ615" s="5">
        <v>956.45</v>
      </c>
      <c r="AK615" s="5">
        <v>0</v>
      </c>
      <c r="AL615" s="5">
        <v>956.45</v>
      </c>
      <c r="AM615" s="8"/>
      <c r="AN615" s="8"/>
    </row>
    <row r="616" spans="1:40" ht="16" thickBot="1">
      <c r="A616" s="3">
        <v>615</v>
      </c>
      <c r="B616" s="19">
        <v>45957</v>
      </c>
      <c r="C616" s="5" t="s">
        <v>40</v>
      </c>
      <c r="D616" s="7" t="s">
        <v>41</v>
      </c>
      <c r="E616" s="6" t="s">
        <v>42</v>
      </c>
      <c r="F616" s="7" t="s">
        <v>57</v>
      </c>
      <c r="G616" s="5" t="s">
        <v>44</v>
      </c>
      <c r="H616" s="5" t="s">
        <v>45</v>
      </c>
      <c r="I616" s="5">
        <v>4</v>
      </c>
      <c r="J616" s="5">
        <v>8</v>
      </c>
      <c r="K616" s="5">
        <v>25000</v>
      </c>
      <c r="L616" s="5">
        <v>1000</v>
      </c>
      <c r="M616" s="5">
        <v>55</v>
      </c>
      <c r="N616" s="5">
        <v>31</v>
      </c>
      <c r="O616" s="6" t="s">
        <v>58</v>
      </c>
      <c r="P616" s="8"/>
      <c r="Q616" s="16">
        <v>6.1111111111111116E-2</v>
      </c>
      <c r="R616" s="16">
        <v>0.1592824074074074</v>
      </c>
      <c r="S616" s="6">
        <v>146293</v>
      </c>
      <c r="T616" s="16">
        <v>0.33795138888888893</v>
      </c>
      <c r="U616" s="16">
        <v>0.33827546296296296</v>
      </c>
      <c r="V616" s="6">
        <v>146316</v>
      </c>
      <c r="W616" s="6">
        <v>30</v>
      </c>
      <c r="X616" s="6">
        <v>40</v>
      </c>
      <c r="Y616" s="12">
        <v>-10</v>
      </c>
      <c r="Z616" s="12">
        <v>23</v>
      </c>
      <c r="AA616" s="12">
        <v>23</v>
      </c>
      <c r="AB616" s="12">
        <v>0</v>
      </c>
      <c r="AC616" s="12">
        <v>0</v>
      </c>
      <c r="AD616" s="13">
        <v>1</v>
      </c>
      <c r="AE616" s="12">
        <v>150</v>
      </c>
      <c r="AF616" s="14">
        <v>0</v>
      </c>
      <c r="AG616" s="5">
        <v>0</v>
      </c>
      <c r="AH616" s="5">
        <v>0</v>
      </c>
      <c r="AI616" s="5">
        <v>0</v>
      </c>
      <c r="AJ616" s="5">
        <v>956.45</v>
      </c>
      <c r="AK616" s="5">
        <v>0</v>
      </c>
      <c r="AL616" s="5">
        <v>956.45</v>
      </c>
      <c r="AM616" s="8"/>
      <c r="AN616" s="8"/>
    </row>
    <row r="617" spans="1:40" ht="16" thickBot="1">
      <c r="A617" s="3">
        <v>616</v>
      </c>
      <c r="B617" s="19">
        <v>45957</v>
      </c>
      <c r="C617" s="5" t="s">
        <v>40</v>
      </c>
      <c r="D617" s="7" t="s">
        <v>41</v>
      </c>
      <c r="E617" s="6" t="s">
        <v>42</v>
      </c>
      <c r="F617" s="7" t="s">
        <v>59</v>
      </c>
      <c r="G617" s="5" t="s">
        <v>44</v>
      </c>
      <c r="H617" s="5" t="s">
        <v>45</v>
      </c>
      <c r="I617" s="5">
        <v>4</v>
      </c>
      <c r="J617" s="5">
        <v>8</v>
      </c>
      <c r="K617" s="5">
        <v>25000</v>
      </c>
      <c r="L617" s="5">
        <v>1000</v>
      </c>
      <c r="M617" s="5">
        <v>55</v>
      </c>
      <c r="N617" s="5">
        <v>31</v>
      </c>
      <c r="O617" s="6" t="s">
        <v>46</v>
      </c>
      <c r="P617" s="8"/>
      <c r="Q617" s="16">
        <v>0.12291666666666667</v>
      </c>
      <c r="R617" s="16">
        <v>0.33099537037037036</v>
      </c>
      <c r="S617" s="6">
        <v>160131</v>
      </c>
      <c r="T617" s="16">
        <v>0.33113425925925927</v>
      </c>
      <c r="U617" s="16">
        <v>0.33123842592592595</v>
      </c>
      <c r="V617" s="6">
        <v>160131</v>
      </c>
      <c r="W617" s="6">
        <v>0</v>
      </c>
      <c r="X617" s="6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3">
        <v>0</v>
      </c>
      <c r="AE617" s="12">
        <v>0</v>
      </c>
      <c r="AF617" s="14">
        <v>0</v>
      </c>
      <c r="AG617" s="5">
        <v>0</v>
      </c>
      <c r="AH617" s="5">
        <v>0</v>
      </c>
      <c r="AI617" s="5">
        <v>0</v>
      </c>
      <c r="AJ617" s="5">
        <v>806.45</v>
      </c>
      <c r="AK617" s="5">
        <v>0</v>
      </c>
      <c r="AL617" s="5">
        <v>806.45</v>
      </c>
      <c r="AM617" s="8"/>
      <c r="AN617" s="8"/>
    </row>
    <row r="618" spans="1:40" ht="16" thickBot="1">
      <c r="A618" s="3">
        <v>617</v>
      </c>
      <c r="B618" s="19">
        <v>45957</v>
      </c>
      <c r="C618" s="5" t="s">
        <v>40</v>
      </c>
      <c r="D618" s="7" t="s">
        <v>41</v>
      </c>
      <c r="E618" s="6" t="s">
        <v>42</v>
      </c>
      <c r="F618" s="7" t="s">
        <v>60</v>
      </c>
      <c r="G618" s="5" t="s">
        <v>44</v>
      </c>
      <c r="H618" s="5" t="s">
        <v>45</v>
      </c>
      <c r="I618" s="5">
        <v>4</v>
      </c>
      <c r="J618" s="5">
        <v>8</v>
      </c>
      <c r="K618" s="5">
        <v>25000</v>
      </c>
      <c r="L618" s="5">
        <v>1000</v>
      </c>
      <c r="M618" s="5">
        <v>55</v>
      </c>
      <c r="N618" s="5">
        <v>31</v>
      </c>
      <c r="O618" s="6" t="s">
        <v>69</v>
      </c>
      <c r="P618" s="8"/>
      <c r="Q618" s="16">
        <v>5.2083333333333336E-2</v>
      </c>
      <c r="R618" s="16">
        <v>0.15159722222222222</v>
      </c>
      <c r="S618" s="6">
        <v>114940</v>
      </c>
      <c r="T618" s="16">
        <v>0.32523148148148145</v>
      </c>
      <c r="U618" s="16">
        <v>0.32534722222222223</v>
      </c>
      <c r="V618" s="6">
        <v>114956</v>
      </c>
      <c r="W618" s="6">
        <v>40</v>
      </c>
      <c r="X618" s="6">
        <v>42</v>
      </c>
      <c r="Y618" s="12">
        <v>-2</v>
      </c>
      <c r="Z618" s="12">
        <v>16</v>
      </c>
      <c r="AA618" s="12">
        <v>16</v>
      </c>
      <c r="AB618" s="12">
        <v>0</v>
      </c>
      <c r="AC618" s="12">
        <v>0</v>
      </c>
      <c r="AD618" s="13">
        <v>0</v>
      </c>
      <c r="AE618" s="12">
        <v>0</v>
      </c>
      <c r="AF618" s="14">
        <v>0</v>
      </c>
      <c r="AG618" s="5">
        <v>0</v>
      </c>
      <c r="AH618" s="5">
        <v>0</v>
      </c>
      <c r="AI618" s="5">
        <v>0</v>
      </c>
      <c r="AJ618" s="5">
        <v>806.45</v>
      </c>
      <c r="AK618" s="5">
        <v>0</v>
      </c>
      <c r="AL618" s="5">
        <v>806.45</v>
      </c>
      <c r="AM618" s="8"/>
      <c r="AN618" s="8"/>
    </row>
    <row r="619" spans="1:40" ht="16" thickBot="1">
      <c r="A619" s="3">
        <v>618</v>
      </c>
      <c r="B619" s="19">
        <v>45957</v>
      </c>
      <c r="C619" s="5" t="s">
        <v>40</v>
      </c>
      <c r="D619" s="7" t="s">
        <v>41</v>
      </c>
      <c r="E619" s="6" t="s">
        <v>42</v>
      </c>
      <c r="F619" s="7" t="s">
        <v>97</v>
      </c>
      <c r="G619" s="5" t="s">
        <v>44</v>
      </c>
      <c r="H619" s="5" t="s">
        <v>45</v>
      </c>
      <c r="I619" s="5">
        <v>4</v>
      </c>
      <c r="J619" s="5">
        <v>8</v>
      </c>
      <c r="K619" s="5">
        <v>25000</v>
      </c>
      <c r="L619" s="5">
        <v>1000</v>
      </c>
      <c r="M619" s="5">
        <v>55</v>
      </c>
      <c r="N619" s="5">
        <v>31</v>
      </c>
      <c r="O619" s="6" t="s">
        <v>190</v>
      </c>
      <c r="P619" s="8"/>
      <c r="Q619" s="16">
        <v>6.9444444444444434E-2</v>
      </c>
      <c r="R619" s="16">
        <v>0.16179398148148147</v>
      </c>
      <c r="S619" s="6">
        <v>79355</v>
      </c>
      <c r="T619" s="16">
        <v>0.30868055555555557</v>
      </c>
      <c r="U619" s="16">
        <v>0.30880787037037039</v>
      </c>
      <c r="V619" s="6">
        <v>79381</v>
      </c>
      <c r="W619" s="6">
        <v>42</v>
      </c>
      <c r="X619" s="6">
        <v>41</v>
      </c>
      <c r="Y619" s="12">
        <v>1</v>
      </c>
      <c r="Z619" s="12">
        <v>26</v>
      </c>
      <c r="AA619" s="12">
        <v>26</v>
      </c>
      <c r="AB619" s="12">
        <v>0</v>
      </c>
      <c r="AC619" s="12">
        <v>0</v>
      </c>
      <c r="AD619" s="13">
        <v>0</v>
      </c>
      <c r="AE619" s="12">
        <v>0</v>
      </c>
      <c r="AF619" s="14">
        <v>0</v>
      </c>
      <c r="AG619" s="5">
        <v>0</v>
      </c>
      <c r="AH619" s="5">
        <v>0</v>
      </c>
      <c r="AI619" s="5">
        <v>0</v>
      </c>
      <c r="AJ619" s="5">
        <v>806.45</v>
      </c>
      <c r="AK619" s="5">
        <v>0</v>
      </c>
      <c r="AL619" s="5">
        <v>806.45</v>
      </c>
      <c r="AM619" s="8"/>
      <c r="AN619" s="8"/>
    </row>
    <row r="620" spans="1:40" ht="16" thickBot="1">
      <c r="A620" s="3">
        <v>619</v>
      </c>
      <c r="B620" s="19">
        <v>45957</v>
      </c>
      <c r="C620" s="5" t="s">
        <v>40</v>
      </c>
      <c r="D620" s="7" t="s">
        <v>41</v>
      </c>
      <c r="E620" s="6" t="s">
        <v>42</v>
      </c>
      <c r="F620" s="7" t="s">
        <v>62</v>
      </c>
      <c r="G620" s="5" t="s">
        <v>44</v>
      </c>
      <c r="H620" s="5" t="s">
        <v>45</v>
      </c>
      <c r="I620" s="5">
        <v>6</v>
      </c>
      <c r="J620" s="5">
        <v>8</v>
      </c>
      <c r="K620" s="5">
        <v>33000</v>
      </c>
      <c r="L620" s="5">
        <v>2000</v>
      </c>
      <c r="M620" s="5">
        <v>55</v>
      </c>
      <c r="N620" s="5">
        <v>31</v>
      </c>
      <c r="O620" s="6" t="s">
        <v>63</v>
      </c>
      <c r="P620" s="8"/>
      <c r="Q620" s="16">
        <v>4.8611111111111112E-2</v>
      </c>
      <c r="R620" s="16">
        <v>0.15947916666666667</v>
      </c>
      <c r="S620" s="6">
        <v>48883</v>
      </c>
      <c r="T620" s="16">
        <v>0.36479166666666668</v>
      </c>
      <c r="U620" s="16">
        <v>0.36488425925925921</v>
      </c>
      <c r="V620" s="6">
        <v>48939</v>
      </c>
      <c r="W620" s="6">
        <v>23</v>
      </c>
      <c r="X620" s="6">
        <v>25</v>
      </c>
      <c r="Y620" s="12">
        <v>-2</v>
      </c>
      <c r="Z620" s="12">
        <v>56</v>
      </c>
      <c r="AA620" s="12">
        <v>56</v>
      </c>
      <c r="AB620" s="12">
        <v>0</v>
      </c>
      <c r="AC620" s="12">
        <v>0</v>
      </c>
      <c r="AD620" s="13">
        <v>0</v>
      </c>
      <c r="AE620" s="12">
        <v>0</v>
      </c>
      <c r="AF620" s="14">
        <v>0</v>
      </c>
      <c r="AG620" s="5">
        <v>0</v>
      </c>
      <c r="AH620" s="5">
        <v>0</v>
      </c>
      <c r="AI620" s="5">
        <v>0</v>
      </c>
      <c r="AJ620" s="5">
        <v>1064.52</v>
      </c>
      <c r="AK620" s="5">
        <v>0</v>
      </c>
      <c r="AL620" s="5">
        <v>1064.52</v>
      </c>
      <c r="AM620" s="8"/>
      <c r="AN620" s="8"/>
    </row>
    <row r="621" spans="1:40" ht="16" thickBot="1">
      <c r="A621" s="3">
        <v>620</v>
      </c>
      <c r="B621" s="19">
        <v>45957</v>
      </c>
      <c r="C621" s="5" t="s">
        <v>40</v>
      </c>
      <c r="D621" s="7" t="s">
        <v>41</v>
      </c>
      <c r="E621" s="6" t="s">
        <v>42</v>
      </c>
      <c r="F621" s="7" t="s">
        <v>101</v>
      </c>
      <c r="G621" s="5" t="s">
        <v>44</v>
      </c>
      <c r="H621" s="5" t="s">
        <v>45</v>
      </c>
      <c r="I621" s="5">
        <v>4</v>
      </c>
      <c r="J621" s="5">
        <v>8</v>
      </c>
      <c r="K621" s="5">
        <v>25000</v>
      </c>
      <c r="L621" s="5">
        <v>1000</v>
      </c>
      <c r="M621" s="5">
        <v>55</v>
      </c>
      <c r="N621" s="5">
        <v>31</v>
      </c>
      <c r="O621" s="6" t="s">
        <v>79</v>
      </c>
      <c r="P621" s="8"/>
      <c r="Q621" s="16">
        <v>0.1013888888888889</v>
      </c>
      <c r="R621" s="16">
        <v>0.15741898148148148</v>
      </c>
      <c r="S621" s="6">
        <v>119065</v>
      </c>
      <c r="T621" s="16">
        <v>0.33194444444444443</v>
      </c>
      <c r="U621" s="16">
        <v>0.33202546296296293</v>
      </c>
      <c r="V621" s="6">
        <v>119090</v>
      </c>
      <c r="W621" s="6">
        <v>32</v>
      </c>
      <c r="X621" s="6">
        <v>32</v>
      </c>
      <c r="Y621" s="12">
        <v>0</v>
      </c>
      <c r="Z621" s="12">
        <v>25</v>
      </c>
      <c r="AA621" s="12">
        <v>25</v>
      </c>
      <c r="AB621" s="12">
        <v>0</v>
      </c>
      <c r="AC621" s="12">
        <v>0</v>
      </c>
      <c r="AD621" s="13">
        <v>0</v>
      </c>
      <c r="AE621" s="12">
        <v>0</v>
      </c>
      <c r="AF621" s="14">
        <v>0</v>
      </c>
      <c r="AG621" s="5">
        <v>0</v>
      </c>
      <c r="AH621" s="5">
        <v>0</v>
      </c>
      <c r="AI621" s="5">
        <v>0</v>
      </c>
      <c r="AJ621" s="5">
        <v>806.45</v>
      </c>
      <c r="AK621" s="5">
        <v>0</v>
      </c>
      <c r="AL621" s="5">
        <v>806.45</v>
      </c>
      <c r="AM621" s="8"/>
      <c r="AN621" s="8"/>
    </row>
    <row r="622" spans="1:40" ht="16" thickBot="1">
      <c r="A622" s="3">
        <v>621</v>
      </c>
      <c r="B622" s="19">
        <v>45957</v>
      </c>
      <c r="C622" s="5" t="s">
        <v>40</v>
      </c>
      <c r="D622" s="7" t="s">
        <v>41</v>
      </c>
      <c r="E622" s="6" t="s">
        <v>42</v>
      </c>
      <c r="F622" s="7" t="s">
        <v>185</v>
      </c>
      <c r="G622" s="5" t="s">
        <v>44</v>
      </c>
      <c r="H622" s="5" t="s">
        <v>45</v>
      </c>
      <c r="I622" s="5">
        <v>4</v>
      </c>
      <c r="J622" s="5">
        <v>8</v>
      </c>
      <c r="K622" s="5">
        <v>25000</v>
      </c>
      <c r="L622" s="5">
        <v>1000</v>
      </c>
      <c r="M622" s="5">
        <v>55</v>
      </c>
      <c r="N622" s="5">
        <v>31</v>
      </c>
      <c r="O622" s="6" t="s">
        <v>186</v>
      </c>
      <c r="P622" s="8"/>
      <c r="Q622" s="16">
        <v>5.9027777777777783E-2</v>
      </c>
      <c r="R622" s="16">
        <v>0.16113425925925925</v>
      </c>
      <c r="S622" s="6">
        <v>66611</v>
      </c>
      <c r="T622" s="16">
        <v>0.35604166666666665</v>
      </c>
      <c r="U622" s="16">
        <v>0.35634259259259254</v>
      </c>
      <c r="V622" s="6">
        <v>66662</v>
      </c>
      <c r="W622" s="6">
        <v>0</v>
      </c>
      <c r="X622" s="6">
        <v>27</v>
      </c>
      <c r="Y622" s="12">
        <v>-27</v>
      </c>
      <c r="Z622" s="12">
        <v>51</v>
      </c>
      <c r="AA622" s="12">
        <v>51</v>
      </c>
      <c r="AB622" s="12">
        <v>0</v>
      </c>
      <c r="AC622" s="12">
        <v>0</v>
      </c>
      <c r="AD622" s="13">
        <v>1</v>
      </c>
      <c r="AE622" s="12">
        <v>150</v>
      </c>
      <c r="AF622" s="14">
        <v>0</v>
      </c>
      <c r="AG622" s="5">
        <v>0</v>
      </c>
      <c r="AH622" s="5">
        <v>0</v>
      </c>
      <c r="AI622" s="5">
        <v>0</v>
      </c>
      <c r="AJ622" s="5">
        <v>956.45</v>
      </c>
      <c r="AK622" s="5">
        <v>0</v>
      </c>
      <c r="AL622" s="5">
        <v>956.45</v>
      </c>
      <c r="AM622" s="8"/>
      <c r="AN622" s="8"/>
    </row>
    <row r="623" spans="1:40" ht="16" thickBot="1">
      <c r="A623" s="3">
        <v>622</v>
      </c>
      <c r="B623" s="19">
        <v>45957</v>
      </c>
      <c r="C623" s="5" t="s">
        <v>40</v>
      </c>
      <c r="D623" s="7" t="s">
        <v>41</v>
      </c>
      <c r="E623" s="6" t="s">
        <v>42</v>
      </c>
      <c r="F623" s="7" t="s">
        <v>178</v>
      </c>
      <c r="G623" s="5" t="s">
        <v>44</v>
      </c>
      <c r="H623" s="5" t="s">
        <v>45</v>
      </c>
      <c r="I623" s="5">
        <v>4</v>
      </c>
      <c r="J623" s="5">
        <v>8</v>
      </c>
      <c r="K623" s="5">
        <v>25000</v>
      </c>
      <c r="L623" s="5">
        <v>1000</v>
      </c>
      <c r="M623" s="5">
        <v>55</v>
      </c>
      <c r="N623" s="5">
        <v>31</v>
      </c>
      <c r="O623" s="6" t="s">
        <v>110</v>
      </c>
      <c r="P623" s="8"/>
      <c r="Q623" s="16">
        <v>4.8611111111111112E-2</v>
      </c>
      <c r="R623" s="16">
        <v>0.1504398148148148</v>
      </c>
      <c r="S623" s="6">
        <v>45462</v>
      </c>
      <c r="T623" s="16">
        <v>0.3147685185185185</v>
      </c>
      <c r="U623" s="16">
        <v>0.31489583333333332</v>
      </c>
      <c r="V623" s="6">
        <v>45477</v>
      </c>
      <c r="W623" s="6">
        <v>66</v>
      </c>
      <c r="X623" s="6">
        <v>66</v>
      </c>
      <c r="Y623" s="12">
        <v>0</v>
      </c>
      <c r="Z623" s="12">
        <v>15</v>
      </c>
      <c r="AA623" s="12">
        <v>15</v>
      </c>
      <c r="AB623" s="12">
        <v>0</v>
      </c>
      <c r="AC623" s="12">
        <v>0</v>
      </c>
      <c r="AD623" s="13">
        <v>0</v>
      </c>
      <c r="AE623" s="12">
        <v>0</v>
      </c>
      <c r="AF623" s="14">
        <v>0</v>
      </c>
      <c r="AG623" s="5">
        <v>0</v>
      </c>
      <c r="AH623" s="5">
        <v>0</v>
      </c>
      <c r="AI623" s="5">
        <v>0</v>
      </c>
      <c r="AJ623" s="5">
        <v>806.45</v>
      </c>
      <c r="AK623" s="5">
        <v>0</v>
      </c>
      <c r="AL623" s="5">
        <v>806.45</v>
      </c>
      <c r="AM623" s="8"/>
      <c r="AN623" s="8"/>
    </row>
    <row r="624" spans="1:40" ht="16" thickBot="1">
      <c r="A624" s="3">
        <v>623</v>
      </c>
      <c r="B624" s="19">
        <v>45957</v>
      </c>
      <c r="C624" s="5" t="s">
        <v>40</v>
      </c>
      <c r="D624" s="7" t="s">
        <v>41</v>
      </c>
      <c r="E624" s="6" t="s">
        <v>42</v>
      </c>
      <c r="F624" s="7" t="s">
        <v>68</v>
      </c>
      <c r="G624" s="5" t="s">
        <v>44</v>
      </c>
      <c r="H624" s="5" t="s">
        <v>45</v>
      </c>
      <c r="I624" s="5">
        <v>4</v>
      </c>
      <c r="J624" s="5">
        <v>8</v>
      </c>
      <c r="K624" s="5">
        <v>25000</v>
      </c>
      <c r="L624" s="5">
        <v>1000</v>
      </c>
      <c r="M624" s="5">
        <v>55</v>
      </c>
      <c r="N624" s="5">
        <v>31</v>
      </c>
      <c r="O624" s="6" t="s">
        <v>81</v>
      </c>
      <c r="P624" s="8"/>
      <c r="Q624" s="16">
        <v>5.347222222222222E-2</v>
      </c>
      <c r="R624" s="16">
        <v>0.15224537037037036</v>
      </c>
      <c r="S624" s="6">
        <v>85739</v>
      </c>
      <c r="T624" s="16">
        <v>0.31385416666666666</v>
      </c>
      <c r="U624" s="16">
        <v>0.31393518518518521</v>
      </c>
      <c r="V624" s="6">
        <v>85756</v>
      </c>
      <c r="W624" s="6">
        <v>32</v>
      </c>
      <c r="X624" s="6">
        <v>31</v>
      </c>
      <c r="Y624" s="12">
        <v>1</v>
      </c>
      <c r="Z624" s="12">
        <v>17</v>
      </c>
      <c r="AA624" s="12">
        <v>17</v>
      </c>
      <c r="AB624" s="12">
        <v>0</v>
      </c>
      <c r="AC624" s="12">
        <v>0</v>
      </c>
      <c r="AD624" s="13">
        <v>0</v>
      </c>
      <c r="AE624" s="12">
        <v>0</v>
      </c>
      <c r="AF624" s="14">
        <v>0</v>
      </c>
      <c r="AG624" s="5">
        <v>0</v>
      </c>
      <c r="AH624" s="5">
        <v>0</v>
      </c>
      <c r="AI624" s="5">
        <v>0</v>
      </c>
      <c r="AJ624" s="5">
        <v>806.45</v>
      </c>
      <c r="AK624" s="5">
        <v>0</v>
      </c>
      <c r="AL624" s="5">
        <v>806.45</v>
      </c>
      <c r="AM624" s="8"/>
      <c r="AN624" s="8"/>
    </row>
    <row r="625" spans="1:40" ht="16" thickBot="1">
      <c r="A625" s="3">
        <v>624</v>
      </c>
      <c r="B625" s="19">
        <v>45957</v>
      </c>
      <c r="C625" s="5" t="s">
        <v>40</v>
      </c>
      <c r="D625" s="7" t="s">
        <v>41</v>
      </c>
      <c r="E625" s="6" t="s">
        <v>42</v>
      </c>
      <c r="F625" s="7" t="s">
        <v>74</v>
      </c>
      <c r="G625" s="5" t="s">
        <v>44</v>
      </c>
      <c r="H625" s="5" t="s">
        <v>45</v>
      </c>
      <c r="I625" s="5">
        <v>4</v>
      </c>
      <c r="J625" s="5">
        <v>8</v>
      </c>
      <c r="K625" s="5">
        <v>25000</v>
      </c>
      <c r="L625" s="5">
        <v>1000</v>
      </c>
      <c r="M625" s="5">
        <v>55</v>
      </c>
      <c r="N625" s="5">
        <v>31</v>
      </c>
      <c r="O625" s="6" t="s">
        <v>75</v>
      </c>
      <c r="P625" s="8"/>
      <c r="Q625" s="16">
        <v>5.2777777777777778E-2</v>
      </c>
      <c r="R625" s="16">
        <v>0.15175925925925926</v>
      </c>
      <c r="S625" s="6">
        <v>39650</v>
      </c>
      <c r="T625" s="16">
        <v>0.31275462962962963</v>
      </c>
      <c r="U625" s="16">
        <v>0.32854166666666668</v>
      </c>
      <c r="V625" s="6">
        <v>39664</v>
      </c>
      <c r="W625" s="6">
        <v>40</v>
      </c>
      <c r="X625" s="6">
        <v>30</v>
      </c>
      <c r="Y625" s="12">
        <v>10</v>
      </c>
      <c r="Z625" s="12">
        <v>14</v>
      </c>
      <c r="AA625" s="12">
        <v>14</v>
      </c>
      <c r="AB625" s="12">
        <v>0</v>
      </c>
      <c r="AC625" s="12">
        <v>0</v>
      </c>
      <c r="AD625" s="13">
        <v>0</v>
      </c>
      <c r="AE625" s="12">
        <v>0</v>
      </c>
      <c r="AF625" s="14">
        <v>0</v>
      </c>
      <c r="AG625" s="5">
        <v>0</v>
      </c>
      <c r="AH625" s="5">
        <v>0</v>
      </c>
      <c r="AI625" s="5">
        <v>0</v>
      </c>
      <c r="AJ625" s="5">
        <v>806.45</v>
      </c>
      <c r="AK625" s="5">
        <v>0</v>
      </c>
      <c r="AL625" s="5">
        <v>806.45</v>
      </c>
      <c r="AM625" s="8"/>
      <c r="AN625" s="8"/>
    </row>
    <row r="626" spans="1:40" ht="16" thickBot="1">
      <c r="A626" s="3">
        <v>625</v>
      </c>
      <c r="B626" s="19">
        <v>45957</v>
      </c>
      <c r="C626" s="5" t="s">
        <v>40</v>
      </c>
      <c r="D626" s="7" t="s">
        <v>41</v>
      </c>
      <c r="E626" s="6" t="s">
        <v>42</v>
      </c>
      <c r="F626" s="7" t="s">
        <v>78</v>
      </c>
      <c r="G626" s="5" t="s">
        <v>44</v>
      </c>
      <c r="H626" s="5" t="s">
        <v>45</v>
      </c>
      <c r="I626" s="5">
        <v>4</v>
      </c>
      <c r="J626" s="5">
        <v>8</v>
      </c>
      <c r="K626" s="5">
        <v>25000</v>
      </c>
      <c r="L626" s="5">
        <v>1000</v>
      </c>
      <c r="M626" s="5">
        <v>55</v>
      </c>
      <c r="N626" s="5">
        <v>31</v>
      </c>
      <c r="O626" s="6" t="s">
        <v>115</v>
      </c>
      <c r="P626" s="8"/>
      <c r="Q626" s="16">
        <v>8.9583333333333334E-2</v>
      </c>
      <c r="R626" s="16">
        <v>0.15722222222222224</v>
      </c>
      <c r="S626" s="6">
        <v>8531</v>
      </c>
      <c r="T626" s="16">
        <v>0.31336805555555552</v>
      </c>
      <c r="U626" s="16">
        <v>0.3134837962962963</v>
      </c>
      <c r="V626" s="6">
        <v>8559</v>
      </c>
      <c r="W626" s="6">
        <v>50</v>
      </c>
      <c r="X626" s="6">
        <v>21</v>
      </c>
      <c r="Y626" s="12">
        <v>29</v>
      </c>
      <c r="Z626" s="12">
        <v>28</v>
      </c>
      <c r="AA626" s="12">
        <v>28</v>
      </c>
      <c r="AB626" s="12">
        <v>0</v>
      </c>
      <c r="AC626" s="12">
        <v>0</v>
      </c>
      <c r="AD626" s="13">
        <v>0</v>
      </c>
      <c r="AE626" s="12">
        <v>0</v>
      </c>
      <c r="AF626" s="14">
        <v>0</v>
      </c>
      <c r="AG626" s="5">
        <v>0</v>
      </c>
      <c r="AH626" s="5">
        <v>0</v>
      </c>
      <c r="AI626" s="5">
        <v>0</v>
      </c>
      <c r="AJ626" s="5">
        <v>806.45</v>
      </c>
      <c r="AK626" s="5">
        <v>0</v>
      </c>
      <c r="AL626" s="5">
        <v>806.45</v>
      </c>
      <c r="AM626" s="8"/>
      <c r="AN626" s="8"/>
    </row>
    <row r="627" spans="1:40" ht="16" thickBot="1">
      <c r="A627" s="3">
        <v>626</v>
      </c>
      <c r="B627" s="19">
        <v>45957</v>
      </c>
      <c r="C627" s="5" t="s">
        <v>40</v>
      </c>
      <c r="D627" s="7" t="s">
        <v>41</v>
      </c>
      <c r="E627" s="6" t="s">
        <v>42</v>
      </c>
      <c r="F627" s="7" t="s">
        <v>80</v>
      </c>
      <c r="G627" s="5" t="s">
        <v>44</v>
      </c>
      <c r="H627" s="5" t="s">
        <v>45</v>
      </c>
      <c r="I627" s="5">
        <v>4</v>
      </c>
      <c r="J627" s="5">
        <v>8</v>
      </c>
      <c r="K627" s="5">
        <v>25000</v>
      </c>
      <c r="L627" s="5">
        <v>1000</v>
      </c>
      <c r="M627" s="5">
        <v>55</v>
      </c>
      <c r="N627" s="5">
        <v>31</v>
      </c>
      <c r="O627" s="6" t="s">
        <v>61</v>
      </c>
      <c r="P627" s="8"/>
      <c r="Q627" s="16">
        <v>0.10694444444444444</v>
      </c>
      <c r="R627" s="16">
        <v>0.15313657407407408</v>
      </c>
      <c r="S627" s="6">
        <v>6276</v>
      </c>
      <c r="T627" s="16">
        <v>0.30660879629629628</v>
      </c>
      <c r="U627" s="16">
        <v>0.3067361111111111</v>
      </c>
      <c r="V627" s="6">
        <v>6289</v>
      </c>
      <c r="W627" s="6">
        <v>39</v>
      </c>
      <c r="X627" s="6">
        <v>44</v>
      </c>
      <c r="Y627" s="12">
        <v>-5</v>
      </c>
      <c r="Z627" s="12">
        <v>13</v>
      </c>
      <c r="AA627" s="12">
        <v>13</v>
      </c>
      <c r="AB627" s="12">
        <v>0</v>
      </c>
      <c r="AC627" s="12">
        <v>0</v>
      </c>
      <c r="AD627" s="13">
        <v>0</v>
      </c>
      <c r="AE627" s="12">
        <v>0</v>
      </c>
      <c r="AF627" s="14">
        <v>0</v>
      </c>
      <c r="AG627" s="5">
        <v>0</v>
      </c>
      <c r="AH627" s="5">
        <v>0</v>
      </c>
      <c r="AI627" s="5">
        <v>0</v>
      </c>
      <c r="AJ627" s="5">
        <v>806.45</v>
      </c>
      <c r="AK627" s="5">
        <v>0</v>
      </c>
      <c r="AL627" s="5">
        <v>806.45</v>
      </c>
      <c r="AM627" s="8"/>
      <c r="AN627" s="8"/>
    </row>
    <row r="628" spans="1:40" ht="16" thickBot="1">
      <c r="A628" s="3">
        <v>627</v>
      </c>
      <c r="B628" s="19">
        <v>45957</v>
      </c>
      <c r="C628" s="5" t="s">
        <v>40</v>
      </c>
      <c r="D628" s="7" t="s">
        <v>41</v>
      </c>
      <c r="E628" s="6" t="s">
        <v>42</v>
      </c>
      <c r="F628" s="7" t="s">
        <v>105</v>
      </c>
      <c r="G628" s="5" t="s">
        <v>44</v>
      </c>
      <c r="H628" s="5" t="s">
        <v>45</v>
      </c>
      <c r="I628" s="5">
        <v>4</v>
      </c>
      <c r="J628" s="5">
        <v>8</v>
      </c>
      <c r="K628" s="5">
        <v>25000</v>
      </c>
      <c r="L628" s="5">
        <v>1000</v>
      </c>
      <c r="M628" s="5">
        <v>55</v>
      </c>
      <c r="N628" s="5">
        <v>31</v>
      </c>
      <c r="O628" s="6" t="s">
        <v>98</v>
      </c>
      <c r="P628" s="8"/>
      <c r="Q628" s="16">
        <v>0.11527777777777777</v>
      </c>
      <c r="R628" s="16">
        <v>0.15706018518518519</v>
      </c>
      <c r="S628" s="6">
        <v>42272</v>
      </c>
      <c r="T628" s="16">
        <v>0.31312499999999999</v>
      </c>
      <c r="U628" s="16">
        <v>0.31321759259259258</v>
      </c>
      <c r="V628" s="6">
        <v>42302</v>
      </c>
      <c r="W628" s="6">
        <v>40</v>
      </c>
      <c r="X628" s="6">
        <v>28</v>
      </c>
      <c r="Y628" s="12">
        <v>12</v>
      </c>
      <c r="Z628" s="12">
        <v>30</v>
      </c>
      <c r="AA628" s="12">
        <v>30</v>
      </c>
      <c r="AB628" s="12">
        <v>0</v>
      </c>
      <c r="AC628" s="12">
        <v>0</v>
      </c>
      <c r="AD628" s="13">
        <v>0</v>
      </c>
      <c r="AE628" s="12">
        <v>0</v>
      </c>
      <c r="AF628" s="14">
        <v>0</v>
      </c>
      <c r="AG628" s="5">
        <v>0</v>
      </c>
      <c r="AH628" s="5">
        <v>0</v>
      </c>
      <c r="AI628" s="5">
        <v>0</v>
      </c>
      <c r="AJ628" s="5">
        <v>806.45</v>
      </c>
      <c r="AK628" s="5">
        <v>0</v>
      </c>
      <c r="AL628" s="5">
        <v>806.45</v>
      </c>
      <c r="AM628" s="8"/>
      <c r="AN628" s="8"/>
    </row>
    <row r="629" spans="1:40" ht="16" thickBot="1">
      <c r="A629" s="3">
        <v>628</v>
      </c>
      <c r="B629" s="19">
        <v>45957</v>
      </c>
      <c r="C629" s="5" t="s">
        <v>40</v>
      </c>
      <c r="D629" s="7" t="s">
        <v>41</v>
      </c>
      <c r="E629" s="6" t="s">
        <v>42</v>
      </c>
      <c r="F629" s="7" t="s">
        <v>82</v>
      </c>
      <c r="G629" s="10" t="s">
        <v>83</v>
      </c>
      <c r="H629" s="5" t="s">
        <v>84</v>
      </c>
      <c r="I629" s="5">
        <v>4</v>
      </c>
      <c r="J629" s="5">
        <v>10</v>
      </c>
      <c r="K629" s="6">
        <v>29000</v>
      </c>
      <c r="L629" s="5">
        <v>1000</v>
      </c>
      <c r="M629" s="5">
        <v>55</v>
      </c>
      <c r="N629" s="5">
        <v>31</v>
      </c>
      <c r="O629" s="6" t="s">
        <v>107</v>
      </c>
      <c r="P629" s="8"/>
      <c r="Q629" s="16">
        <v>0.11319444444444444</v>
      </c>
      <c r="R629" s="16">
        <v>0.15332175925925925</v>
      </c>
      <c r="S629" s="6">
        <v>32240</v>
      </c>
      <c r="T629" s="8"/>
      <c r="U629" s="8"/>
      <c r="V629" s="6">
        <v>32240</v>
      </c>
      <c r="W629" s="8"/>
      <c r="X629" s="6">
        <v>43</v>
      </c>
      <c r="Y629" s="12">
        <v>-43</v>
      </c>
      <c r="Z629" s="12">
        <v>0</v>
      </c>
      <c r="AA629" s="12">
        <v>0</v>
      </c>
      <c r="AB629" s="12">
        <v>0</v>
      </c>
      <c r="AC629" s="12">
        <v>0</v>
      </c>
      <c r="AD629" s="13">
        <v>0</v>
      </c>
      <c r="AE629" s="12">
        <v>0</v>
      </c>
      <c r="AF629" s="14">
        <v>0</v>
      </c>
      <c r="AG629" s="5">
        <v>0</v>
      </c>
      <c r="AH629" s="5">
        <v>0</v>
      </c>
      <c r="AI629" s="5">
        <v>0</v>
      </c>
      <c r="AJ629" s="5">
        <v>935.48</v>
      </c>
      <c r="AK629" s="5">
        <v>0</v>
      </c>
      <c r="AL629" s="5">
        <v>935.48</v>
      </c>
      <c r="AM629" s="8"/>
      <c r="AN629" s="8"/>
    </row>
    <row r="630" spans="1:40" ht="16" thickBot="1">
      <c r="A630" s="3">
        <v>629</v>
      </c>
      <c r="B630" s="19">
        <v>45957</v>
      </c>
      <c r="C630" s="5" t="s">
        <v>40</v>
      </c>
      <c r="D630" s="7" t="s">
        <v>41</v>
      </c>
      <c r="E630" s="6" t="s">
        <v>42</v>
      </c>
      <c r="F630" s="7" t="s">
        <v>85</v>
      </c>
      <c r="G630" s="10" t="s">
        <v>83</v>
      </c>
      <c r="H630" s="5" t="s">
        <v>84</v>
      </c>
      <c r="I630" s="5">
        <v>4</v>
      </c>
      <c r="J630" s="5">
        <v>10</v>
      </c>
      <c r="K630" s="6">
        <v>29000</v>
      </c>
      <c r="L630" s="5">
        <v>1000</v>
      </c>
      <c r="M630" s="5">
        <v>55</v>
      </c>
      <c r="N630" s="5">
        <v>31</v>
      </c>
      <c r="O630" s="6" t="s">
        <v>65</v>
      </c>
      <c r="P630" s="8"/>
      <c r="Q630" s="16">
        <v>7.6388888888888895E-2</v>
      </c>
      <c r="R630" s="16">
        <v>0.15434027777777778</v>
      </c>
      <c r="S630" s="6">
        <v>39946</v>
      </c>
      <c r="T630" s="16">
        <v>0.35961805555555554</v>
      </c>
      <c r="U630" s="16">
        <v>0.36001157407407408</v>
      </c>
      <c r="V630" s="6">
        <v>39974</v>
      </c>
      <c r="W630" s="6">
        <v>30</v>
      </c>
      <c r="X630" s="6">
        <v>36</v>
      </c>
      <c r="Y630" s="12">
        <v>-6</v>
      </c>
      <c r="Z630" s="12">
        <v>28</v>
      </c>
      <c r="AA630" s="12">
        <v>28</v>
      </c>
      <c r="AB630" s="12">
        <v>0</v>
      </c>
      <c r="AC630" s="12">
        <v>0</v>
      </c>
      <c r="AD630" s="13">
        <v>1</v>
      </c>
      <c r="AE630" s="12">
        <v>150</v>
      </c>
      <c r="AF630" s="14">
        <v>0</v>
      </c>
      <c r="AG630" s="5">
        <v>0</v>
      </c>
      <c r="AH630" s="5">
        <v>0</v>
      </c>
      <c r="AI630" s="5">
        <v>0</v>
      </c>
      <c r="AJ630" s="5">
        <v>1085.48</v>
      </c>
      <c r="AK630" s="5">
        <v>0</v>
      </c>
      <c r="AL630" s="5">
        <v>1085.48</v>
      </c>
      <c r="AM630" s="8"/>
      <c r="AN630" s="8"/>
    </row>
    <row r="631" spans="1:40" ht="16" thickBot="1">
      <c r="A631" s="3">
        <v>630</v>
      </c>
      <c r="B631" s="19">
        <v>45957</v>
      </c>
      <c r="C631" s="5" t="s">
        <v>40</v>
      </c>
      <c r="D631" s="7" t="s">
        <v>41</v>
      </c>
      <c r="E631" s="6" t="s">
        <v>42</v>
      </c>
      <c r="F631" s="7" t="s">
        <v>87</v>
      </c>
      <c r="G631" s="10" t="s">
        <v>83</v>
      </c>
      <c r="H631" s="5" t="s">
        <v>84</v>
      </c>
      <c r="I631" s="5">
        <v>4</v>
      </c>
      <c r="J631" s="5">
        <v>10</v>
      </c>
      <c r="K631" s="6">
        <v>29000</v>
      </c>
      <c r="L631" s="5">
        <v>1000</v>
      </c>
      <c r="M631" s="5">
        <v>55</v>
      </c>
      <c r="N631" s="5">
        <v>31</v>
      </c>
      <c r="O631" s="6" t="s">
        <v>108</v>
      </c>
      <c r="P631" s="8"/>
      <c r="Q631" s="16">
        <v>0.11180555555555556</v>
      </c>
      <c r="R631" s="16">
        <v>0.15349537037037037</v>
      </c>
      <c r="S631" s="6">
        <v>3980</v>
      </c>
      <c r="T631" s="16">
        <v>0.30127314814814815</v>
      </c>
      <c r="U631" s="16">
        <v>0.30144675925925929</v>
      </c>
      <c r="V631" s="6">
        <v>4008</v>
      </c>
      <c r="W631" s="6">
        <v>43</v>
      </c>
      <c r="X631" s="6">
        <v>48</v>
      </c>
      <c r="Y631" s="12">
        <v>-5</v>
      </c>
      <c r="Z631" s="12">
        <v>28</v>
      </c>
      <c r="AA631" s="12">
        <v>28</v>
      </c>
      <c r="AB631" s="12">
        <v>0</v>
      </c>
      <c r="AC631" s="12">
        <v>0</v>
      </c>
      <c r="AD631" s="13">
        <v>0</v>
      </c>
      <c r="AE631" s="12">
        <v>0</v>
      </c>
      <c r="AF631" s="14">
        <v>0</v>
      </c>
      <c r="AG631" s="5">
        <v>0</v>
      </c>
      <c r="AH631" s="5">
        <v>0</v>
      </c>
      <c r="AI631" s="5">
        <v>0</v>
      </c>
      <c r="AJ631" s="5">
        <v>935.48</v>
      </c>
      <c r="AK631" s="5">
        <v>0</v>
      </c>
      <c r="AL631" s="5">
        <v>935.48</v>
      </c>
      <c r="AM631" s="8"/>
      <c r="AN631" s="8"/>
    </row>
    <row r="632" spans="1:40" ht="16" thickBot="1">
      <c r="A632" s="3">
        <v>631</v>
      </c>
      <c r="B632" s="19">
        <v>45957</v>
      </c>
      <c r="C632" s="5" t="s">
        <v>40</v>
      </c>
      <c r="D632" s="7" t="s">
        <v>41</v>
      </c>
      <c r="E632" s="6" t="s">
        <v>42</v>
      </c>
      <c r="F632" s="7" t="s">
        <v>89</v>
      </c>
      <c r="G632" s="10" t="s">
        <v>83</v>
      </c>
      <c r="H632" s="5" t="s">
        <v>84</v>
      </c>
      <c r="I632" s="5">
        <v>4</v>
      </c>
      <c r="J632" s="5">
        <v>10</v>
      </c>
      <c r="K632" s="6">
        <v>29000</v>
      </c>
      <c r="L632" s="5">
        <v>1000</v>
      </c>
      <c r="M632" s="5">
        <v>55</v>
      </c>
      <c r="N632" s="5">
        <v>31</v>
      </c>
      <c r="O632" s="6" t="s">
        <v>90</v>
      </c>
      <c r="P632" s="8"/>
      <c r="Q632" s="16">
        <v>8.6111111111111124E-2</v>
      </c>
      <c r="R632" s="16">
        <v>0.16081018518518519</v>
      </c>
      <c r="S632" s="6">
        <v>139830</v>
      </c>
      <c r="T632" s="16">
        <v>0.32502314814814814</v>
      </c>
      <c r="U632" s="16">
        <v>0.32512731481481483</v>
      </c>
      <c r="V632" s="6">
        <v>139861</v>
      </c>
      <c r="W632" s="6">
        <v>40</v>
      </c>
      <c r="X632" s="6">
        <v>40</v>
      </c>
      <c r="Y632" s="12">
        <v>0</v>
      </c>
      <c r="Z632" s="12">
        <v>31</v>
      </c>
      <c r="AA632" s="12">
        <v>31</v>
      </c>
      <c r="AB632" s="12">
        <v>0</v>
      </c>
      <c r="AC632" s="12">
        <v>0</v>
      </c>
      <c r="AD632" s="13">
        <v>0</v>
      </c>
      <c r="AE632" s="12">
        <v>0</v>
      </c>
      <c r="AF632" s="14">
        <v>0</v>
      </c>
      <c r="AG632" s="5">
        <v>0</v>
      </c>
      <c r="AH632" s="5">
        <v>0</v>
      </c>
      <c r="AI632" s="5">
        <v>0</v>
      </c>
      <c r="AJ632" s="5">
        <v>935.48</v>
      </c>
      <c r="AK632" s="5">
        <v>0</v>
      </c>
      <c r="AL632" s="5">
        <v>935.48</v>
      </c>
      <c r="AM632" s="8"/>
      <c r="AN632" s="8"/>
    </row>
    <row r="633" spans="1:40" ht="16" thickBot="1">
      <c r="A633" s="3">
        <v>632</v>
      </c>
      <c r="B633" s="19">
        <v>45958</v>
      </c>
      <c r="C633" s="5" t="s">
        <v>40</v>
      </c>
      <c r="D633" s="7" t="s">
        <v>41</v>
      </c>
      <c r="E633" s="6" t="s">
        <v>42</v>
      </c>
      <c r="F633" s="7" t="s">
        <v>43</v>
      </c>
      <c r="G633" s="5" t="s">
        <v>44</v>
      </c>
      <c r="H633" s="5" t="s">
        <v>45</v>
      </c>
      <c r="I633" s="5">
        <v>4</v>
      </c>
      <c r="J633" s="5">
        <v>8</v>
      </c>
      <c r="K633" s="5">
        <v>25000</v>
      </c>
      <c r="L633" s="5">
        <v>1000</v>
      </c>
      <c r="M633" s="5">
        <v>55</v>
      </c>
      <c r="N633" s="5">
        <v>31</v>
      </c>
      <c r="O633" s="6" t="s">
        <v>46</v>
      </c>
      <c r="P633" s="8"/>
      <c r="Q633" s="16">
        <v>5.0694444444444452E-2</v>
      </c>
      <c r="R633" s="16">
        <v>0.16077546296296297</v>
      </c>
      <c r="S633" s="6">
        <v>58336</v>
      </c>
      <c r="T633" s="16">
        <v>0.27232638888888888</v>
      </c>
      <c r="U633" s="16">
        <v>0.27250000000000002</v>
      </c>
      <c r="V633" s="6">
        <v>58353</v>
      </c>
      <c r="W633" s="6">
        <v>30</v>
      </c>
      <c r="X633" s="6">
        <v>35</v>
      </c>
      <c r="Y633" s="12">
        <v>-5</v>
      </c>
      <c r="Z633" s="12">
        <v>17</v>
      </c>
      <c r="AA633" s="12">
        <v>17</v>
      </c>
      <c r="AB633" s="12">
        <v>0</v>
      </c>
      <c r="AC633" s="12">
        <v>0</v>
      </c>
      <c r="AD633" s="13">
        <v>0</v>
      </c>
      <c r="AE633" s="12">
        <v>0</v>
      </c>
      <c r="AF633" s="14">
        <v>0</v>
      </c>
      <c r="AG633" s="5">
        <v>0</v>
      </c>
      <c r="AH633" s="5">
        <v>0</v>
      </c>
      <c r="AI633" s="5">
        <v>0</v>
      </c>
      <c r="AJ633" s="5">
        <v>806.45</v>
      </c>
      <c r="AK633" s="5">
        <v>0</v>
      </c>
      <c r="AL633" s="5">
        <v>806.45</v>
      </c>
      <c r="AM633" s="8"/>
      <c r="AN633" s="8"/>
    </row>
    <row r="634" spans="1:40" ht="16" thickBot="1">
      <c r="A634" s="3">
        <v>633</v>
      </c>
      <c r="B634" s="19">
        <v>45958</v>
      </c>
      <c r="C634" s="5" t="s">
        <v>40</v>
      </c>
      <c r="D634" s="7" t="s">
        <v>41</v>
      </c>
      <c r="E634" s="6" t="s">
        <v>42</v>
      </c>
      <c r="F634" s="7" t="s">
        <v>49</v>
      </c>
      <c r="G634" s="5" t="s">
        <v>44</v>
      </c>
      <c r="H634" s="5" t="s">
        <v>45</v>
      </c>
      <c r="I634" s="5">
        <v>6</v>
      </c>
      <c r="J634" s="5">
        <v>8</v>
      </c>
      <c r="K634" s="5">
        <v>33000</v>
      </c>
      <c r="L634" s="5">
        <v>2000</v>
      </c>
      <c r="M634" s="5">
        <v>55</v>
      </c>
      <c r="N634" s="5">
        <v>31</v>
      </c>
      <c r="O634" s="6" t="s">
        <v>91</v>
      </c>
      <c r="P634" s="8"/>
      <c r="Q634" s="16">
        <v>4.7916666666666663E-2</v>
      </c>
      <c r="R634" s="16">
        <v>0.17324074074074072</v>
      </c>
      <c r="S634" s="6">
        <v>101972</v>
      </c>
      <c r="T634" s="16">
        <v>0.32245370370370369</v>
      </c>
      <c r="U634" s="16">
        <v>0.32253472222222224</v>
      </c>
      <c r="V634" s="6">
        <v>102020</v>
      </c>
      <c r="W634" s="6">
        <v>30</v>
      </c>
      <c r="X634" s="6">
        <v>51</v>
      </c>
      <c r="Y634" s="12">
        <v>-21</v>
      </c>
      <c r="Z634" s="12">
        <v>48</v>
      </c>
      <c r="AA634" s="12">
        <v>48</v>
      </c>
      <c r="AB634" s="12">
        <v>0</v>
      </c>
      <c r="AC634" s="12">
        <v>0</v>
      </c>
      <c r="AD634" s="13">
        <v>0</v>
      </c>
      <c r="AE634" s="12">
        <v>0</v>
      </c>
      <c r="AF634" s="14">
        <v>0</v>
      </c>
      <c r="AG634" s="5">
        <v>0</v>
      </c>
      <c r="AH634" s="5">
        <v>0</v>
      </c>
      <c r="AI634" s="5">
        <v>0</v>
      </c>
      <c r="AJ634" s="5">
        <v>1064.52</v>
      </c>
      <c r="AK634" s="5">
        <v>0</v>
      </c>
      <c r="AL634" s="5">
        <v>1064.52</v>
      </c>
      <c r="AM634" s="8"/>
      <c r="AN634" s="8"/>
    </row>
    <row r="635" spans="1:40" ht="16" thickBot="1">
      <c r="A635" s="3">
        <v>634</v>
      </c>
      <c r="B635" s="19">
        <v>45958</v>
      </c>
      <c r="C635" s="5" t="s">
        <v>40</v>
      </c>
      <c r="D635" s="7" t="s">
        <v>41</v>
      </c>
      <c r="E635" s="6" t="s">
        <v>42</v>
      </c>
      <c r="F635" s="7" t="s">
        <v>51</v>
      </c>
      <c r="G635" s="5" t="s">
        <v>44</v>
      </c>
      <c r="H635" s="5" t="s">
        <v>45</v>
      </c>
      <c r="I635" s="5">
        <v>4</v>
      </c>
      <c r="J635" s="5">
        <v>8</v>
      </c>
      <c r="K635" s="5">
        <v>25000</v>
      </c>
      <c r="L635" s="5">
        <v>1000</v>
      </c>
      <c r="M635" s="5">
        <v>55</v>
      </c>
      <c r="N635" s="5">
        <v>31</v>
      </c>
      <c r="O635" s="6" t="s">
        <v>86</v>
      </c>
      <c r="P635" s="8"/>
      <c r="Q635" s="16">
        <v>0.11875000000000001</v>
      </c>
      <c r="R635" s="16">
        <v>0.17179398148148148</v>
      </c>
      <c r="S635" s="6">
        <v>84434</v>
      </c>
      <c r="T635" s="16">
        <v>0.30728009259259259</v>
      </c>
      <c r="U635" s="16">
        <v>0.30743055555555554</v>
      </c>
      <c r="V635" s="6">
        <v>84452</v>
      </c>
      <c r="W635" s="6">
        <v>40</v>
      </c>
      <c r="X635" s="6">
        <v>23</v>
      </c>
      <c r="Y635" s="12">
        <v>17</v>
      </c>
      <c r="Z635" s="12">
        <v>18</v>
      </c>
      <c r="AA635" s="12">
        <v>18</v>
      </c>
      <c r="AB635" s="12">
        <v>0</v>
      </c>
      <c r="AC635" s="12">
        <v>0</v>
      </c>
      <c r="AD635" s="13">
        <v>0</v>
      </c>
      <c r="AE635" s="12">
        <v>0</v>
      </c>
      <c r="AF635" s="14">
        <v>0</v>
      </c>
      <c r="AG635" s="5">
        <v>0</v>
      </c>
      <c r="AH635" s="5">
        <v>0</v>
      </c>
      <c r="AI635" s="5">
        <v>0</v>
      </c>
      <c r="AJ635" s="5">
        <v>806.45</v>
      </c>
      <c r="AK635" s="5">
        <v>0</v>
      </c>
      <c r="AL635" s="5">
        <v>806.45</v>
      </c>
      <c r="AM635" s="8"/>
      <c r="AN635" s="8"/>
    </row>
    <row r="636" spans="1:40" ht="16" thickBot="1">
      <c r="A636" s="3">
        <v>635</v>
      </c>
      <c r="B636" s="19">
        <v>45958</v>
      </c>
      <c r="C636" s="5" t="s">
        <v>40</v>
      </c>
      <c r="D636" s="7" t="s">
        <v>41</v>
      </c>
      <c r="E636" s="6" t="s">
        <v>42</v>
      </c>
      <c r="F636" s="7" t="s">
        <v>145</v>
      </c>
      <c r="G636" s="5" t="s">
        <v>44</v>
      </c>
      <c r="H636" s="5" t="s">
        <v>45</v>
      </c>
      <c r="I636" s="5">
        <v>4</v>
      </c>
      <c r="J636" s="5">
        <v>8</v>
      </c>
      <c r="K636" s="5">
        <v>25000</v>
      </c>
      <c r="L636" s="5">
        <v>1000</v>
      </c>
      <c r="M636" s="5">
        <v>55</v>
      </c>
      <c r="N636" s="5">
        <v>31</v>
      </c>
      <c r="O636" s="6" t="s">
        <v>174</v>
      </c>
      <c r="P636" s="8"/>
      <c r="Q636" s="16">
        <v>4.9305555555555554E-2</v>
      </c>
      <c r="R636" s="16">
        <v>0.16288194444444445</v>
      </c>
      <c r="S636" s="6">
        <v>39467</v>
      </c>
      <c r="T636" s="16">
        <v>0.37964120370370374</v>
      </c>
      <c r="U636" s="16">
        <v>0.37982638888888887</v>
      </c>
      <c r="V636" s="6">
        <v>39493</v>
      </c>
      <c r="W636" s="6">
        <v>35</v>
      </c>
      <c r="X636" s="6">
        <v>52</v>
      </c>
      <c r="Y636" s="12">
        <v>-17</v>
      </c>
      <c r="Z636" s="12">
        <v>26</v>
      </c>
      <c r="AA636" s="12">
        <v>26</v>
      </c>
      <c r="AB636" s="12">
        <v>0</v>
      </c>
      <c r="AC636" s="12">
        <v>0</v>
      </c>
      <c r="AD636" s="13">
        <v>2</v>
      </c>
      <c r="AE636" s="12">
        <v>300</v>
      </c>
      <c r="AF636" s="14">
        <v>0</v>
      </c>
      <c r="AG636" s="5">
        <v>0</v>
      </c>
      <c r="AH636" s="5">
        <v>0</v>
      </c>
      <c r="AI636" s="5">
        <v>0</v>
      </c>
      <c r="AJ636" s="5">
        <v>1106.45</v>
      </c>
      <c r="AK636" s="5">
        <v>0</v>
      </c>
      <c r="AL636" s="5">
        <v>1106.45</v>
      </c>
      <c r="AM636" s="8"/>
      <c r="AN636" s="8"/>
    </row>
    <row r="637" spans="1:40" ht="16" thickBot="1">
      <c r="A637" s="3">
        <v>636</v>
      </c>
      <c r="B637" s="19">
        <v>45958</v>
      </c>
      <c r="C637" s="5" t="s">
        <v>40</v>
      </c>
      <c r="D637" s="7" t="s">
        <v>41</v>
      </c>
      <c r="E637" s="6" t="s">
        <v>42</v>
      </c>
      <c r="F637" s="7" t="s">
        <v>53</v>
      </c>
      <c r="G637" s="5" t="s">
        <v>44</v>
      </c>
      <c r="H637" s="5" t="s">
        <v>45</v>
      </c>
      <c r="I637" s="5">
        <v>4</v>
      </c>
      <c r="J637" s="5">
        <v>8</v>
      </c>
      <c r="K637" s="5">
        <v>25000</v>
      </c>
      <c r="L637" s="5">
        <v>1000</v>
      </c>
      <c r="M637" s="5">
        <v>55</v>
      </c>
      <c r="N637" s="5">
        <v>31</v>
      </c>
      <c r="O637" s="6" t="s">
        <v>75</v>
      </c>
      <c r="P637" s="8"/>
      <c r="Q637" s="16">
        <v>0.11805555555555557</v>
      </c>
      <c r="R637" s="16">
        <v>0.16594907407407408</v>
      </c>
      <c r="S637" s="6">
        <v>13169</v>
      </c>
      <c r="T637" s="16">
        <v>0.31539351851851855</v>
      </c>
      <c r="U637" s="16">
        <v>0.31550925925925927</v>
      </c>
      <c r="V637" s="6">
        <v>13189</v>
      </c>
      <c r="W637" s="6">
        <v>26</v>
      </c>
      <c r="X637" s="6">
        <v>23</v>
      </c>
      <c r="Y637" s="12">
        <v>3</v>
      </c>
      <c r="Z637" s="12">
        <v>20</v>
      </c>
      <c r="AA637" s="12">
        <v>20</v>
      </c>
      <c r="AB637" s="12">
        <v>0</v>
      </c>
      <c r="AC637" s="12">
        <v>0</v>
      </c>
      <c r="AD637" s="13">
        <v>0</v>
      </c>
      <c r="AE637" s="12">
        <v>0</v>
      </c>
      <c r="AF637" s="14">
        <v>0</v>
      </c>
      <c r="AG637" s="5">
        <v>0</v>
      </c>
      <c r="AH637" s="5">
        <v>0</v>
      </c>
      <c r="AI637" s="5">
        <v>0</v>
      </c>
      <c r="AJ637" s="5">
        <v>806.45</v>
      </c>
      <c r="AK637" s="5">
        <v>0</v>
      </c>
      <c r="AL637" s="5">
        <v>806.45</v>
      </c>
      <c r="AM637" s="8"/>
      <c r="AN637" s="8"/>
    </row>
    <row r="638" spans="1:40" ht="16" thickBot="1">
      <c r="A638" s="3">
        <v>637</v>
      </c>
      <c r="B638" s="19">
        <v>45958</v>
      </c>
      <c r="C638" s="5" t="s">
        <v>40</v>
      </c>
      <c r="D638" s="7" t="s">
        <v>41</v>
      </c>
      <c r="E638" s="6" t="s">
        <v>42</v>
      </c>
      <c r="F638" s="7" t="s">
        <v>55</v>
      </c>
      <c r="G638" s="5" t="s">
        <v>44</v>
      </c>
      <c r="H638" s="5" t="s">
        <v>45</v>
      </c>
      <c r="I638" s="5">
        <v>4</v>
      </c>
      <c r="J638" s="5">
        <v>8</v>
      </c>
      <c r="K638" s="5">
        <v>25000</v>
      </c>
      <c r="L638" s="5">
        <v>1000</v>
      </c>
      <c r="M638" s="5">
        <v>55</v>
      </c>
      <c r="N638" s="5">
        <v>31</v>
      </c>
      <c r="O638" s="6" t="s">
        <v>56</v>
      </c>
      <c r="P638" s="8"/>
      <c r="Q638" s="16">
        <v>8.6805555555555566E-2</v>
      </c>
      <c r="R638" s="16">
        <v>0.16569444444444445</v>
      </c>
      <c r="S638" s="6">
        <v>145595</v>
      </c>
      <c r="T638" s="16">
        <v>0.29643518518518519</v>
      </c>
      <c r="U638" s="16">
        <v>0.29719907407407409</v>
      </c>
      <c r="V638" s="6">
        <v>145612</v>
      </c>
      <c r="W638" s="6">
        <v>29</v>
      </c>
      <c r="X638" s="6">
        <v>29</v>
      </c>
      <c r="Y638" s="12">
        <v>0</v>
      </c>
      <c r="Z638" s="12">
        <v>17</v>
      </c>
      <c r="AA638" s="12">
        <v>17</v>
      </c>
      <c r="AB638" s="12">
        <v>0</v>
      </c>
      <c r="AC638" s="12">
        <v>0</v>
      </c>
      <c r="AD638" s="13">
        <v>0</v>
      </c>
      <c r="AE638" s="12">
        <v>0</v>
      </c>
      <c r="AF638" s="14">
        <v>0</v>
      </c>
      <c r="AG638" s="5">
        <v>0</v>
      </c>
      <c r="AH638" s="5">
        <v>0</v>
      </c>
      <c r="AI638" s="5">
        <v>0</v>
      </c>
      <c r="AJ638" s="5">
        <v>806.45</v>
      </c>
      <c r="AK638" s="5">
        <v>0</v>
      </c>
      <c r="AL638" s="5">
        <v>806.45</v>
      </c>
      <c r="AM638" s="8"/>
      <c r="AN638" s="8"/>
    </row>
    <row r="639" spans="1:40" ht="16" thickBot="1">
      <c r="A639" s="3">
        <v>638</v>
      </c>
      <c r="B639" s="19">
        <v>45958</v>
      </c>
      <c r="C639" s="5" t="s">
        <v>40</v>
      </c>
      <c r="D639" s="7" t="s">
        <v>41</v>
      </c>
      <c r="E639" s="6" t="s">
        <v>42</v>
      </c>
      <c r="F639" s="7" t="s">
        <v>176</v>
      </c>
      <c r="G639" s="5" t="s">
        <v>44</v>
      </c>
      <c r="H639" s="5" t="s">
        <v>45</v>
      </c>
      <c r="I639" s="5">
        <v>4</v>
      </c>
      <c r="J639" s="5">
        <v>8</v>
      </c>
      <c r="K639" s="5">
        <v>25000</v>
      </c>
      <c r="L639" s="5">
        <v>1000</v>
      </c>
      <c r="M639" s="5">
        <v>55</v>
      </c>
      <c r="N639" s="5">
        <v>31</v>
      </c>
      <c r="O639" s="6" t="s">
        <v>155</v>
      </c>
      <c r="P639" s="8"/>
      <c r="Q639" s="16">
        <v>5.486111111111111E-2</v>
      </c>
      <c r="R639" s="16">
        <v>0.17445601851851852</v>
      </c>
      <c r="S639" s="6">
        <v>166286</v>
      </c>
      <c r="T639" s="16">
        <v>0.34589120370370369</v>
      </c>
      <c r="U639" s="16">
        <v>0.34600694444444446</v>
      </c>
      <c r="V639" s="6">
        <v>166307</v>
      </c>
      <c r="W639" s="6">
        <v>40</v>
      </c>
      <c r="X639" s="6">
        <v>40</v>
      </c>
      <c r="Y639" s="12">
        <v>0</v>
      </c>
      <c r="Z639" s="12">
        <v>21</v>
      </c>
      <c r="AA639" s="12">
        <v>21</v>
      </c>
      <c r="AB639" s="12">
        <v>0</v>
      </c>
      <c r="AC639" s="12">
        <v>0</v>
      </c>
      <c r="AD639" s="13">
        <v>1</v>
      </c>
      <c r="AE639" s="12">
        <v>150</v>
      </c>
      <c r="AF639" s="14">
        <v>0</v>
      </c>
      <c r="AG639" s="5">
        <v>0</v>
      </c>
      <c r="AH639" s="5">
        <v>0</v>
      </c>
      <c r="AI639" s="5">
        <v>0</v>
      </c>
      <c r="AJ639" s="5">
        <v>956.45</v>
      </c>
      <c r="AK639" s="5">
        <v>0</v>
      </c>
      <c r="AL639" s="5">
        <v>956.45</v>
      </c>
      <c r="AM639" s="8"/>
      <c r="AN639" s="8"/>
    </row>
    <row r="640" spans="1:40" ht="16" thickBot="1">
      <c r="A640" s="3">
        <v>639</v>
      </c>
      <c r="B640" s="19">
        <v>45958</v>
      </c>
      <c r="C640" s="5" t="s">
        <v>40</v>
      </c>
      <c r="D640" s="7" t="s">
        <v>41</v>
      </c>
      <c r="E640" s="6" t="s">
        <v>42</v>
      </c>
      <c r="F640" s="7" t="s">
        <v>182</v>
      </c>
      <c r="G640" s="5" t="s">
        <v>44</v>
      </c>
      <c r="H640" s="5" t="s">
        <v>45</v>
      </c>
      <c r="I640" s="5">
        <v>4</v>
      </c>
      <c r="J640" s="5">
        <v>8</v>
      </c>
      <c r="K640" s="5">
        <v>25000</v>
      </c>
      <c r="L640" s="5">
        <v>1000</v>
      </c>
      <c r="M640" s="5">
        <v>55</v>
      </c>
      <c r="N640" s="5">
        <v>31</v>
      </c>
      <c r="O640" s="6" t="s">
        <v>233</v>
      </c>
      <c r="P640" s="8"/>
      <c r="Q640" s="16">
        <v>4.8611111111111112E-2</v>
      </c>
      <c r="R640" s="16">
        <v>0.17622685185185186</v>
      </c>
      <c r="S640" s="6">
        <v>116911</v>
      </c>
      <c r="T640" s="16">
        <v>0.34487268518518516</v>
      </c>
      <c r="U640" s="16">
        <v>0.3450462962962963</v>
      </c>
      <c r="V640" s="6">
        <v>116933</v>
      </c>
      <c r="W640" s="6">
        <v>63</v>
      </c>
      <c r="X640" s="6">
        <v>63</v>
      </c>
      <c r="Y640" s="12">
        <v>0</v>
      </c>
      <c r="Z640" s="12">
        <v>22</v>
      </c>
      <c r="AA640" s="12">
        <v>22</v>
      </c>
      <c r="AB640" s="12">
        <v>0</v>
      </c>
      <c r="AC640" s="12">
        <v>0</v>
      </c>
      <c r="AD640" s="13">
        <v>1</v>
      </c>
      <c r="AE640" s="12">
        <v>150</v>
      </c>
      <c r="AF640" s="14">
        <v>0</v>
      </c>
      <c r="AG640" s="5">
        <v>0</v>
      </c>
      <c r="AH640" s="5">
        <v>0</v>
      </c>
      <c r="AI640" s="5">
        <v>0</v>
      </c>
      <c r="AJ640" s="5">
        <v>956.45</v>
      </c>
      <c r="AK640" s="5">
        <v>0</v>
      </c>
      <c r="AL640" s="5">
        <v>956.45</v>
      </c>
      <c r="AM640" s="8"/>
      <c r="AN640" s="8"/>
    </row>
    <row r="641" spans="1:40" ht="16" thickBot="1">
      <c r="A641" s="3">
        <v>640</v>
      </c>
      <c r="B641" s="19">
        <v>45958</v>
      </c>
      <c r="C641" s="5" t="s">
        <v>40</v>
      </c>
      <c r="D641" s="7" t="s">
        <v>41</v>
      </c>
      <c r="E641" s="6" t="s">
        <v>42</v>
      </c>
      <c r="F641" s="7" t="s">
        <v>57</v>
      </c>
      <c r="G641" s="5" t="s">
        <v>44</v>
      </c>
      <c r="H641" s="5" t="s">
        <v>45</v>
      </c>
      <c r="I641" s="5">
        <v>4</v>
      </c>
      <c r="J641" s="5">
        <v>8</v>
      </c>
      <c r="K641" s="5">
        <v>25000</v>
      </c>
      <c r="L641" s="5">
        <v>1000</v>
      </c>
      <c r="M641" s="5">
        <v>55</v>
      </c>
      <c r="N641" s="5">
        <v>31</v>
      </c>
      <c r="O641" s="6" t="s">
        <v>58</v>
      </c>
      <c r="P641" s="8"/>
      <c r="Q641" s="16">
        <v>4.9305555555555554E-2</v>
      </c>
      <c r="R641" s="16">
        <v>0.17601851851851849</v>
      </c>
      <c r="S641" s="6">
        <v>146479</v>
      </c>
      <c r="T641" s="16">
        <v>0.34521990740740738</v>
      </c>
      <c r="U641" s="16">
        <v>0.34532407407407412</v>
      </c>
      <c r="V641" s="6">
        <v>146503</v>
      </c>
      <c r="W641" s="6">
        <v>54</v>
      </c>
      <c r="X641" s="6">
        <v>54</v>
      </c>
      <c r="Y641" s="12">
        <v>0</v>
      </c>
      <c r="Z641" s="12">
        <v>24</v>
      </c>
      <c r="AA641" s="12">
        <v>24</v>
      </c>
      <c r="AB641" s="12">
        <v>0</v>
      </c>
      <c r="AC641" s="12">
        <v>0</v>
      </c>
      <c r="AD641" s="13">
        <v>1</v>
      </c>
      <c r="AE641" s="12">
        <v>150</v>
      </c>
      <c r="AF641" s="14">
        <v>0</v>
      </c>
      <c r="AG641" s="5">
        <v>0</v>
      </c>
      <c r="AH641" s="5">
        <v>0</v>
      </c>
      <c r="AI641" s="5">
        <v>0</v>
      </c>
      <c r="AJ641" s="5">
        <v>956.45</v>
      </c>
      <c r="AK641" s="5">
        <v>0</v>
      </c>
      <c r="AL641" s="5">
        <v>956.45</v>
      </c>
      <c r="AM641" s="8"/>
      <c r="AN641" s="8"/>
    </row>
    <row r="642" spans="1:40" ht="16" thickBot="1">
      <c r="A642" s="3">
        <v>641</v>
      </c>
      <c r="B642" s="19">
        <v>45958</v>
      </c>
      <c r="C642" s="5" t="s">
        <v>40</v>
      </c>
      <c r="D642" s="7" t="s">
        <v>41</v>
      </c>
      <c r="E642" s="6" t="s">
        <v>42</v>
      </c>
      <c r="F642" s="7" t="s">
        <v>59</v>
      </c>
      <c r="G642" s="5" t="s">
        <v>44</v>
      </c>
      <c r="H642" s="5" t="s">
        <v>45</v>
      </c>
      <c r="I642" s="5">
        <v>4</v>
      </c>
      <c r="J642" s="5">
        <v>8</v>
      </c>
      <c r="K642" s="5">
        <v>25000</v>
      </c>
      <c r="L642" s="5">
        <v>1000</v>
      </c>
      <c r="M642" s="5">
        <v>55</v>
      </c>
      <c r="N642" s="5">
        <v>31</v>
      </c>
      <c r="O642" s="6" t="s">
        <v>108</v>
      </c>
      <c r="P642" s="8"/>
      <c r="Q642" s="16">
        <v>0.11666666666666665</v>
      </c>
      <c r="R642" s="16">
        <v>0.17270833333333332</v>
      </c>
      <c r="S642" s="6">
        <v>160237</v>
      </c>
      <c r="T642" s="16">
        <v>0.3800115740740741</v>
      </c>
      <c r="U642" s="16">
        <v>0.38040509259259259</v>
      </c>
      <c r="V642" s="6">
        <v>160268</v>
      </c>
      <c r="W642" s="6">
        <v>25</v>
      </c>
      <c r="X642" s="6">
        <v>30</v>
      </c>
      <c r="Y642" s="12">
        <v>-5</v>
      </c>
      <c r="Z642" s="12">
        <v>31</v>
      </c>
      <c r="AA642" s="12">
        <v>31</v>
      </c>
      <c r="AB642" s="12">
        <v>0</v>
      </c>
      <c r="AC642" s="12">
        <v>0</v>
      </c>
      <c r="AD642" s="13">
        <v>2</v>
      </c>
      <c r="AE642" s="12">
        <v>300</v>
      </c>
      <c r="AF642" s="14">
        <v>0</v>
      </c>
      <c r="AG642" s="5">
        <v>0</v>
      </c>
      <c r="AH642" s="5">
        <v>0</v>
      </c>
      <c r="AI642" s="5">
        <v>0</v>
      </c>
      <c r="AJ642" s="5">
        <v>1106.45</v>
      </c>
      <c r="AK642" s="5">
        <v>0</v>
      </c>
      <c r="AL642" s="5">
        <v>1106.45</v>
      </c>
      <c r="AM642" s="8"/>
      <c r="AN642" s="8"/>
    </row>
    <row r="643" spans="1:40" ht="16" thickBot="1">
      <c r="A643" s="3">
        <v>642</v>
      </c>
      <c r="B643" s="19">
        <v>45958</v>
      </c>
      <c r="C643" s="5" t="s">
        <v>40</v>
      </c>
      <c r="D643" s="7" t="s">
        <v>41</v>
      </c>
      <c r="E643" s="6" t="s">
        <v>42</v>
      </c>
      <c r="F643" s="7" t="s">
        <v>60</v>
      </c>
      <c r="G643" s="5" t="s">
        <v>44</v>
      </c>
      <c r="H643" s="5" t="s">
        <v>45</v>
      </c>
      <c r="I643" s="5">
        <v>4</v>
      </c>
      <c r="J643" s="5">
        <v>8</v>
      </c>
      <c r="K643" s="5">
        <v>25000</v>
      </c>
      <c r="L643" s="5">
        <v>1000</v>
      </c>
      <c r="M643" s="5">
        <v>55</v>
      </c>
      <c r="N643" s="5">
        <v>31</v>
      </c>
      <c r="O643" s="6" t="s">
        <v>61</v>
      </c>
      <c r="P643" s="8"/>
      <c r="Q643" s="16">
        <v>7.4999999999999997E-2</v>
      </c>
      <c r="R643" s="16">
        <v>0.16616898148148149</v>
      </c>
      <c r="S643" s="6">
        <v>114976</v>
      </c>
      <c r="T643" s="16">
        <v>0.33042824074074073</v>
      </c>
      <c r="U643" s="16">
        <v>0.33238425925925924</v>
      </c>
      <c r="V643" s="6">
        <v>114997</v>
      </c>
      <c r="W643" s="6">
        <v>49</v>
      </c>
      <c r="X643" s="6">
        <v>49</v>
      </c>
      <c r="Y643" s="12">
        <v>0</v>
      </c>
      <c r="Z643" s="12">
        <v>21</v>
      </c>
      <c r="AA643" s="12">
        <v>21</v>
      </c>
      <c r="AB643" s="12">
        <v>0</v>
      </c>
      <c r="AC643" s="12">
        <v>0</v>
      </c>
      <c r="AD643" s="13">
        <v>0</v>
      </c>
      <c r="AE643" s="12">
        <v>0</v>
      </c>
      <c r="AF643" s="14">
        <v>0</v>
      </c>
      <c r="AG643" s="5">
        <v>0</v>
      </c>
      <c r="AH643" s="5">
        <v>0</v>
      </c>
      <c r="AI643" s="5">
        <v>0</v>
      </c>
      <c r="AJ643" s="5">
        <v>806.45</v>
      </c>
      <c r="AK643" s="5">
        <v>0</v>
      </c>
      <c r="AL643" s="5">
        <v>806.45</v>
      </c>
      <c r="AM643" s="8"/>
      <c r="AN643" s="8"/>
    </row>
    <row r="644" spans="1:40" ht="16" thickBot="1">
      <c r="A644" s="3">
        <v>643</v>
      </c>
      <c r="B644" s="19">
        <v>45958</v>
      </c>
      <c r="C644" s="5" t="s">
        <v>40</v>
      </c>
      <c r="D644" s="7" t="s">
        <v>41</v>
      </c>
      <c r="E644" s="6" t="s">
        <v>42</v>
      </c>
      <c r="F644" s="7" t="s">
        <v>97</v>
      </c>
      <c r="G644" s="5" t="s">
        <v>44</v>
      </c>
      <c r="H644" s="5" t="s">
        <v>45</v>
      </c>
      <c r="I644" s="5">
        <v>4</v>
      </c>
      <c r="J644" s="5">
        <v>8</v>
      </c>
      <c r="K644" s="5">
        <v>25000</v>
      </c>
      <c r="L644" s="5">
        <v>1000</v>
      </c>
      <c r="M644" s="5">
        <v>55</v>
      </c>
      <c r="N644" s="5">
        <v>31</v>
      </c>
      <c r="O644" s="6" t="s">
        <v>112</v>
      </c>
      <c r="P644" s="8"/>
      <c r="Q644" s="16">
        <v>0.13194444444444445</v>
      </c>
      <c r="R644" s="16">
        <v>0.17246527777777776</v>
      </c>
      <c r="S644" s="6">
        <v>79431</v>
      </c>
      <c r="T644" s="16">
        <v>0.3185763888888889</v>
      </c>
      <c r="U644" s="16">
        <v>0.31875000000000003</v>
      </c>
      <c r="V644" s="6">
        <v>79454</v>
      </c>
      <c r="W644" s="6">
        <v>30</v>
      </c>
      <c r="X644" s="6">
        <v>59</v>
      </c>
      <c r="Y644" s="12">
        <v>-29</v>
      </c>
      <c r="Z644" s="12">
        <v>23</v>
      </c>
      <c r="AA644" s="12">
        <v>23</v>
      </c>
      <c r="AB644" s="12">
        <v>0</v>
      </c>
      <c r="AC644" s="12">
        <v>0</v>
      </c>
      <c r="AD644" s="13">
        <v>0</v>
      </c>
      <c r="AE644" s="12">
        <v>0</v>
      </c>
      <c r="AF644" s="14">
        <v>0</v>
      </c>
      <c r="AG644" s="5">
        <v>0</v>
      </c>
      <c r="AH644" s="5">
        <v>0</v>
      </c>
      <c r="AI644" s="5">
        <v>0</v>
      </c>
      <c r="AJ644" s="5">
        <v>806.45</v>
      </c>
      <c r="AK644" s="5">
        <v>0</v>
      </c>
      <c r="AL644" s="5">
        <v>806.45</v>
      </c>
      <c r="AM644" s="8"/>
      <c r="AN644" s="8"/>
    </row>
    <row r="645" spans="1:40" ht="16" thickBot="1">
      <c r="A645" s="3">
        <v>644</v>
      </c>
      <c r="B645" s="19">
        <v>45958</v>
      </c>
      <c r="C645" s="5" t="s">
        <v>40</v>
      </c>
      <c r="D645" s="7" t="s">
        <v>41</v>
      </c>
      <c r="E645" s="6" t="s">
        <v>42</v>
      </c>
      <c r="F645" s="7" t="s">
        <v>62</v>
      </c>
      <c r="G645" s="5" t="s">
        <v>44</v>
      </c>
      <c r="H645" s="5" t="s">
        <v>45</v>
      </c>
      <c r="I645" s="5">
        <v>6</v>
      </c>
      <c r="J645" s="5">
        <v>8</v>
      </c>
      <c r="K645" s="5">
        <v>33000</v>
      </c>
      <c r="L645" s="5">
        <v>2000</v>
      </c>
      <c r="M645" s="5">
        <v>55</v>
      </c>
      <c r="N645" s="5">
        <v>31</v>
      </c>
      <c r="O645" s="6" t="s">
        <v>63</v>
      </c>
      <c r="P645" s="8"/>
      <c r="Q645" s="16">
        <v>0.1125</v>
      </c>
      <c r="R645" s="16">
        <v>0.17712962962962964</v>
      </c>
      <c r="S645" s="6">
        <v>48957</v>
      </c>
      <c r="T645" s="16">
        <v>0.35681712962962964</v>
      </c>
      <c r="U645" s="16">
        <v>0.35692129629629626</v>
      </c>
      <c r="V645" s="6">
        <v>49012</v>
      </c>
      <c r="W645" s="6">
        <v>40</v>
      </c>
      <c r="X645" s="6">
        <v>25</v>
      </c>
      <c r="Y645" s="12">
        <v>15</v>
      </c>
      <c r="Z645" s="12">
        <v>55</v>
      </c>
      <c r="AA645" s="12">
        <v>55</v>
      </c>
      <c r="AB645" s="12">
        <v>0</v>
      </c>
      <c r="AC645" s="12">
        <v>0</v>
      </c>
      <c r="AD645" s="13">
        <v>0</v>
      </c>
      <c r="AE645" s="12">
        <v>0</v>
      </c>
      <c r="AF645" s="14">
        <v>0</v>
      </c>
      <c r="AG645" s="5">
        <v>0</v>
      </c>
      <c r="AH645" s="5">
        <v>0</v>
      </c>
      <c r="AI645" s="5">
        <v>0</v>
      </c>
      <c r="AJ645" s="5">
        <v>1064.52</v>
      </c>
      <c r="AK645" s="5">
        <v>0</v>
      </c>
      <c r="AL645" s="5">
        <v>1064.52</v>
      </c>
      <c r="AM645" s="8"/>
      <c r="AN645" s="8"/>
    </row>
    <row r="646" spans="1:40" ht="16" thickBot="1">
      <c r="A646" s="3">
        <v>645</v>
      </c>
      <c r="B646" s="19">
        <v>45958</v>
      </c>
      <c r="C646" s="5" t="s">
        <v>40</v>
      </c>
      <c r="D646" s="7" t="s">
        <v>41</v>
      </c>
      <c r="E646" s="6" t="s">
        <v>42</v>
      </c>
      <c r="F646" s="7" t="s">
        <v>101</v>
      </c>
      <c r="G646" s="5" t="s">
        <v>44</v>
      </c>
      <c r="H646" s="5" t="s">
        <v>45</v>
      </c>
      <c r="I646" s="5">
        <v>4</v>
      </c>
      <c r="J646" s="5">
        <v>8</v>
      </c>
      <c r="K646" s="5">
        <v>25000</v>
      </c>
      <c r="L646" s="5">
        <v>1000</v>
      </c>
      <c r="M646" s="5">
        <v>55</v>
      </c>
      <c r="N646" s="5">
        <v>31</v>
      </c>
      <c r="O646" s="6" t="s">
        <v>67</v>
      </c>
      <c r="P646" s="8"/>
      <c r="Q646" s="16">
        <v>0.12916666666666668</v>
      </c>
      <c r="R646" s="16">
        <v>0.16539351851851852</v>
      </c>
      <c r="S646" s="6">
        <v>119141</v>
      </c>
      <c r="T646" s="16">
        <v>0.36275462962962962</v>
      </c>
      <c r="U646" s="16">
        <v>0.36292824074074076</v>
      </c>
      <c r="V646" s="6">
        <v>119168</v>
      </c>
      <c r="W646" s="6">
        <v>40</v>
      </c>
      <c r="X646" s="6">
        <v>15</v>
      </c>
      <c r="Y646" s="12">
        <v>25</v>
      </c>
      <c r="Z646" s="12">
        <v>27</v>
      </c>
      <c r="AA646" s="12">
        <v>27</v>
      </c>
      <c r="AB646" s="12">
        <v>0</v>
      </c>
      <c r="AC646" s="12">
        <v>0</v>
      </c>
      <c r="AD646" s="13">
        <v>1</v>
      </c>
      <c r="AE646" s="12">
        <v>150</v>
      </c>
      <c r="AF646" s="14">
        <v>0</v>
      </c>
      <c r="AG646" s="5">
        <v>0</v>
      </c>
      <c r="AH646" s="5">
        <v>0</v>
      </c>
      <c r="AI646" s="5">
        <v>0</v>
      </c>
      <c r="AJ646" s="5">
        <v>956.45</v>
      </c>
      <c r="AK646" s="5">
        <v>0</v>
      </c>
      <c r="AL646" s="5">
        <v>956.45</v>
      </c>
      <c r="AM646" s="8"/>
      <c r="AN646" s="8"/>
    </row>
    <row r="647" spans="1:40" ht="16" thickBot="1">
      <c r="A647" s="3">
        <v>646</v>
      </c>
      <c r="B647" s="19">
        <v>45958</v>
      </c>
      <c r="C647" s="5" t="s">
        <v>40</v>
      </c>
      <c r="D647" s="7" t="s">
        <v>41</v>
      </c>
      <c r="E647" s="6" t="s">
        <v>42</v>
      </c>
      <c r="F647" s="7" t="s">
        <v>185</v>
      </c>
      <c r="G647" s="5" t="s">
        <v>44</v>
      </c>
      <c r="H647" s="5" t="s">
        <v>45</v>
      </c>
      <c r="I647" s="5">
        <v>4</v>
      </c>
      <c r="J647" s="5">
        <v>8</v>
      </c>
      <c r="K647" s="5">
        <v>25000</v>
      </c>
      <c r="L647" s="5">
        <v>1000</v>
      </c>
      <c r="M647" s="5">
        <v>55</v>
      </c>
      <c r="N647" s="5">
        <v>31</v>
      </c>
      <c r="O647" s="6" t="s">
        <v>135</v>
      </c>
      <c r="P647" s="8"/>
      <c r="Q647" s="16">
        <v>4.9305555555555554E-2</v>
      </c>
      <c r="R647" s="16">
        <v>0.17480324074074075</v>
      </c>
      <c r="S647" s="6">
        <v>66652</v>
      </c>
      <c r="T647" s="16">
        <v>0.34721064814814812</v>
      </c>
      <c r="U647" s="16">
        <v>0.34743055555555552</v>
      </c>
      <c r="V647" s="6">
        <v>66662</v>
      </c>
      <c r="W647" s="6">
        <v>29</v>
      </c>
      <c r="X647" s="6">
        <v>29</v>
      </c>
      <c r="Y647" s="12">
        <v>0</v>
      </c>
      <c r="Z647" s="12">
        <v>10</v>
      </c>
      <c r="AA647" s="12">
        <v>10</v>
      </c>
      <c r="AB647" s="12">
        <v>0</v>
      </c>
      <c r="AC647" s="12">
        <v>0</v>
      </c>
      <c r="AD647" s="13">
        <v>1</v>
      </c>
      <c r="AE647" s="12">
        <v>150</v>
      </c>
      <c r="AF647" s="14">
        <v>0</v>
      </c>
      <c r="AG647" s="5">
        <v>0</v>
      </c>
      <c r="AH647" s="5">
        <v>0</v>
      </c>
      <c r="AI647" s="5">
        <v>0</v>
      </c>
      <c r="AJ647" s="5">
        <v>956.45</v>
      </c>
      <c r="AK647" s="5">
        <v>0</v>
      </c>
      <c r="AL647" s="5">
        <v>956.45</v>
      </c>
      <c r="AM647" s="8"/>
      <c r="AN647" s="8"/>
    </row>
    <row r="648" spans="1:40" ht="16" thickBot="1">
      <c r="A648" s="3">
        <v>647</v>
      </c>
      <c r="B648" s="19">
        <v>45958</v>
      </c>
      <c r="C648" s="5" t="s">
        <v>40</v>
      </c>
      <c r="D648" s="7" t="s">
        <v>41</v>
      </c>
      <c r="E648" s="6" t="s">
        <v>42</v>
      </c>
      <c r="F648" s="7" t="s">
        <v>178</v>
      </c>
      <c r="G648" s="5" t="s">
        <v>44</v>
      </c>
      <c r="H648" s="5" t="s">
        <v>45</v>
      </c>
      <c r="I648" s="5">
        <v>4</v>
      </c>
      <c r="J648" s="5">
        <v>8</v>
      </c>
      <c r="K648" s="5">
        <v>25000</v>
      </c>
      <c r="L648" s="5">
        <v>1000</v>
      </c>
      <c r="M648" s="5">
        <v>55</v>
      </c>
      <c r="N648" s="5">
        <v>31</v>
      </c>
      <c r="O648" s="6" t="s">
        <v>127</v>
      </c>
      <c r="P648" s="8"/>
      <c r="Q648" s="16">
        <v>7.7777777777777779E-2</v>
      </c>
      <c r="R648" s="16">
        <v>0.16380787037037037</v>
      </c>
      <c r="S648" s="6">
        <v>45560</v>
      </c>
      <c r="T648" s="16">
        <v>0.27270833333333333</v>
      </c>
      <c r="U648" s="16">
        <v>0.27331018518518518</v>
      </c>
      <c r="V648" s="6">
        <v>45572</v>
      </c>
      <c r="W648" s="6">
        <v>46</v>
      </c>
      <c r="X648" s="6">
        <v>53</v>
      </c>
      <c r="Y648" s="12">
        <v>-7</v>
      </c>
      <c r="Z648" s="12">
        <v>12</v>
      </c>
      <c r="AA648" s="12">
        <v>12</v>
      </c>
      <c r="AB648" s="12">
        <v>0</v>
      </c>
      <c r="AC648" s="12">
        <v>0</v>
      </c>
      <c r="AD648" s="13">
        <v>0</v>
      </c>
      <c r="AE648" s="12">
        <v>0</v>
      </c>
      <c r="AF648" s="14">
        <v>0</v>
      </c>
      <c r="AG648" s="5">
        <v>0</v>
      </c>
      <c r="AH648" s="5">
        <v>0</v>
      </c>
      <c r="AI648" s="5">
        <v>0</v>
      </c>
      <c r="AJ648" s="5">
        <v>806.45</v>
      </c>
      <c r="AK648" s="5">
        <v>0</v>
      </c>
      <c r="AL648" s="5">
        <v>806.45</v>
      </c>
      <c r="AM648" s="8"/>
      <c r="AN648" s="8"/>
    </row>
    <row r="649" spans="1:40" ht="16" thickBot="1">
      <c r="A649" s="3">
        <v>648</v>
      </c>
      <c r="B649" s="19">
        <v>45958</v>
      </c>
      <c r="C649" s="5" t="s">
        <v>40</v>
      </c>
      <c r="D649" s="7" t="s">
        <v>41</v>
      </c>
      <c r="E649" s="6" t="s">
        <v>42</v>
      </c>
      <c r="F649" s="7" t="s">
        <v>68</v>
      </c>
      <c r="G649" s="5" t="s">
        <v>44</v>
      </c>
      <c r="H649" s="5" t="s">
        <v>45</v>
      </c>
      <c r="I649" s="5">
        <v>4</v>
      </c>
      <c r="J649" s="5">
        <v>8</v>
      </c>
      <c r="K649" s="5">
        <v>25000</v>
      </c>
      <c r="L649" s="5">
        <v>1000</v>
      </c>
      <c r="M649" s="5">
        <v>55</v>
      </c>
      <c r="N649" s="5">
        <v>31</v>
      </c>
      <c r="O649" s="6" t="s">
        <v>81</v>
      </c>
      <c r="P649" s="8"/>
      <c r="Q649" s="16">
        <v>5.1388888888888894E-2</v>
      </c>
      <c r="R649" s="16">
        <v>0.17833333333333334</v>
      </c>
      <c r="S649" s="6">
        <v>85858</v>
      </c>
      <c r="T649" s="16">
        <v>0.31724537037037037</v>
      </c>
      <c r="U649" s="16">
        <v>0.31736111111111115</v>
      </c>
      <c r="V649" s="6">
        <v>85875</v>
      </c>
      <c r="W649" s="6">
        <v>22</v>
      </c>
      <c r="X649" s="6">
        <v>37</v>
      </c>
      <c r="Y649" s="12">
        <v>-15</v>
      </c>
      <c r="Z649" s="12">
        <v>17</v>
      </c>
      <c r="AA649" s="12">
        <v>17</v>
      </c>
      <c r="AB649" s="12">
        <v>0</v>
      </c>
      <c r="AC649" s="12">
        <v>0</v>
      </c>
      <c r="AD649" s="13">
        <v>0</v>
      </c>
      <c r="AE649" s="12">
        <v>0</v>
      </c>
      <c r="AF649" s="14">
        <v>0</v>
      </c>
      <c r="AG649" s="5">
        <v>0</v>
      </c>
      <c r="AH649" s="5">
        <v>0</v>
      </c>
      <c r="AI649" s="5">
        <v>0</v>
      </c>
      <c r="AJ649" s="5">
        <v>806.45</v>
      </c>
      <c r="AK649" s="5">
        <v>0</v>
      </c>
      <c r="AL649" s="5">
        <v>806.45</v>
      </c>
      <c r="AM649" s="8"/>
      <c r="AN649" s="8"/>
    </row>
    <row r="650" spans="1:40" ht="16" thickBot="1">
      <c r="A650" s="3">
        <v>649</v>
      </c>
      <c r="B650" s="19">
        <v>45958</v>
      </c>
      <c r="C650" s="5" t="s">
        <v>40</v>
      </c>
      <c r="D650" s="7" t="s">
        <v>41</v>
      </c>
      <c r="E650" s="6" t="s">
        <v>42</v>
      </c>
      <c r="F650" s="7" t="s">
        <v>70</v>
      </c>
      <c r="G650" s="5" t="s">
        <v>44</v>
      </c>
      <c r="H650" s="5" t="s">
        <v>45</v>
      </c>
      <c r="I650" s="5">
        <v>4</v>
      </c>
      <c r="J650" s="5">
        <v>8</v>
      </c>
      <c r="K650" s="5">
        <v>25000</v>
      </c>
      <c r="L650" s="5">
        <v>1000</v>
      </c>
      <c r="M650" s="5">
        <v>55</v>
      </c>
      <c r="N650" s="5">
        <v>31</v>
      </c>
      <c r="O650" s="6" t="s">
        <v>153</v>
      </c>
      <c r="P650" s="8"/>
      <c r="Q650" s="16">
        <v>9.2361111111111116E-2</v>
      </c>
      <c r="R650" s="16">
        <v>0.16958333333333334</v>
      </c>
      <c r="S650" s="6">
        <v>37776</v>
      </c>
      <c r="T650" s="16">
        <v>0.30237268518518517</v>
      </c>
      <c r="U650" s="16">
        <v>0.30252314814814812</v>
      </c>
      <c r="V650" s="6">
        <v>37801</v>
      </c>
      <c r="W650" s="6">
        <v>38</v>
      </c>
      <c r="X650" s="6">
        <v>36</v>
      </c>
      <c r="Y650" s="12">
        <v>2</v>
      </c>
      <c r="Z650" s="12">
        <v>25</v>
      </c>
      <c r="AA650" s="12">
        <v>25</v>
      </c>
      <c r="AB650" s="12">
        <v>0</v>
      </c>
      <c r="AC650" s="12">
        <v>0</v>
      </c>
      <c r="AD650" s="13">
        <v>0</v>
      </c>
      <c r="AE650" s="12">
        <v>0</v>
      </c>
      <c r="AF650" s="14">
        <v>0</v>
      </c>
      <c r="AG650" s="5">
        <v>0</v>
      </c>
      <c r="AH650" s="5">
        <v>0</v>
      </c>
      <c r="AI650" s="5">
        <v>0</v>
      </c>
      <c r="AJ650" s="5">
        <v>806.45</v>
      </c>
      <c r="AK650" s="5">
        <v>0</v>
      </c>
      <c r="AL650" s="5">
        <v>806.45</v>
      </c>
      <c r="AM650" s="8"/>
      <c r="AN650" s="8"/>
    </row>
    <row r="651" spans="1:40" ht="16" thickBot="1">
      <c r="A651" s="3">
        <v>650</v>
      </c>
      <c r="B651" s="19">
        <v>45958</v>
      </c>
      <c r="C651" s="5" t="s">
        <v>40</v>
      </c>
      <c r="D651" s="7" t="s">
        <v>41</v>
      </c>
      <c r="E651" s="6" t="s">
        <v>42</v>
      </c>
      <c r="F651" s="7" t="s">
        <v>74</v>
      </c>
      <c r="G651" s="5" t="s">
        <v>44</v>
      </c>
      <c r="H651" s="5" t="s">
        <v>45</v>
      </c>
      <c r="I651" s="5">
        <v>4</v>
      </c>
      <c r="J651" s="5">
        <v>8</v>
      </c>
      <c r="K651" s="5">
        <v>25000</v>
      </c>
      <c r="L651" s="5">
        <v>1000</v>
      </c>
      <c r="M651" s="5">
        <v>55</v>
      </c>
      <c r="N651" s="5">
        <v>31</v>
      </c>
      <c r="O651" s="6" t="s">
        <v>136</v>
      </c>
      <c r="P651" s="8"/>
      <c r="Q651" s="16">
        <v>5.2083333333333336E-2</v>
      </c>
      <c r="R651" s="16">
        <v>0.17803240740740742</v>
      </c>
      <c r="S651" s="6">
        <v>39840</v>
      </c>
      <c r="T651" s="16">
        <v>0.30166666666666669</v>
      </c>
      <c r="U651" s="16">
        <v>0.30180555555555555</v>
      </c>
      <c r="V651" s="6">
        <v>39856</v>
      </c>
      <c r="W651" s="6">
        <v>44</v>
      </c>
      <c r="X651" s="6">
        <v>44</v>
      </c>
      <c r="Y651" s="12">
        <v>0</v>
      </c>
      <c r="Z651" s="12">
        <v>16</v>
      </c>
      <c r="AA651" s="12">
        <v>16</v>
      </c>
      <c r="AB651" s="12">
        <v>0</v>
      </c>
      <c r="AC651" s="12">
        <v>0</v>
      </c>
      <c r="AD651" s="13">
        <v>0</v>
      </c>
      <c r="AE651" s="12">
        <v>0</v>
      </c>
      <c r="AF651" s="14">
        <v>0</v>
      </c>
      <c r="AG651" s="5">
        <v>0</v>
      </c>
      <c r="AH651" s="5">
        <v>0</v>
      </c>
      <c r="AI651" s="5">
        <v>0</v>
      </c>
      <c r="AJ651" s="5">
        <v>806.45</v>
      </c>
      <c r="AK651" s="5">
        <v>0</v>
      </c>
      <c r="AL651" s="5">
        <v>806.45</v>
      </c>
      <c r="AM651" s="8"/>
      <c r="AN651" s="8"/>
    </row>
    <row r="652" spans="1:40" ht="16" thickBot="1">
      <c r="A652" s="3">
        <v>651</v>
      </c>
      <c r="B652" s="19">
        <v>45958</v>
      </c>
      <c r="C652" s="5" t="s">
        <v>40</v>
      </c>
      <c r="D652" s="7" t="s">
        <v>41</v>
      </c>
      <c r="E652" s="6" t="s">
        <v>42</v>
      </c>
      <c r="F652" s="7" t="s">
        <v>78</v>
      </c>
      <c r="G652" s="5" t="s">
        <v>44</v>
      </c>
      <c r="H652" s="5" t="s">
        <v>45</v>
      </c>
      <c r="I652" s="5">
        <v>4</v>
      </c>
      <c r="J652" s="5">
        <v>8</v>
      </c>
      <c r="K652" s="5">
        <v>25000</v>
      </c>
      <c r="L652" s="5">
        <v>1000</v>
      </c>
      <c r="M652" s="5">
        <v>55</v>
      </c>
      <c r="N652" s="5">
        <v>31</v>
      </c>
      <c r="O652" s="6" t="s">
        <v>79</v>
      </c>
      <c r="P652" s="8"/>
      <c r="Q652" s="16">
        <v>5.2777777777777778E-2</v>
      </c>
      <c r="R652" s="16">
        <v>0.16424768518518518</v>
      </c>
      <c r="S652" s="6">
        <v>8703</v>
      </c>
      <c r="T652" s="16">
        <v>0.33362268518518517</v>
      </c>
      <c r="U652" s="16">
        <v>0.33370370370370367</v>
      </c>
      <c r="V652" s="6">
        <v>8736</v>
      </c>
      <c r="W652" s="6">
        <v>44</v>
      </c>
      <c r="X652" s="6">
        <v>33</v>
      </c>
      <c r="Y652" s="12">
        <v>11</v>
      </c>
      <c r="Z652" s="12">
        <v>33</v>
      </c>
      <c r="AA652" s="12">
        <v>33</v>
      </c>
      <c r="AB652" s="12">
        <v>0</v>
      </c>
      <c r="AC652" s="12">
        <v>0</v>
      </c>
      <c r="AD652" s="13">
        <v>0</v>
      </c>
      <c r="AE652" s="12">
        <v>0</v>
      </c>
      <c r="AF652" s="14">
        <v>0</v>
      </c>
      <c r="AG652" s="5">
        <v>0</v>
      </c>
      <c r="AH652" s="5">
        <v>0</v>
      </c>
      <c r="AI652" s="5">
        <v>0</v>
      </c>
      <c r="AJ652" s="5">
        <v>806.45</v>
      </c>
      <c r="AK652" s="5">
        <v>0</v>
      </c>
      <c r="AL652" s="5">
        <v>806.45</v>
      </c>
      <c r="AM652" s="8"/>
      <c r="AN652" s="8"/>
    </row>
    <row r="653" spans="1:40" ht="16" thickBot="1">
      <c r="A653" s="3">
        <v>652</v>
      </c>
      <c r="B653" s="19">
        <v>45958</v>
      </c>
      <c r="C653" s="5" t="s">
        <v>40</v>
      </c>
      <c r="D653" s="7" t="s">
        <v>41</v>
      </c>
      <c r="E653" s="6" t="s">
        <v>42</v>
      </c>
      <c r="F653" s="7" t="s">
        <v>80</v>
      </c>
      <c r="G653" s="5" t="s">
        <v>44</v>
      </c>
      <c r="H653" s="5" t="s">
        <v>45</v>
      </c>
      <c r="I653" s="5">
        <v>4</v>
      </c>
      <c r="J653" s="5">
        <v>8</v>
      </c>
      <c r="K653" s="5">
        <v>25000</v>
      </c>
      <c r="L653" s="5">
        <v>1000</v>
      </c>
      <c r="M653" s="5">
        <v>55</v>
      </c>
      <c r="N653" s="5">
        <v>31</v>
      </c>
      <c r="O653" s="6" t="s">
        <v>104</v>
      </c>
      <c r="P653" s="8"/>
      <c r="Q653" s="16">
        <v>5.1388888888888894E-2</v>
      </c>
      <c r="R653" s="16">
        <v>0.16447916666666665</v>
      </c>
      <c r="S653" s="6">
        <v>6410</v>
      </c>
      <c r="T653" s="16">
        <v>0.32268518518518519</v>
      </c>
      <c r="U653" s="16">
        <v>0.32276620370370374</v>
      </c>
      <c r="V653" s="6">
        <v>6428</v>
      </c>
      <c r="W653" s="6">
        <v>35</v>
      </c>
      <c r="X653" s="6">
        <v>47</v>
      </c>
      <c r="Y653" s="12">
        <v>-12</v>
      </c>
      <c r="Z653" s="12">
        <v>18</v>
      </c>
      <c r="AA653" s="12">
        <v>18</v>
      </c>
      <c r="AB653" s="12">
        <v>0</v>
      </c>
      <c r="AC653" s="12">
        <v>0</v>
      </c>
      <c r="AD653" s="13">
        <v>0</v>
      </c>
      <c r="AE653" s="12">
        <v>0</v>
      </c>
      <c r="AF653" s="14">
        <v>0</v>
      </c>
      <c r="AG653" s="5">
        <v>0</v>
      </c>
      <c r="AH653" s="5">
        <v>0</v>
      </c>
      <c r="AI653" s="5">
        <v>0</v>
      </c>
      <c r="AJ653" s="5">
        <v>806.45</v>
      </c>
      <c r="AK653" s="5">
        <v>0</v>
      </c>
      <c r="AL653" s="5">
        <v>806.45</v>
      </c>
      <c r="AM653" s="8"/>
      <c r="AN653" s="8"/>
    </row>
    <row r="654" spans="1:40" ht="16" thickBot="1">
      <c r="A654" s="3">
        <v>653</v>
      </c>
      <c r="B654" s="19">
        <v>45958</v>
      </c>
      <c r="C654" s="5" t="s">
        <v>40</v>
      </c>
      <c r="D654" s="7" t="s">
        <v>41</v>
      </c>
      <c r="E654" s="6" t="s">
        <v>42</v>
      </c>
      <c r="F654" s="7" t="s">
        <v>105</v>
      </c>
      <c r="G654" s="5" t="s">
        <v>44</v>
      </c>
      <c r="H654" s="5" t="s">
        <v>45</v>
      </c>
      <c r="I654" s="5">
        <v>4</v>
      </c>
      <c r="J654" s="5">
        <v>8</v>
      </c>
      <c r="K654" s="5">
        <v>25000</v>
      </c>
      <c r="L654" s="5">
        <v>1000</v>
      </c>
      <c r="M654" s="5">
        <v>55</v>
      </c>
      <c r="N654" s="5">
        <v>31</v>
      </c>
      <c r="O654" s="6" t="s">
        <v>98</v>
      </c>
      <c r="P654" s="8"/>
      <c r="Q654" s="16">
        <v>0.11666666666666665</v>
      </c>
      <c r="R654" s="16">
        <v>0.17195601851851852</v>
      </c>
      <c r="S654" s="6">
        <v>42379</v>
      </c>
      <c r="T654" s="16">
        <v>0.32502314814814814</v>
      </c>
      <c r="U654" s="16">
        <v>0.32510416666666669</v>
      </c>
      <c r="V654" s="6">
        <v>42404</v>
      </c>
      <c r="W654" s="6">
        <v>40</v>
      </c>
      <c r="X654" s="6">
        <v>32</v>
      </c>
      <c r="Y654" s="12">
        <v>8</v>
      </c>
      <c r="Z654" s="12">
        <v>25</v>
      </c>
      <c r="AA654" s="12">
        <v>25</v>
      </c>
      <c r="AB654" s="12">
        <v>0</v>
      </c>
      <c r="AC654" s="12">
        <v>0</v>
      </c>
      <c r="AD654" s="13">
        <v>0</v>
      </c>
      <c r="AE654" s="12">
        <v>0</v>
      </c>
      <c r="AF654" s="14">
        <v>0</v>
      </c>
      <c r="AG654" s="5">
        <v>0</v>
      </c>
      <c r="AH654" s="5">
        <v>0</v>
      </c>
      <c r="AI654" s="5">
        <v>0</v>
      </c>
      <c r="AJ654" s="5">
        <v>806.45</v>
      </c>
      <c r="AK654" s="5">
        <v>0</v>
      </c>
      <c r="AL654" s="5">
        <v>806.45</v>
      </c>
      <c r="AM654" s="8"/>
      <c r="AN654" s="8"/>
    </row>
    <row r="655" spans="1:40" ht="16" thickBot="1">
      <c r="A655" s="3">
        <v>654</v>
      </c>
      <c r="B655" s="19">
        <v>45958</v>
      </c>
      <c r="C655" s="5" t="s">
        <v>40</v>
      </c>
      <c r="D655" s="7" t="s">
        <v>41</v>
      </c>
      <c r="E655" s="6" t="s">
        <v>42</v>
      </c>
      <c r="F655" s="7" t="s">
        <v>232</v>
      </c>
      <c r="G655" s="10" t="s">
        <v>83</v>
      </c>
      <c r="H655" s="5" t="s">
        <v>84</v>
      </c>
      <c r="I655" s="5">
        <v>4</v>
      </c>
      <c r="J655" s="5">
        <v>10</v>
      </c>
      <c r="K655" s="6">
        <v>29000</v>
      </c>
      <c r="L655" s="5">
        <v>1000</v>
      </c>
      <c r="M655" s="5">
        <v>55</v>
      </c>
      <c r="N655" s="5">
        <v>31</v>
      </c>
      <c r="O655" s="6" t="s">
        <v>234</v>
      </c>
      <c r="P655" s="8"/>
      <c r="Q655" s="16">
        <v>0.11944444444444445</v>
      </c>
      <c r="R655" s="16">
        <v>0.16609953703703703</v>
      </c>
      <c r="S655" s="6">
        <v>171</v>
      </c>
      <c r="T655" s="16">
        <v>0.34958333333333336</v>
      </c>
      <c r="U655" s="16">
        <v>0.34973379629629631</v>
      </c>
      <c r="V655" s="6">
        <v>192</v>
      </c>
      <c r="W655" s="6">
        <v>43</v>
      </c>
      <c r="X655" s="6">
        <v>42</v>
      </c>
      <c r="Y655" s="12">
        <v>1</v>
      </c>
      <c r="Z655" s="12">
        <v>21</v>
      </c>
      <c r="AA655" s="12">
        <v>21</v>
      </c>
      <c r="AB655" s="12">
        <v>0</v>
      </c>
      <c r="AC655" s="12">
        <v>0</v>
      </c>
      <c r="AD655" s="13">
        <v>1</v>
      </c>
      <c r="AE655" s="12">
        <v>150</v>
      </c>
      <c r="AF655" s="14">
        <v>0</v>
      </c>
      <c r="AG655" s="5">
        <v>0</v>
      </c>
      <c r="AH655" s="5">
        <v>0</v>
      </c>
      <c r="AI655" s="5">
        <v>0</v>
      </c>
      <c r="AJ655" s="5">
        <v>1085.48</v>
      </c>
      <c r="AK655" s="5">
        <v>0</v>
      </c>
      <c r="AL655" s="5">
        <v>1085.48</v>
      </c>
      <c r="AM655" s="8"/>
      <c r="AN655" s="8"/>
    </row>
    <row r="656" spans="1:40" ht="16" thickBot="1">
      <c r="A656" s="3">
        <v>655</v>
      </c>
      <c r="B656" s="19">
        <v>45958</v>
      </c>
      <c r="C656" s="5" t="s">
        <v>40</v>
      </c>
      <c r="D656" s="7" t="s">
        <v>41</v>
      </c>
      <c r="E656" s="6" t="s">
        <v>42</v>
      </c>
      <c r="F656" s="7" t="s">
        <v>82</v>
      </c>
      <c r="G656" s="10" t="s">
        <v>83</v>
      </c>
      <c r="H656" s="5" t="s">
        <v>84</v>
      </c>
      <c r="I656" s="5">
        <v>4</v>
      </c>
      <c r="J656" s="5">
        <v>10</v>
      </c>
      <c r="K656" s="6">
        <v>29000</v>
      </c>
      <c r="L656" s="5">
        <v>1000</v>
      </c>
      <c r="M656" s="5">
        <v>55</v>
      </c>
      <c r="N656" s="5">
        <v>31</v>
      </c>
      <c r="O656" s="6" t="s">
        <v>158</v>
      </c>
      <c r="P656" s="8"/>
      <c r="Q656" s="16">
        <v>0.12222222222222223</v>
      </c>
      <c r="R656" s="16">
        <v>0.16638888888888889</v>
      </c>
      <c r="S656" s="6">
        <v>33257</v>
      </c>
      <c r="T656" s="8"/>
      <c r="U656" s="8"/>
      <c r="V656" s="6">
        <v>33257</v>
      </c>
      <c r="W656" s="8"/>
      <c r="X656" s="6">
        <v>52</v>
      </c>
      <c r="Y656" s="12">
        <v>-52</v>
      </c>
      <c r="Z656" s="12">
        <v>0</v>
      </c>
      <c r="AA656" s="12">
        <v>0</v>
      </c>
      <c r="AB656" s="12">
        <v>0</v>
      </c>
      <c r="AC656" s="12">
        <v>0</v>
      </c>
      <c r="AD656" s="13">
        <v>0</v>
      </c>
      <c r="AE656" s="12">
        <v>0</v>
      </c>
      <c r="AF656" s="14">
        <v>0</v>
      </c>
      <c r="AG656" s="5">
        <v>0</v>
      </c>
      <c r="AH656" s="5">
        <v>0</v>
      </c>
      <c r="AI656" s="5">
        <v>0</v>
      </c>
      <c r="AJ656" s="5">
        <v>935.48</v>
      </c>
      <c r="AK656" s="5">
        <v>0</v>
      </c>
      <c r="AL656" s="5">
        <v>935.48</v>
      </c>
      <c r="AM656" s="8"/>
      <c r="AN656" s="8"/>
    </row>
    <row r="657" spans="1:40" ht="16" thickBot="1">
      <c r="A657" s="3">
        <v>656</v>
      </c>
      <c r="B657" s="19">
        <v>45958</v>
      </c>
      <c r="C657" s="5" t="s">
        <v>40</v>
      </c>
      <c r="D657" s="7" t="s">
        <v>41</v>
      </c>
      <c r="E657" s="6" t="s">
        <v>42</v>
      </c>
      <c r="F657" s="7" t="s">
        <v>85</v>
      </c>
      <c r="G657" s="10" t="s">
        <v>83</v>
      </c>
      <c r="H657" s="5" t="s">
        <v>84</v>
      </c>
      <c r="I657" s="5">
        <v>4</v>
      </c>
      <c r="J657" s="5">
        <v>10</v>
      </c>
      <c r="K657" s="6">
        <v>29000</v>
      </c>
      <c r="L657" s="5">
        <v>1000</v>
      </c>
      <c r="M657" s="5">
        <v>55</v>
      </c>
      <c r="N657" s="5">
        <v>31</v>
      </c>
      <c r="O657" s="6" t="s">
        <v>139</v>
      </c>
      <c r="P657" s="8"/>
      <c r="Q657" s="16">
        <v>6.0416666666666667E-2</v>
      </c>
      <c r="R657" s="16">
        <v>0.16869212962962962</v>
      </c>
      <c r="S657" s="6">
        <v>40044</v>
      </c>
      <c r="T657" s="16">
        <v>0.30714120370370374</v>
      </c>
      <c r="U657" s="16">
        <v>0.30790509259259258</v>
      </c>
      <c r="V657" s="6">
        <v>40076</v>
      </c>
      <c r="W657" s="6">
        <v>40</v>
      </c>
      <c r="X657" s="6">
        <v>59</v>
      </c>
      <c r="Y657" s="12">
        <v>-19</v>
      </c>
      <c r="Z657" s="12">
        <v>32</v>
      </c>
      <c r="AA657" s="12">
        <v>32</v>
      </c>
      <c r="AB657" s="12">
        <v>0</v>
      </c>
      <c r="AC657" s="12">
        <v>0</v>
      </c>
      <c r="AD657" s="13">
        <v>0</v>
      </c>
      <c r="AE657" s="12">
        <v>0</v>
      </c>
      <c r="AF657" s="14">
        <v>0</v>
      </c>
      <c r="AG657" s="5">
        <v>0</v>
      </c>
      <c r="AH657" s="5">
        <v>0</v>
      </c>
      <c r="AI657" s="5">
        <v>0</v>
      </c>
      <c r="AJ657" s="5">
        <v>935.48</v>
      </c>
      <c r="AK657" s="5">
        <v>0</v>
      </c>
      <c r="AL657" s="5">
        <v>935.48</v>
      </c>
      <c r="AM657" s="8"/>
      <c r="AN657" s="8"/>
    </row>
    <row r="658" spans="1:40" ht="16" thickBot="1">
      <c r="A658" s="3">
        <v>657</v>
      </c>
      <c r="B658" s="19">
        <v>45958</v>
      </c>
      <c r="C658" s="5" t="s">
        <v>40</v>
      </c>
      <c r="D658" s="7" t="s">
        <v>41</v>
      </c>
      <c r="E658" s="6" t="s">
        <v>42</v>
      </c>
      <c r="F658" s="7" t="s">
        <v>87</v>
      </c>
      <c r="G658" s="10" t="s">
        <v>83</v>
      </c>
      <c r="H658" s="5" t="s">
        <v>84</v>
      </c>
      <c r="I658" s="5">
        <v>4</v>
      </c>
      <c r="J658" s="5">
        <v>10</v>
      </c>
      <c r="K658" s="6">
        <v>29000</v>
      </c>
      <c r="L658" s="5">
        <v>1000</v>
      </c>
      <c r="M658" s="5">
        <v>55</v>
      </c>
      <c r="N658" s="5">
        <v>31</v>
      </c>
      <c r="O658" s="6" t="s">
        <v>166</v>
      </c>
      <c r="P658" s="8"/>
      <c r="Q658" s="16">
        <v>0.11180555555555556</v>
      </c>
      <c r="R658" s="16">
        <v>0.17148148148148148</v>
      </c>
      <c r="S658" s="6">
        <v>4035</v>
      </c>
      <c r="T658" s="16">
        <v>0.30700231481481483</v>
      </c>
      <c r="U658" s="16">
        <v>0.31072916666666667</v>
      </c>
      <c r="V658" s="6">
        <v>4080</v>
      </c>
      <c r="W658" s="6">
        <v>24</v>
      </c>
      <c r="X658" s="6">
        <v>77</v>
      </c>
      <c r="Y658" s="12">
        <v>-53</v>
      </c>
      <c r="Z658" s="12">
        <v>45</v>
      </c>
      <c r="AA658" s="12">
        <v>45</v>
      </c>
      <c r="AB658" s="12">
        <v>0</v>
      </c>
      <c r="AC658" s="12">
        <v>0</v>
      </c>
      <c r="AD658" s="13">
        <v>0</v>
      </c>
      <c r="AE658" s="12">
        <v>0</v>
      </c>
      <c r="AF658" s="14">
        <v>0</v>
      </c>
      <c r="AG658" s="5">
        <v>0</v>
      </c>
      <c r="AH658" s="5">
        <v>0</v>
      </c>
      <c r="AI658" s="5">
        <v>0</v>
      </c>
      <c r="AJ658" s="5">
        <v>935.48</v>
      </c>
      <c r="AK658" s="5">
        <v>0</v>
      </c>
      <c r="AL658" s="5">
        <v>935.48</v>
      </c>
      <c r="AM658" s="8"/>
      <c r="AN658" s="8"/>
    </row>
    <row r="659" spans="1:40" ht="16" thickBot="1">
      <c r="A659" s="3">
        <v>658</v>
      </c>
      <c r="B659" s="19">
        <v>45958</v>
      </c>
      <c r="C659" s="5" t="s">
        <v>40</v>
      </c>
      <c r="D659" s="7" t="s">
        <v>41</v>
      </c>
      <c r="E659" s="6" t="s">
        <v>42</v>
      </c>
      <c r="F659" s="7" t="s">
        <v>89</v>
      </c>
      <c r="G659" s="10" t="s">
        <v>83</v>
      </c>
      <c r="H659" s="5" t="s">
        <v>84</v>
      </c>
      <c r="I659" s="5">
        <v>4</v>
      </c>
      <c r="J659" s="5">
        <v>10</v>
      </c>
      <c r="K659" s="6">
        <v>29000</v>
      </c>
      <c r="L659" s="5">
        <v>1000</v>
      </c>
      <c r="M659" s="5">
        <v>55</v>
      </c>
      <c r="N659" s="5">
        <v>31</v>
      </c>
      <c r="O659" s="6" t="s">
        <v>109</v>
      </c>
      <c r="P659" s="8"/>
      <c r="Q659" s="16">
        <v>8.9583333333333334E-2</v>
      </c>
      <c r="R659" s="16">
        <v>0.1700925925925926</v>
      </c>
      <c r="S659" s="6">
        <v>139897</v>
      </c>
      <c r="T659" s="16">
        <v>0.31018518518518517</v>
      </c>
      <c r="U659" s="16">
        <v>0.3103009259259259</v>
      </c>
      <c r="V659" s="6">
        <v>139927</v>
      </c>
      <c r="W659" s="6">
        <v>24</v>
      </c>
      <c r="X659" s="6">
        <v>46</v>
      </c>
      <c r="Y659" s="12">
        <v>-22</v>
      </c>
      <c r="Z659" s="12">
        <v>30</v>
      </c>
      <c r="AA659" s="12">
        <v>30</v>
      </c>
      <c r="AB659" s="12">
        <v>0</v>
      </c>
      <c r="AC659" s="12">
        <v>0</v>
      </c>
      <c r="AD659" s="13">
        <v>0</v>
      </c>
      <c r="AE659" s="12">
        <v>0</v>
      </c>
      <c r="AF659" s="14">
        <v>0</v>
      </c>
      <c r="AG659" s="5">
        <v>0</v>
      </c>
      <c r="AH659" s="5">
        <v>0</v>
      </c>
      <c r="AI659" s="5">
        <v>0</v>
      </c>
      <c r="AJ659" s="5">
        <v>935.48</v>
      </c>
      <c r="AK659" s="5">
        <v>0</v>
      </c>
      <c r="AL659" s="5">
        <v>935.48</v>
      </c>
      <c r="AM659" s="8"/>
      <c r="AN659" s="8"/>
    </row>
    <row r="660" spans="1:40" ht="16" thickBot="1">
      <c r="A660" s="3">
        <v>659</v>
      </c>
      <c r="B660" s="19">
        <v>45959</v>
      </c>
      <c r="C660" s="5" t="s">
        <v>40</v>
      </c>
      <c r="D660" s="7" t="s">
        <v>41</v>
      </c>
      <c r="E660" s="6" t="s">
        <v>42</v>
      </c>
      <c r="F660" s="7" t="s">
        <v>43</v>
      </c>
      <c r="G660" s="5" t="s">
        <v>44</v>
      </c>
      <c r="H660" s="5" t="s">
        <v>45</v>
      </c>
      <c r="I660" s="5">
        <v>4</v>
      </c>
      <c r="J660" s="5">
        <v>8</v>
      </c>
      <c r="K660" s="5">
        <v>25000</v>
      </c>
      <c r="L660" s="5">
        <v>1000</v>
      </c>
      <c r="M660" s="5">
        <v>55</v>
      </c>
      <c r="N660" s="5">
        <v>31</v>
      </c>
      <c r="O660" s="6" t="s">
        <v>46</v>
      </c>
      <c r="P660" s="8"/>
      <c r="Q660" s="16">
        <v>4.5138888888888888E-2</v>
      </c>
      <c r="R660" s="16">
        <v>0.16853009259259258</v>
      </c>
      <c r="S660" s="6">
        <v>58369</v>
      </c>
      <c r="T660" s="16">
        <v>0.29351851851851851</v>
      </c>
      <c r="U660" s="16">
        <v>0.2936111111111111</v>
      </c>
      <c r="V660" s="6">
        <v>58376</v>
      </c>
      <c r="W660" s="6">
        <v>37</v>
      </c>
      <c r="X660" s="6">
        <v>37</v>
      </c>
      <c r="Y660" s="12">
        <v>0</v>
      </c>
      <c r="Z660" s="12">
        <v>7</v>
      </c>
      <c r="AA660" s="12">
        <v>7</v>
      </c>
      <c r="AB660" s="12">
        <v>0</v>
      </c>
      <c r="AC660" s="12">
        <v>0</v>
      </c>
      <c r="AD660" s="13">
        <v>0</v>
      </c>
      <c r="AE660" s="12">
        <v>0</v>
      </c>
      <c r="AF660" s="14">
        <v>0</v>
      </c>
      <c r="AG660" s="5">
        <v>0</v>
      </c>
      <c r="AH660" s="5">
        <v>0</v>
      </c>
      <c r="AI660" s="5">
        <v>0</v>
      </c>
      <c r="AJ660" s="5">
        <v>806.45</v>
      </c>
      <c r="AK660" s="5">
        <v>0</v>
      </c>
      <c r="AL660" s="5">
        <v>806.45</v>
      </c>
      <c r="AM660" s="8"/>
      <c r="AN660" s="8"/>
    </row>
    <row r="661" spans="1:40" ht="16" thickBot="1">
      <c r="A661" s="3">
        <v>660</v>
      </c>
      <c r="B661" s="19">
        <v>45959</v>
      </c>
      <c r="C661" s="5" t="s">
        <v>40</v>
      </c>
      <c r="D661" s="7" t="s">
        <v>41</v>
      </c>
      <c r="E661" s="6" t="s">
        <v>42</v>
      </c>
      <c r="F661" s="7" t="s">
        <v>49</v>
      </c>
      <c r="G661" s="5" t="s">
        <v>44</v>
      </c>
      <c r="H661" s="5" t="s">
        <v>45</v>
      </c>
      <c r="I661" s="5">
        <v>6</v>
      </c>
      <c r="J661" s="5">
        <v>8</v>
      </c>
      <c r="K661" s="5">
        <v>33000</v>
      </c>
      <c r="L661" s="5">
        <v>2000</v>
      </c>
      <c r="M661" s="5">
        <v>55</v>
      </c>
      <c r="N661" s="5">
        <v>31</v>
      </c>
      <c r="O661" s="6" t="s">
        <v>91</v>
      </c>
      <c r="P661" s="8"/>
      <c r="Q661" s="16">
        <v>7.2222222222222229E-2</v>
      </c>
      <c r="R661" s="16">
        <v>0.15734953703703705</v>
      </c>
      <c r="S661" s="6">
        <v>102129</v>
      </c>
      <c r="T661" s="16">
        <v>0.33390046296296294</v>
      </c>
      <c r="U661" s="16">
        <v>0.33690972222222221</v>
      </c>
      <c r="V661" s="6">
        <v>102182</v>
      </c>
      <c r="W661" s="6">
        <v>25</v>
      </c>
      <c r="X661" s="6">
        <v>65</v>
      </c>
      <c r="Y661" s="12">
        <v>-40</v>
      </c>
      <c r="Z661" s="12">
        <v>53</v>
      </c>
      <c r="AA661" s="12">
        <v>53</v>
      </c>
      <c r="AB661" s="12">
        <v>0</v>
      </c>
      <c r="AC661" s="12">
        <v>0</v>
      </c>
      <c r="AD661" s="13">
        <v>0</v>
      </c>
      <c r="AE661" s="12">
        <v>0</v>
      </c>
      <c r="AF661" s="14">
        <v>0</v>
      </c>
      <c r="AG661" s="5">
        <v>0</v>
      </c>
      <c r="AH661" s="5">
        <v>0</v>
      </c>
      <c r="AI661" s="5">
        <v>0</v>
      </c>
      <c r="AJ661" s="5">
        <v>1064.52</v>
      </c>
      <c r="AK661" s="5">
        <v>0</v>
      </c>
      <c r="AL661" s="5">
        <v>1064.52</v>
      </c>
      <c r="AM661" s="8"/>
      <c r="AN661" s="8"/>
    </row>
    <row r="662" spans="1:40" ht="16" thickBot="1">
      <c r="A662" s="3">
        <v>661</v>
      </c>
      <c r="B662" s="19">
        <v>45959</v>
      </c>
      <c r="C662" s="5" t="s">
        <v>40</v>
      </c>
      <c r="D662" s="7" t="s">
        <v>41</v>
      </c>
      <c r="E662" s="6" t="s">
        <v>42</v>
      </c>
      <c r="F662" s="7" t="s">
        <v>51</v>
      </c>
      <c r="G662" s="5" t="s">
        <v>44</v>
      </c>
      <c r="H662" s="5" t="s">
        <v>45</v>
      </c>
      <c r="I662" s="5">
        <v>4</v>
      </c>
      <c r="J662" s="5">
        <v>8</v>
      </c>
      <c r="K662" s="5">
        <v>25000</v>
      </c>
      <c r="L662" s="5">
        <v>1000</v>
      </c>
      <c r="M662" s="5">
        <v>55</v>
      </c>
      <c r="N662" s="5">
        <v>31</v>
      </c>
      <c r="O662" s="6" t="s">
        <v>46</v>
      </c>
      <c r="P662" s="8"/>
      <c r="Q662" s="16">
        <v>0.12152777777777778</v>
      </c>
      <c r="R662" s="16">
        <v>0.30561342592592594</v>
      </c>
      <c r="S662" s="6">
        <v>84551</v>
      </c>
      <c r="T662" s="16">
        <v>0.30579861111111112</v>
      </c>
      <c r="U662" s="16">
        <v>0.30607638888888888</v>
      </c>
      <c r="V662" s="6">
        <v>84582</v>
      </c>
      <c r="W662" s="6">
        <v>0</v>
      </c>
      <c r="X662" s="6">
        <v>0</v>
      </c>
      <c r="Y662" s="12">
        <v>0</v>
      </c>
      <c r="Z662" s="12">
        <v>31</v>
      </c>
      <c r="AA662" s="12">
        <v>31</v>
      </c>
      <c r="AB662" s="12">
        <v>0</v>
      </c>
      <c r="AC662" s="12">
        <v>0</v>
      </c>
      <c r="AD662" s="13">
        <v>0</v>
      </c>
      <c r="AE662" s="12">
        <v>0</v>
      </c>
      <c r="AF662" s="14">
        <v>0</v>
      </c>
      <c r="AG662" s="5">
        <v>0</v>
      </c>
      <c r="AH662" s="5">
        <v>0</v>
      </c>
      <c r="AI662" s="5">
        <v>0</v>
      </c>
      <c r="AJ662" s="5">
        <v>806.45</v>
      </c>
      <c r="AK662" s="5">
        <v>0</v>
      </c>
      <c r="AL662" s="5">
        <v>806.45</v>
      </c>
      <c r="AM662" s="8"/>
      <c r="AN662" s="8"/>
    </row>
    <row r="663" spans="1:40" ht="16" thickBot="1">
      <c r="A663" s="3">
        <v>662</v>
      </c>
      <c r="B663" s="19">
        <v>45959</v>
      </c>
      <c r="C663" s="5" t="s">
        <v>40</v>
      </c>
      <c r="D663" s="7" t="s">
        <v>41</v>
      </c>
      <c r="E663" s="6" t="s">
        <v>42</v>
      </c>
      <c r="F663" s="7" t="s">
        <v>145</v>
      </c>
      <c r="G663" s="5" t="s">
        <v>44</v>
      </c>
      <c r="H663" s="5" t="s">
        <v>45</v>
      </c>
      <c r="I663" s="5">
        <v>4</v>
      </c>
      <c r="J663" s="5">
        <v>8</v>
      </c>
      <c r="K663" s="5">
        <v>25000</v>
      </c>
      <c r="L663" s="5">
        <v>1000</v>
      </c>
      <c r="M663" s="5">
        <v>55</v>
      </c>
      <c r="N663" s="5">
        <v>31</v>
      </c>
      <c r="O663" s="6" t="s">
        <v>127</v>
      </c>
      <c r="P663" s="8"/>
      <c r="Q663" s="16">
        <v>4.7916666666666663E-2</v>
      </c>
      <c r="R663" s="16">
        <v>0.1595486111111111</v>
      </c>
      <c r="S663" s="6">
        <v>39605</v>
      </c>
      <c r="T663" s="16">
        <v>0.2940740740740741</v>
      </c>
      <c r="U663" s="16">
        <v>0.29694444444444446</v>
      </c>
      <c r="V663" s="6">
        <v>39633</v>
      </c>
      <c r="W663" s="6">
        <v>55</v>
      </c>
      <c r="X663" s="6">
        <v>51</v>
      </c>
      <c r="Y663" s="12">
        <v>4</v>
      </c>
      <c r="Z663" s="12">
        <v>28</v>
      </c>
      <c r="AA663" s="12">
        <v>28</v>
      </c>
      <c r="AB663" s="12">
        <v>0</v>
      </c>
      <c r="AC663" s="12">
        <v>0</v>
      </c>
      <c r="AD663" s="13">
        <v>0</v>
      </c>
      <c r="AE663" s="12">
        <v>0</v>
      </c>
      <c r="AF663" s="14">
        <v>0</v>
      </c>
      <c r="AG663" s="5">
        <v>0</v>
      </c>
      <c r="AH663" s="5">
        <v>0</v>
      </c>
      <c r="AI663" s="5">
        <v>0</v>
      </c>
      <c r="AJ663" s="5">
        <v>806.45</v>
      </c>
      <c r="AK663" s="5">
        <v>0</v>
      </c>
      <c r="AL663" s="5">
        <v>806.45</v>
      </c>
      <c r="AM663" s="8"/>
      <c r="AN663" s="8"/>
    </row>
    <row r="664" spans="1:40" ht="16" thickBot="1">
      <c r="A664" s="3">
        <v>663</v>
      </c>
      <c r="B664" s="19">
        <v>45959</v>
      </c>
      <c r="C664" s="5" t="s">
        <v>40</v>
      </c>
      <c r="D664" s="7" t="s">
        <v>41</v>
      </c>
      <c r="E664" s="6" t="s">
        <v>42</v>
      </c>
      <c r="F664" s="7" t="s">
        <v>53</v>
      </c>
      <c r="G664" s="5" t="s">
        <v>44</v>
      </c>
      <c r="H664" s="5" t="s">
        <v>45</v>
      </c>
      <c r="I664" s="5">
        <v>4</v>
      </c>
      <c r="J664" s="5">
        <v>8</v>
      </c>
      <c r="K664" s="5">
        <v>25000</v>
      </c>
      <c r="L664" s="5">
        <v>1000</v>
      </c>
      <c r="M664" s="5">
        <v>55</v>
      </c>
      <c r="N664" s="5">
        <v>31</v>
      </c>
      <c r="O664" s="6" t="s">
        <v>75</v>
      </c>
      <c r="P664" s="8"/>
      <c r="Q664" s="16">
        <v>0.11805555555555557</v>
      </c>
      <c r="R664" s="16">
        <v>0.17076388888888891</v>
      </c>
      <c r="S664" s="6">
        <v>13220</v>
      </c>
      <c r="T664" s="16">
        <v>0.32631944444444444</v>
      </c>
      <c r="U664" s="16">
        <v>0.33185185185185184</v>
      </c>
      <c r="V664" s="6">
        <v>13237</v>
      </c>
      <c r="W664" s="6">
        <v>24</v>
      </c>
      <c r="X664" s="6">
        <v>35</v>
      </c>
      <c r="Y664" s="12">
        <v>-11</v>
      </c>
      <c r="Z664" s="12">
        <v>17</v>
      </c>
      <c r="AA664" s="12">
        <v>17</v>
      </c>
      <c r="AB664" s="12">
        <v>0</v>
      </c>
      <c r="AC664" s="12">
        <v>0</v>
      </c>
      <c r="AD664" s="13">
        <v>0</v>
      </c>
      <c r="AE664" s="12">
        <v>0</v>
      </c>
      <c r="AF664" s="14">
        <v>0</v>
      </c>
      <c r="AG664" s="5">
        <v>0</v>
      </c>
      <c r="AH664" s="5">
        <v>0</v>
      </c>
      <c r="AI664" s="5">
        <v>0</v>
      </c>
      <c r="AJ664" s="5">
        <v>806.45</v>
      </c>
      <c r="AK664" s="5">
        <v>0</v>
      </c>
      <c r="AL664" s="5">
        <v>806.45</v>
      </c>
      <c r="AM664" s="8"/>
      <c r="AN664" s="8"/>
    </row>
    <row r="665" spans="1:40" ht="16" thickBot="1">
      <c r="A665" s="3">
        <v>664</v>
      </c>
      <c r="B665" s="19">
        <v>45959</v>
      </c>
      <c r="C665" s="5" t="s">
        <v>40</v>
      </c>
      <c r="D665" s="7" t="s">
        <v>41</v>
      </c>
      <c r="E665" s="6" t="s">
        <v>42</v>
      </c>
      <c r="F665" s="7" t="s">
        <v>55</v>
      </c>
      <c r="G665" s="5" t="s">
        <v>44</v>
      </c>
      <c r="H665" s="5" t="s">
        <v>45</v>
      </c>
      <c r="I665" s="5">
        <v>4</v>
      </c>
      <c r="J665" s="5">
        <v>8</v>
      </c>
      <c r="K665" s="5">
        <v>25000</v>
      </c>
      <c r="L665" s="5">
        <v>1000</v>
      </c>
      <c r="M665" s="5">
        <v>55</v>
      </c>
      <c r="N665" s="5">
        <v>31</v>
      </c>
      <c r="O665" s="6" t="s">
        <v>56</v>
      </c>
      <c r="P665" s="8"/>
      <c r="Q665" s="16">
        <v>8.819444444444445E-2</v>
      </c>
      <c r="R665" s="16">
        <v>0.16886574074074076</v>
      </c>
      <c r="S665" s="6">
        <v>145617</v>
      </c>
      <c r="T665" s="16">
        <v>0.2928472222222222</v>
      </c>
      <c r="U665" s="16">
        <v>0.29296296296296298</v>
      </c>
      <c r="V665" s="6">
        <v>145633</v>
      </c>
      <c r="W665" s="6">
        <v>30</v>
      </c>
      <c r="X665" s="6">
        <v>30</v>
      </c>
      <c r="Y665" s="12">
        <v>0</v>
      </c>
      <c r="Z665" s="12">
        <v>16</v>
      </c>
      <c r="AA665" s="12">
        <v>16</v>
      </c>
      <c r="AB665" s="12">
        <v>0</v>
      </c>
      <c r="AC665" s="12">
        <v>0</v>
      </c>
      <c r="AD665" s="13">
        <v>0</v>
      </c>
      <c r="AE665" s="12">
        <v>0</v>
      </c>
      <c r="AF665" s="14">
        <v>0</v>
      </c>
      <c r="AG665" s="5">
        <v>0</v>
      </c>
      <c r="AH665" s="5">
        <v>0</v>
      </c>
      <c r="AI665" s="5">
        <v>0</v>
      </c>
      <c r="AJ665" s="5">
        <v>806.45</v>
      </c>
      <c r="AK665" s="5">
        <v>0</v>
      </c>
      <c r="AL665" s="5">
        <v>806.45</v>
      </c>
      <c r="AM665" s="8"/>
      <c r="AN665" s="8"/>
    </row>
    <row r="666" spans="1:40" ht="16" thickBot="1">
      <c r="A666" s="3">
        <v>665</v>
      </c>
      <c r="B666" s="19">
        <v>45959</v>
      </c>
      <c r="C666" s="5" t="s">
        <v>40</v>
      </c>
      <c r="D666" s="7" t="s">
        <v>41</v>
      </c>
      <c r="E666" s="6" t="s">
        <v>42</v>
      </c>
      <c r="F666" s="7" t="s">
        <v>176</v>
      </c>
      <c r="G666" s="5" t="s">
        <v>44</v>
      </c>
      <c r="H666" s="5" t="s">
        <v>45</v>
      </c>
      <c r="I666" s="5">
        <v>4</v>
      </c>
      <c r="J666" s="5">
        <v>8</v>
      </c>
      <c r="K666" s="5">
        <v>25000</v>
      </c>
      <c r="L666" s="5">
        <v>1000</v>
      </c>
      <c r="M666" s="5">
        <v>55</v>
      </c>
      <c r="N666" s="5">
        <v>31</v>
      </c>
      <c r="O666" s="6" t="s">
        <v>155</v>
      </c>
      <c r="P666" s="8"/>
      <c r="Q666" s="16">
        <v>4.3055555555555562E-2</v>
      </c>
      <c r="R666" s="16">
        <v>0.16098379629629631</v>
      </c>
      <c r="S666" s="6">
        <v>166408</v>
      </c>
      <c r="T666" s="16">
        <v>0.33528935185185182</v>
      </c>
      <c r="U666" s="16">
        <v>0.33569444444444446</v>
      </c>
      <c r="V666" s="6">
        <v>166427</v>
      </c>
      <c r="W666" s="6">
        <v>50</v>
      </c>
      <c r="X666" s="6">
        <v>34</v>
      </c>
      <c r="Y666" s="12">
        <v>16</v>
      </c>
      <c r="Z666" s="12">
        <v>19</v>
      </c>
      <c r="AA666" s="12">
        <v>19</v>
      </c>
      <c r="AB666" s="12">
        <v>0</v>
      </c>
      <c r="AC666" s="12">
        <v>0</v>
      </c>
      <c r="AD666" s="13">
        <v>1</v>
      </c>
      <c r="AE666" s="12">
        <v>150</v>
      </c>
      <c r="AF666" s="14">
        <v>0</v>
      </c>
      <c r="AG666" s="5">
        <v>0</v>
      </c>
      <c r="AH666" s="5">
        <v>0</v>
      </c>
      <c r="AI666" s="5">
        <v>0</v>
      </c>
      <c r="AJ666" s="5">
        <v>956.45</v>
      </c>
      <c r="AK666" s="5">
        <v>0</v>
      </c>
      <c r="AL666" s="5">
        <v>956.45</v>
      </c>
      <c r="AM666" s="8"/>
      <c r="AN666" s="8"/>
    </row>
    <row r="667" spans="1:40" ht="16" thickBot="1">
      <c r="A667" s="3">
        <v>666</v>
      </c>
      <c r="B667" s="19">
        <v>45959</v>
      </c>
      <c r="C667" s="5" t="s">
        <v>40</v>
      </c>
      <c r="D667" s="7" t="s">
        <v>41</v>
      </c>
      <c r="E667" s="6" t="s">
        <v>42</v>
      </c>
      <c r="F667" s="7" t="s">
        <v>182</v>
      </c>
      <c r="G667" s="5" t="s">
        <v>44</v>
      </c>
      <c r="H667" s="5" t="s">
        <v>45</v>
      </c>
      <c r="I667" s="5">
        <v>4</v>
      </c>
      <c r="J667" s="5">
        <v>8</v>
      </c>
      <c r="K667" s="5">
        <v>25000</v>
      </c>
      <c r="L667" s="5">
        <v>1000</v>
      </c>
      <c r="M667" s="5">
        <v>55</v>
      </c>
      <c r="N667" s="5">
        <v>31</v>
      </c>
      <c r="O667" s="6" t="s">
        <v>102</v>
      </c>
      <c r="P667" s="8"/>
      <c r="Q667" s="16">
        <v>4.3055555555555562E-2</v>
      </c>
      <c r="R667" s="16">
        <v>0.16045138888888888</v>
      </c>
      <c r="S667" s="6">
        <v>117027</v>
      </c>
      <c r="T667" s="16">
        <v>0.33894675925925927</v>
      </c>
      <c r="U667" s="16">
        <v>0.33908564814814812</v>
      </c>
      <c r="V667" s="6">
        <v>117047</v>
      </c>
      <c r="W667" s="6">
        <v>60</v>
      </c>
      <c r="X667" s="6">
        <v>60</v>
      </c>
      <c r="Y667" s="12">
        <v>0</v>
      </c>
      <c r="Z667" s="12">
        <v>20</v>
      </c>
      <c r="AA667" s="12">
        <v>20</v>
      </c>
      <c r="AB667" s="12">
        <v>0</v>
      </c>
      <c r="AC667" s="12">
        <v>0</v>
      </c>
      <c r="AD667" s="13">
        <v>1</v>
      </c>
      <c r="AE667" s="12">
        <v>150</v>
      </c>
      <c r="AF667" s="14">
        <v>0</v>
      </c>
      <c r="AG667" s="5">
        <v>0</v>
      </c>
      <c r="AH667" s="5">
        <v>0</v>
      </c>
      <c r="AI667" s="5">
        <v>0</v>
      </c>
      <c r="AJ667" s="5">
        <v>956.45</v>
      </c>
      <c r="AK667" s="5">
        <v>0</v>
      </c>
      <c r="AL667" s="5">
        <v>956.45</v>
      </c>
      <c r="AM667" s="8"/>
      <c r="AN667" s="8"/>
    </row>
    <row r="668" spans="1:40" ht="16" thickBot="1">
      <c r="A668" s="3">
        <v>667</v>
      </c>
      <c r="B668" s="19">
        <v>45959</v>
      </c>
      <c r="C668" s="5" t="s">
        <v>40</v>
      </c>
      <c r="D668" s="7" t="s">
        <v>41</v>
      </c>
      <c r="E668" s="6" t="s">
        <v>42</v>
      </c>
      <c r="F668" s="7" t="s">
        <v>57</v>
      </c>
      <c r="G668" s="5" t="s">
        <v>44</v>
      </c>
      <c r="H668" s="5" t="s">
        <v>45</v>
      </c>
      <c r="I668" s="5">
        <v>4</v>
      </c>
      <c r="J668" s="5">
        <v>8</v>
      </c>
      <c r="K668" s="5">
        <v>25000</v>
      </c>
      <c r="L668" s="5">
        <v>1000</v>
      </c>
      <c r="M668" s="5">
        <v>55</v>
      </c>
      <c r="N668" s="5">
        <v>31</v>
      </c>
      <c r="O668" s="6" t="s">
        <v>58</v>
      </c>
      <c r="P668" s="8"/>
      <c r="Q668" s="16">
        <v>4.3750000000000004E-2</v>
      </c>
      <c r="R668" s="16">
        <v>0.1582638888888889</v>
      </c>
      <c r="S668" s="6">
        <v>146748</v>
      </c>
      <c r="T668" s="16">
        <v>0.33586805555555554</v>
      </c>
      <c r="U668" s="16">
        <v>0.33598379629629632</v>
      </c>
      <c r="V668" s="6">
        <v>146770</v>
      </c>
      <c r="W668" s="6">
        <v>50</v>
      </c>
      <c r="X668" s="6">
        <v>50</v>
      </c>
      <c r="Y668" s="12">
        <v>0</v>
      </c>
      <c r="Z668" s="12">
        <v>22</v>
      </c>
      <c r="AA668" s="12">
        <v>22</v>
      </c>
      <c r="AB668" s="12">
        <v>0</v>
      </c>
      <c r="AC668" s="12">
        <v>0</v>
      </c>
      <c r="AD668" s="13">
        <v>1</v>
      </c>
      <c r="AE668" s="12">
        <v>150</v>
      </c>
      <c r="AF668" s="14">
        <v>0</v>
      </c>
      <c r="AG668" s="5">
        <v>0</v>
      </c>
      <c r="AH668" s="5">
        <v>0</v>
      </c>
      <c r="AI668" s="5">
        <v>0</v>
      </c>
      <c r="AJ668" s="5">
        <v>956.45</v>
      </c>
      <c r="AK668" s="5">
        <v>0</v>
      </c>
      <c r="AL668" s="5">
        <v>956.45</v>
      </c>
      <c r="AM668" s="8"/>
      <c r="AN668" s="8"/>
    </row>
    <row r="669" spans="1:40" ht="16" thickBot="1">
      <c r="A669" s="3">
        <v>668</v>
      </c>
      <c r="B669" s="19">
        <v>45959</v>
      </c>
      <c r="C669" s="5" t="s">
        <v>40</v>
      </c>
      <c r="D669" s="7" t="s">
        <v>41</v>
      </c>
      <c r="E669" s="6" t="s">
        <v>42</v>
      </c>
      <c r="F669" s="7" t="s">
        <v>60</v>
      </c>
      <c r="G669" s="5" t="s">
        <v>44</v>
      </c>
      <c r="H669" s="5" t="s">
        <v>45</v>
      </c>
      <c r="I669" s="5">
        <v>4</v>
      </c>
      <c r="J669" s="5">
        <v>8</v>
      </c>
      <c r="K669" s="5">
        <v>25000</v>
      </c>
      <c r="L669" s="5">
        <v>1000</v>
      </c>
      <c r="M669" s="5">
        <v>55</v>
      </c>
      <c r="N669" s="5">
        <v>31</v>
      </c>
      <c r="O669" s="6" t="s">
        <v>136</v>
      </c>
      <c r="P669" s="8"/>
      <c r="Q669" s="16">
        <v>4.6527777777777779E-2</v>
      </c>
      <c r="R669" s="16">
        <v>0.16993055555555556</v>
      </c>
      <c r="S669" s="6">
        <v>115051</v>
      </c>
      <c r="T669" s="16">
        <v>0.31252314814814813</v>
      </c>
      <c r="U669" s="16">
        <v>0.31263888888888886</v>
      </c>
      <c r="V669" s="6">
        <v>115069</v>
      </c>
      <c r="W669" s="6">
        <v>41</v>
      </c>
      <c r="X669" s="6">
        <v>41</v>
      </c>
      <c r="Y669" s="12">
        <v>0</v>
      </c>
      <c r="Z669" s="12">
        <v>18</v>
      </c>
      <c r="AA669" s="12">
        <v>18</v>
      </c>
      <c r="AB669" s="12">
        <v>0</v>
      </c>
      <c r="AC669" s="12">
        <v>0</v>
      </c>
      <c r="AD669" s="13">
        <v>0</v>
      </c>
      <c r="AE669" s="12">
        <v>0</v>
      </c>
      <c r="AF669" s="14">
        <v>0</v>
      </c>
      <c r="AG669" s="5">
        <v>0</v>
      </c>
      <c r="AH669" s="5">
        <v>0</v>
      </c>
      <c r="AI669" s="5">
        <v>0</v>
      </c>
      <c r="AJ669" s="5">
        <v>806.45</v>
      </c>
      <c r="AK669" s="5">
        <v>0</v>
      </c>
      <c r="AL669" s="5">
        <v>806.45</v>
      </c>
      <c r="AM669" s="8"/>
      <c r="AN669" s="8"/>
    </row>
    <row r="670" spans="1:40" ht="16" thickBot="1">
      <c r="A670" s="3">
        <v>669</v>
      </c>
      <c r="B670" s="19">
        <v>45959</v>
      </c>
      <c r="C670" s="5" t="s">
        <v>40</v>
      </c>
      <c r="D670" s="7" t="s">
        <v>41</v>
      </c>
      <c r="E670" s="6" t="s">
        <v>42</v>
      </c>
      <c r="F670" s="7" t="s">
        <v>97</v>
      </c>
      <c r="G670" s="5" t="s">
        <v>44</v>
      </c>
      <c r="H670" s="5" t="s">
        <v>45</v>
      </c>
      <c r="I670" s="5">
        <v>4</v>
      </c>
      <c r="J670" s="5">
        <v>8</v>
      </c>
      <c r="K670" s="5">
        <v>25000</v>
      </c>
      <c r="L670" s="5">
        <v>1000</v>
      </c>
      <c r="M670" s="5">
        <v>55</v>
      </c>
      <c r="N670" s="5">
        <v>31</v>
      </c>
      <c r="O670" s="6" t="s">
        <v>125</v>
      </c>
      <c r="P670" s="8"/>
      <c r="Q670" s="16">
        <v>7.0833333333333331E-2</v>
      </c>
      <c r="R670" s="16">
        <v>0.16199074074074074</v>
      </c>
      <c r="S670" s="6">
        <v>79554</v>
      </c>
      <c r="T670" s="16">
        <v>0.40909722222222222</v>
      </c>
      <c r="U670" s="16">
        <v>0.40952546296296299</v>
      </c>
      <c r="V670" s="6">
        <v>79571</v>
      </c>
      <c r="W670" s="6">
        <v>35</v>
      </c>
      <c r="X670" s="6">
        <v>53</v>
      </c>
      <c r="Y670" s="12">
        <v>-18</v>
      </c>
      <c r="Z670" s="12">
        <v>17</v>
      </c>
      <c r="AA670" s="12">
        <v>17</v>
      </c>
      <c r="AB670" s="12">
        <v>0</v>
      </c>
      <c r="AC670" s="12">
        <v>0</v>
      </c>
      <c r="AD670" s="13">
        <v>2</v>
      </c>
      <c r="AE670" s="12">
        <v>300</v>
      </c>
      <c r="AF670" s="14">
        <v>0</v>
      </c>
      <c r="AG670" s="5">
        <v>0</v>
      </c>
      <c r="AH670" s="5">
        <v>0</v>
      </c>
      <c r="AI670" s="5">
        <v>0</v>
      </c>
      <c r="AJ670" s="5">
        <v>1106.45</v>
      </c>
      <c r="AK670" s="5">
        <v>0</v>
      </c>
      <c r="AL670" s="5">
        <v>1106.45</v>
      </c>
      <c r="AM670" s="8"/>
      <c r="AN670" s="8"/>
    </row>
    <row r="671" spans="1:40" ht="16" thickBot="1">
      <c r="A671" s="3">
        <v>670</v>
      </c>
      <c r="B671" s="19">
        <v>45959</v>
      </c>
      <c r="C671" s="5" t="s">
        <v>40</v>
      </c>
      <c r="D671" s="7" t="s">
        <v>41</v>
      </c>
      <c r="E671" s="6" t="s">
        <v>42</v>
      </c>
      <c r="F671" s="7" t="s">
        <v>235</v>
      </c>
      <c r="G671" s="5" t="s">
        <v>44</v>
      </c>
      <c r="H671" s="5" t="s">
        <v>45</v>
      </c>
      <c r="I671" s="5">
        <v>4</v>
      </c>
      <c r="J671" s="5">
        <v>8</v>
      </c>
      <c r="K671" s="5">
        <v>25000</v>
      </c>
      <c r="L671" s="5">
        <v>1000</v>
      </c>
      <c r="M671" s="5">
        <v>55</v>
      </c>
      <c r="N671" s="5">
        <v>31</v>
      </c>
      <c r="O671" s="6" t="s">
        <v>130</v>
      </c>
      <c r="P671" s="8"/>
      <c r="Q671" s="16">
        <v>0.1173611111111111</v>
      </c>
      <c r="R671" s="16">
        <v>0.16321759259259258</v>
      </c>
      <c r="S671" s="6">
        <v>29505</v>
      </c>
      <c r="T671" s="16">
        <v>0.31607638888888889</v>
      </c>
      <c r="U671" s="16">
        <v>0.31618055555555552</v>
      </c>
      <c r="V671" s="6">
        <v>29536</v>
      </c>
      <c r="W671" s="6">
        <v>29</v>
      </c>
      <c r="X671" s="6">
        <v>29</v>
      </c>
      <c r="Y671" s="12">
        <v>0</v>
      </c>
      <c r="Z671" s="12">
        <v>31</v>
      </c>
      <c r="AA671" s="12">
        <v>31</v>
      </c>
      <c r="AB671" s="12">
        <v>0</v>
      </c>
      <c r="AC671" s="12">
        <v>0</v>
      </c>
      <c r="AD671" s="13">
        <v>0</v>
      </c>
      <c r="AE671" s="12">
        <v>0</v>
      </c>
      <c r="AF671" s="14">
        <v>0</v>
      </c>
      <c r="AG671" s="5">
        <v>0</v>
      </c>
      <c r="AH671" s="5">
        <v>0</v>
      </c>
      <c r="AI671" s="5">
        <v>0</v>
      </c>
      <c r="AJ671" s="5">
        <v>806.45</v>
      </c>
      <c r="AK671" s="5">
        <v>0</v>
      </c>
      <c r="AL671" s="5">
        <v>806.45</v>
      </c>
      <c r="AM671" s="8"/>
      <c r="AN671" s="8"/>
    </row>
    <row r="672" spans="1:40" ht="16" thickBot="1">
      <c r="A672" s="3">
        <v>671</v>
      </c>
      <c r="B672" s="19">
        <v>45959</v>
      </c>
      <c r="C672" s="5" t="s">
        <v>40</v>
      </c>
      <c r="D672" s="7" t="s">
        <v>41</v>
      </c>
      <c r="E672" s="6" t="s">
        <v>42</v>
      </c>
      <c r="F672" s="7" t="s">
        <v>185</v>
      </c>
      <c r="G672" s="5" t="s">
        <v>44</v>
      </c>
      <c r="H672" s="5" t="s">
        <v>45</v>
      </c>
      <c r="I672" s="5">
        <v>4</v>
      </c>
      <c r="J672" s="5">
        <v>8</v>
      </c>
      <c r="K672" s="5">
        <v>25000</v>
      </c>
      <c r="L672" s="5">
        <v>1000</v>
      </c>
      <c r="M672" s="5">
        <v>55</v>
      </c>
      <c r="N672" s="5">
        <v>31</v>
      </c>
      <c r="O672" s="6" t="s">
        <v>114</v>
      </c>
      <c r="P672" s="8"/>
      <c r="Q672" s="16">
        <v>4.3750000000000004E-2</v>
      </c>
      <c r="R672" s="16">
        <v>0.15809027777777776</v>
      </c>
      <c r="S672" s="6">
        <v>66688</v>
      </c>
      <c r="T672" s="16">
        <v>0.40774305555555551</v>
      </c>
      <c r="U672" s="16">
        <v>0.4079976851851852</v>
      </c>
      <c r="V672" s="6">
        <v>66698</v>
      </c>
      <c r="W672" s="6">
        <v>30</v>
      </c>
      <c r="X672" s="6">
        <v>62</v>
      </c>
      <c r="Y672" s="12">
        <v>-32</v>
      </c>
      <c r="Z672" s="12">
        <v>10</v>
      </c>
      <c r="AA672" s="12">
        <v>10</v>
      </c>
      <c r="AB672" s="12">
        <v>0</v>
      </c>
      <c r="AC672" s="12">
        <v>0</v>
      </c>
      <c r="AD672" s="13">
        <v>2</v>
      </c>
      <c r="AE672" s="12">
        <v>300</v>
      </c>
      <c r="AF672" s="14">
        <v>0</v>
      </c>
      <c r="AG672" s="5">
        <v>0</v>
      </c>
      <c r="AH672" s="5">
        <v>0</v>
      </c>
      <c r="AI672" s="5">
        <v>0</v>
      </c>
      <c r="AJ672" s="5">
        <v>1106.45</v>
      </c>
      <c r="AK672" s="5">
        <v>0</v>
      </c>
      <c r="AL672" s="5">
        <v>1106.45</v>
      </c>
      <c r="AM672" s="8"/>
      <c r="AN672" s="8"/>
    </row>
    <row r="673" spans="1:40" ht="16" thickBot="1">
      <c r="A673" s="3">
        <v>672</v>
      </c>
      <c r="B673" s="19">
        <v>45959</v>
      </c>
      <c r="C673" s="5" t="s">
        <v>40</v>
      </c>
      <c r="D673" s="7" t="s">
        <v>41</v>
      </c>
      <c r="E673" s="6" t="s">
        <v>42</v>
      </c>
      <c r="F673" s="7" t="s">
        <v>68</v>
      </c>
      <c r="G673" s="5" t="s">
        <v>44</v>
      </c>
      <c r="H673" s="5" t="s">
        <v>45</v>
      </c>
      <c r="I673" s="5">
        <v>4</v>
      </c>
      <c r="J673" s="5">
        <v>8</v>
      </c>
      <c r="K673" s="5">
        <v>25000</v>
      </c>
      <c r="L673" s="5">
        <v>1000</v>
      </c>
      <c r="M673" s="5">
        <v>55</v>
      </c>
      <c r="N673" s="5">
        <v>31</v>
      </c>
      <c r="O673" s="6" t="s">
        <v>81</v>
      </c>
      <c r="P673" s="8"/>
      <c r="Q673" s="16">
        <v>4.7916666666666663E-2</v>
      </c>
      <c r="R673" s="16">
        <v>0.17017361111111109</v>
      </c>
      <c r="S673" s="6">
        <v>85983</v>
      </c>
      <c r="T673" s="16">
        <v>0.32203703703703707</v>
      </c>
      <c r="U673" s="16">
        <v>0.32214120370370369</v>
      </c>
      <c r="V673" s="6">
        <v>86002</v>
      </c>
      <c r="W673" s="6">
        <v>30</v>
      </c>
      <c r="X673" s="6">
        <v>30</v>
      </c>
      <c r="Y673" s="12">
        <v>0</v>
      </c>
      <c r="Z673" s="12">
        <v>19</v>
      </c>
      <c r="AA673" s="12">
        <v>19</v>
      </c>
      <c r="AB673" s="12">
        <v>0</v>
      </c>
      <c r="AC673" s="12">
        <v>0</v>
      </c>
      <c r="AD673" s="13">
        <v>0</v>
      </c>
      <c r="AE673" s="12">
        <v>0</v>
      </c>
      <c r="AF673" s="14">
        <v>0</v>
      </c>
      <c r="AG673" s="5">
        <v>0</v>
      </c>
      <c r="AH673" s="5">
        <v>0</v>
      </c>
      <c r="AI673" s="5">
        <v>0</v>
      </c>
      <c r="AJ673" s="5">
        <v>806.45</v>
      </c>
      <c r="AK673" s="5">
        <v>0</v>
      </c>
      <c r="AL673" s="5">
        <v>806.45</v>
      </c>
      <c r="AM673" s="8"/>
      <c r="AN673" s="8"/>
    </row>
    <row r="674" spans="1:40" ht="16" thickBot="1">
      <c r="A674" s="3">
        <v>673</v>
      </c>
      <c r="B674" s="19">
        <v>45959</v>
      </c>
      <c r="C674" s="5" t="s">
        <v>40</v>
      </c>
      <c r="D674" s="7" t="s">
        <v>41</v>
      </c>
      <c r="E674" s="6" t="s">
        <v>42</v>
      </c>
      <c r="F674" s="7" t="s">
        <v>70</v>
      </c>
      <c r="G674" s="5" t="s">
        <v>44</v>
      </c>
      <c r="H674" s="5" t="s">
        <v>45</v>
      </c>
      <c r="I674" s="5">
        <v>4</v>
      </c>
      <c r="J674" s="5">
        <v>8</v>
      </c>
      <c r="K674" s="5">
        <v>25000</v>
      </c>
      <c r="L674" s="5">
        <v>1000</v>
      </c>
      <c r="M674" s="5">
        <v>55</v>
      </c>
      <c r="N674" s="5">
        <v>31</v>
      </c>
      <c r="O674" s="6" t="s">
        <v>118</v>
      </c>
      <c r="P674" s="8"/>
      <c r="Q674" s="16">
        <v>9.375E-2</v>
      </c>
      <c r="R674" s="16">
        <v>0.15550925925925926</v>
      </c>
      <c r="S674" s="6">
        <v>37867</v>
      </c>
      <c r="T674" s="16">
        <v>0.30763888888888891</v>
      </c>
      <c r="U674" s="16">
        <v>0.30770833333333331</v>
      </c>
      <c r="V674" s="6">
        <v>37895</v>
      </c>
      <c r="W674" s="6">
        <v>45</v>
      </c>
      <c r="X674" s="6">
        <v>45</v>
      </c>
      <c r="Y674" s="12">
        <v>0</v>
      </c>
      <c r="Z674" s="12">
        <v>28</v>
      </c>
      <c r="AA674" s="12">
        <v>28</v>
      </c>
      <c r="AB674" s="12">
        <v>0</v>
      </c>
      <c r="AC674" s="12">
        <v>0</v>
      </c>
      <c r="AD674" s="13">
        <v>0</v>
      </c>
      <c r="AE674" s="12">
        <v>0</v>
      </c>
      <c r="AF674" s="14">
        <v>0</v>
      </c>
      <c r="AG674" s="5">
        <v>0</v>
      </c>
      <c r="AH674" s="5">
        <v>0</v>
      </c>
      <c r="AI674" s="5">
        <v>0</v>
      </c>
      <c r="AJ674" s="5">
        <v>806.45</v>
      </c>
      <c r="AK674" s="5">
        <v>0</v>
      </c>
      <c r="AL674" s="5">
        <v>806.45</v>
      </c>
      <c r="AM674" s="8"/>
      <c r="AN674" s="8"/>
    </row>
    <row r="675" spans="1:40" ht="16" thickBot="1">
      <c r="A675" s="3">
        <v>674</v>
      </c>
      <c r="B675" s="19">
        <v>45959</v>
      </c>
      <c r="C675" s="5" t="s">
        <v>40</v>
      </c>
      <c r="D675" s="7" t="s">
        <v>41</v>
      </c>
      <c r="E675" s="6" t="s">
        <v>42</v>
      </c>
      <c r="F675" s="7" t="s">
        <v>72</v>
      </c>
      <c r="G675" s="5" t="s">
        <v>44</v>
      </c>
      <c r="H675" s="5" t="s">
        <v>45</v>
      </c>
      <c r="I675" s="5">
        <v>6</v>
      </c>
      <c r="J675" s="5">
        <v>8</v>
      </c>
      <c r="K675" s="5">
        <v>33000</v>
      </c>
      <c r="L675" s="5">
        <v>2000</v>
      </c>
      <c r="M675" s="5">
        <v>55</v>
      </c>
      <c r="N675" s="5">
        <v>31</v>
      </c>
      <c r="O675" s="6" t="s">
        <v>73</v>
      </c>
      <c r="P675" s="8"/>
      <c r="Q675" s="16">
        <v>8.5416666666666655E-2</v>
      </c>
      <c r="R675" s="16">
        <v>0.15702546296296296</v>
      </c>
      <c r="S675" s="6">
        <v>35356</v>
      </c>
      <c r="T675" s="16">
        <v>0.30420138888888887</v>
      </c>
      <c r="U675" s="16">
        <v>0.30436342592592591</v>
      </c>
      <c r="V675" s="6">
        <v>35432</v>
      </c>
      <c r="W675" s="6">
        <v>26</v>
      </c>
      <c r="X675" s="6">
        <v>26</v>
      </c>
      <c r="Y675" s="12">
        <v>0</v>
      </c>
      <c r="Z675" s="12">
        <v>76</v>
      </c>
      <c r="AA675" s="12">
        <v>76</v>
      </c>
      <c r="AB675" s="12">
        <v>0</v>
      </c>
      <c r="AC675" s="12">
        <v>0</v>
      </c>
      <c r="AD675" s="13">
        <v>0</v>
      </c>
      <c r="AE675" s="12">
        <v>0</v>
      </c>
      <c r="AF675" s="14">
        <v>0</v>
      </c>
      <c r="AG675" s="5">
        <v>0</v>
      </c>
      <c r="AH675" s="5">
        <v>0</v>
      </c>
      <c r="AI675" s="5">
        <v>0</v>
      </c>
      <c r="AJ675" s="5">
        <v>1064.52</v>
      </c>
      <c r="AK675" s="5">
        <v>0</v>
      </c>
      <c r="AL675" s="5">
        <v>1064.52</v>
      </c>
      <c r="AM675" s="8"/>
      <c r="AN675" s="8"/>
    </row>
    <row r="676" spans="1:40" ht="16" thickBot="1">
      <c r="A676" s="3">
        <v>675</v>
      </c>
      <c r="B676" s="19">
        <v>45959</v>
      </c>
      <c r="C676" s="5" t="s">
        <v>40</v>
      </c>
      <c r="D676" s="7" t="s">
        <v>41</v>
      </c>
      <c r="E676" s="6" t="s">
        <v>42</v>
      </c>
      <c r="F676" s="7" t="s">
        <v>74</v>
      </c>
      <c r="G676" s="5" t="s">
        <v>44</v>
      </c>
      <c r="H676" s="5" t="s">
        <v>45</v>
      </c>
      <c r="I676" s="5">
        <v>4</v>
      </c>
      <c r="J676" s="5">
        <v>8</v>
      </c>
      <c r="K676" s="5">
        <v>25000</v>
      </c>
      <c r="L676" s="5">
        <v>1000</v>
      </c>
      <c r="M676" s="5">
        <v>55</v>
      </c>
      <c r="N676" s="5">
        <v>31</v>
      </c>
      <c r="O676" s="6" t="s">
        <v>134</v>
      </c>
      <c r="P676" s="8"/>
      <c r="Q676" s="16">
        <v>4.7222222222222221E-2</v>
      </c>
      <c r="R676" s="16">
        <v>0.17056712962962964</v>
      </c>
      <c r="S676" s="6">
        <v>39949</v>
      </c>
      <c r="T676" s="16">
        <v>0.31413194444444442</v>
      </c>
      <c r="U676" s="16">
        <v>0.31422453703703707</v>
      </c>
      <c r="V676" s="6">
        <v>39965</v>
      </c>
      <c r="W676" s="6">
        <v>67</v>
      </c>
      <c r="X676" s="6">
        <v>31</v>
      </c>
      <c r="Y676" s="12">
        <v>36</v>
      </c>
      <c r="Z676" s="12">
        <v>16</v>
      </c>
      <c r="AA676" s="12">
        <v>16</v>
      </c>
      <c r="AB676" s="12">
        <v>0</v>
      </c>
      <c r="AC676" s="12">
        <v>0</v>
      </c>
      <c r="AD676" s="13">
        <v>0</v>
      </c>
      <c r="AE676" s="12">
        <v>0</v>
      </c>
      <c r="AF676" s="14">
        <v>0</v>
      </c>
      <c r="AG676" s="5">
        <v>0</v>
      </c>
      <c r="AH676" s="5">
        <v>0</v>
      </c>
      <c r="AI676" s="5">
        <v>0</v>
      </c>
      <c r="AJ676" s="5">
        <v>806.45</v>
      </c>
      <c r="AK676" s="5">
        <v>0</v>
      </c>
      <c r="AL676" s="5">
        <v>806.45</v>
      </c>
      <c r="AM676" s="8"/>
      <c r="AN676" s="8"/>
    </row>
    <row r="677" spans="1:40" ht="16" thickBot="1">
      <c r="A677" s="3">
        <v>676</v>
      </c>
      <c r="B677" s="19">
        <v>45959</v>
      </c>
      <c r="C677" s="5" t="s">
        <v>40</v>
      </c>
      <c r="D677" s="7" t="s">
        <v>41</v>
      </c>
      <c r="E677" s="6" t="s">
        <v>42</v>
      </c>
      <c r="F677" s="7" t="s">
        <v>78</v>
      </c>
      <c r="G677" s="5" t="s">
        <v>44</v>
      </c>
      <c r="H677" s="5" t="s">
        <v>45</v>
      </c>
      <c r="I677" s="5">
        <v>4</v>
      </c>
      <c r="J677" s="5">
        <v>8</v>
      </c>
      <c r="K677" s="5">
        <v>25000</v>
      </c>
      <c r="L677" s="5">
        <v>1000</v>
      </c>
      <c r="M677" s="5">
        <v>55</v>
      </c>
      <c r="N677" s="5">
        <v>31</v>
      </c>
      <c r="O677" s="6" t="s">
        <v>158</v>
      </c>
      <c r="P677" s="8"/>
      <c r="Q677" s="16">
        <v>7.2916666666666671E-2</v>
      </c>
      <c r="R677" s="16">
        <v>0.16837962962962963</v>
      </c>
      <c r="S677" s="6">
        <v>8876</v>
      </c>
      <c r="T677" s="16">
        <v>0.43968750000000001</v>
      </c>
      <c r="U677" s="16">
        <v>0.43975694444444446</v>
      </c>
      <c r="V677" s="6">
        <v>8899</v>
      </c>
      <c r="W677" s="6">
        <v>37</v>
      </c>
      <c r="X677" s="6">
        <v>37</v>
      </c>
      <c r="Y677" s="12">
        <v>0</v>
      </c>
      <c r="Z677" s="12">
        <v>23</v>
      </c>
      <c r="AA677" s="12">
        <v>23</v>
      </c>
      <c r="AB677" s="12">
        <v>0</v>
      </c>
      <c r="AC677" s="12">
        <v>0</v>
      </c>
      <c r="AD677" s="13">
        <v>3</v>
      </c>
      <c r="AE677" s="12">
        <v>450</v>
      </c>
      <c r="AF677" s="14">
        <v>0</v>
      </c>
      <c r="AG677" s="5">
        <v>0</v>
      </c>
      <c r="AH677" s="5">
        <v>0</v>
      </c>
      <c r="AI677" s="5">
        <v>0</v>
      </c>
      <c r="AJ677" s="5">
        <v>1256.45</v>
      </c>
      <c r="AK677" s="5">
        <v>0</v>
      </c>
      <c r="AL677" s="5">
        <v>1256.45</v>
      </c>
      <c r="AM677" s="8"/>
      <c r="AN677" s="8"/>
    </row>
    <row r="678" spans="1:40" ht="16" thickBot="1">
      <c r="A678" s="3">
        <v>677</v>
      </c>
      <c r="B678" s="19">
        <v>45959</v>
      </c>
      <c r="C678" s="5" t="s">
        <v>40</v>
      </c>
      <c r="D678" s="7" t="s">
        <v>41</v>
      </c>
      <c r="E678" s="6" t="s">
        <v>42</v>
      </c>
      <c r="F678" s="7" t="s">
        <v>80</v>
      </c>
      <c r="G678" s="5" t="s">
        <v>44</v>
      </c>
      <c r="H678" s="5" t="s">
        <v>45</v>
      </c>
      <c r="I678" s="5">
        <v>4</v>
      </c>
      <c r="J678" s="5">
        <v>8</v>
      </c>
      <c r="K678" s="5">
        <v>25000</v>
      </c>
      <c r="L678" s="5">
        <v>1000</v>
      </c>
      <c r="M678" s="5">
        <v>55</v>
      </c>
      <c r="N678" s="5">
        <v>31</v>
      </c>
      <c r="O678" s="6" t="s">
        <v>69</v>
      </c>
      <c r="P678" s="8"/>
      <c r="Q678" s="16">
        <v>4.7222222222222221E-2</v>
      </c>
      <c r="R678" s="16">
        <v>0.16971064814814815</v>
      </c>
      <c r="S678" s="6">
        <v>6607</v>
      </c>
      <c r="T678" s="16">
        <v>0.34072916666666669</v>
      </c>
      <c r="U678" s="16">
        <v>0.34087962962962964</v>
      </c>
      <c r="V678" s="6">
        <v>6622</v>
      </c>
      <c r="W678" s="6">
        <v>54</v>
      </c>
      <c r="X678" s="6">
        <v>54</v>
      </c>
      <c r="Y678" s="12">
        <v>0</v>
      </c>
      <c r="Z678" s="12">
        <v>15</v>
      </c>
      <c r="AA678" s="12">
        <v>15</v>
      </c>
      <c r="AB678" s="12">
        <v>0</v>
      </c>
      <c r="AC678" s="12">
        <v>0</v>
      </c>
      <c r="AD678" s="13">
        <v>1</v>
      </c>
      <c r="AE678" s="12">
        <v>150</v>
      </c>
      <c r="AF678" s="14">
        <v>0</v>
      </c>
      <c r="AG678" s="5">
        <v>0</v>
      </c>
      <c r="AH678" s="5">
        <v>0</v>
      </c>
      <c r="AI678" s="5">
        <v>0</v>
      </c>
      <c r="AJ678" s="5">
        <v>956.45</v>
      </c>
      <c r="AK678" s="5">
        <v>0</v>
      </c>
      <c r="AL678" s="5">
        <v>956.45</v>
      </c>
      <c r="AM678" s="8"/>
      <c r="AN678" s="8"/>
    </row>
    <row r="679" spans="1:40" ht="16" thickBot="1">
      <c r="A679" s="3">
        <v>678</v>
      </c>
      <c r="B679" s="19">
        <v>45959</v>
      </c>
      <c r="C679" s="5" t="s">
        <v>40</v>
      </c>
      <c r="D679" s="7" t="s">
        <v>41</v>
      </c>
      <c r="E679" s="6" t="s">
        <v>42</v>
      </c>
      <c r="F679" s="7" t="s">
        <v>105</v>
      </c>
      <c r="G679" s="5" t="s">
        <v>44</v>
      </c>
      <c r="H679" s="5" t="s">
        <v>45</v>
      </c>
      <c r="I679" s="5">
        <v>4</v>
      </c>
      <c r="J679" s="5">
        <v>8</v>
      </c>
      <c r="K679" s="5">
        <v>25000</v>
      </c>
      <c r="L679" s="5">
        <v>1000</v>
      </c>
      <c r="M679" s="5">
        <v>55</v>
      </c>
      <c r="N679" s="5">
        <v>31</v>
      </c>
      <c r="O679" s="6" t="s">
        <v>98</v>
      </c>
      <c r="P679" s="8"/>
      <c r="Q679" s="16">
        <v>0.10208333333333335</v>
      </c>
      <c r="R679" s="16">
        <v>0.16547453703703704</v>
      </c>
      <c r="S679" s="6">
        <v>42429</v>
      </c>
      <c r="T679" s="16">
        <v>0.29519675925925926</v>
      </c>
      <c r="U679" s="16">
        <v>0.29531250000000003</v>
      </c>
      <c r="V679" s="6">
        <v>42455</v>
      </c>
      <c r="W679" s="6">
        <v>29</v>
      </c>
      <c r="X679" s="6">
        <v>29</v>
      </c>
      <c r="Y679" s="12">
        <v>0</v>
      </c>
      <c r="Z679" s="12">
        <v>26</v>
      </c>
      <c r="AA679" s="12">
        <v>26</v>
      </c>
      <c r="AB679" s="12">
        <v>0</v>
      </c>
      <c r="AC679" s="12">
        <v>0</v>
      </c>
      <c r="AD679" s="13">
        <v>0</v>
      </c>
      <c r="AE679" s="12">
        <v>0</v>
      </c>
      <c r="AF679" s="14">
        <v>0</v>
      </c>
      <c r="AG679" s="5">
        <v>0</v>
      </c>
      <c r="AH679" s="5">
        <v>0</v>
      </c>
      <c r="AI679" s="5">
        <v>0</v>
      </c>
      <c r="AJ679" s="5">
        <v>806.45</v>
      </c>
      <c r="AK679" s="5">
        <v>0</v>
      </c>
      <c r="AL679" s="5">
        <v>806.45</v>
      </c>
      <c r="AM679" s="8"/>
      <c r="AN679" s="8"/>
    </row>
    <row r="680" spans="1:40" ht="16" thickBot="1">
      <c r="A680" s="3">
        <v>679</v>
      </c>
      <c r="B680" s="19">
        <v>45959</v>
      </c>
      <c r="C680" s="5" t="s">
        <v>40</v>
      </c>
      <c r="D680" s="7" t="s">
        <v>41</v>
      </c>
      <c r="E680" s="6" t="s">
        <v>42</v>
      </c>
      <c r="F680" s="7" t="s">
        <v>232</v>
      </c>
      <c r="G680" s="10" t="s">
        <v>83</v>
      </c>
      <c r="H680" s="5" t="s">
        <v>84</v>
      </c>
      <c r="I680" s="5">
        <v>4</v>
      </c>
      <c r="J680" s="5">
        <v>10</v>
      </c>
      <c r="K680" s="6">
        <v>29000</v>
      </c>
      <c r="L680" s="5">
        <v>1000</v>
      </c>
      <c r="M680" s="5">
        <v>55</v>
      </c>
      <c r="N680" s="5">
        <v>31</v>
      </c>
      <c r="O680" s="6" t="s">
        <v>156</v>
      </c>
      <c r="P680" s="8"/>
      <c r="Q680" s="16">
        <v>0.12361111111111112</v>
      </c>
      <c r="R680" s="16">
        <v>0.16197916666666667</v>
      </c>
      <c r="S680" s="6">
        <v>225</v>
      </c>
      <c r="T680" s="16">
        <v>0.4375</v>
      </c>
      <c r="U680" s="16">
        <v>0.43755787037037036</v>
      </c>
      <c r="V680" s="6">
        <v>252</v>
      </c>
      <c r="W680" s="6">
        <v>0</v>
      </c>
      <c r="X680" s="6">
        <v>63</v>
      </c>
      <c r="Y680" s="12">
        <v>-63</v>
      </c>
      <c r="Z680" s="12">
        <v>27</v>
      </c>
      <c r="AA680" s="12">
        <v>27</v>
      </c>
      <c r="AB680" s="12">
        <v>0</v>
      </c>
      <c r="AC680" s="12">
        <v>0</v>
      </c>
      <c r="AD680" s="13">
        <v>3</v>
      </c>
      <c r="AE680" s="12">
        <v>450</v>
      </c>
      <c r="AF680" s="14">
        <v>0</v>
      </c>
      <c r="AG680" s="5">
        <v>0</v>
      </c>
      <c r="AH680" s="5">
        <v>0</v>
      </c>
      <c r="AI680" s="5">
        <v>0</v>
      </c>
      <c r="AJ680" s="5">
        <v>1385.48</v>
      </c>
      <c r="AK680" s="5">
        <v>0</v>
      </c>
      <c r="AL680" s="5">
        <v>1385.48</v>
      </c>
      <c r="AM680" s="8"/>
      <c r="AN680" s="8"/>
    </row>
    <row r="681" spans="1:40" ht="16" thickBot="1">
      <c r="A681" s="3">
        <v>680</v>
      </c>
      <c r="B681" s="19">
        <v>45959</v>
      </c>
      <c r="C681" s="5" t="s">
        <v>40</v>
      </c>
      <c r="D681" s="7" t="s">
        <v>41</v>
      </c>
      <c r="E681" s="6" t="s">
        <v>42</v>
      </c>
      <c r="F681" s="7" t="s">
        <v>82</v>
      </c>
      <c r="G681" s="10" t="s">
        <v>83</v>
      </c>
      <c r="H681" s="5" t="s">
        <v>84</v>
      </c>
      <c r="I681" s="5">
        <v>4</v>
      </c>
      <c r="J681" s="5">
        <v>10</v>
      </c>
      <c r="K681" s="6">
        <v>29000</v>
      </c>
      <c r="L681" s="5">
        <v>1000</v>
      </c>
      <c r="M681" s="5">
        <v>55</v>
      </c>
      <c r="N681" s="5">
        <v>31</v>
      </c>
      <c r="O681" s="6" t="s">
        <v>107</v>
      </c>
      <c r="P681" s="8"/>
      <c r="Q681" s="16">
        <v>9.5138888888888884E-2</v>
      </c>
      <c r="R681" s="16">
        <v>0.16953703703703704</v>
      </c>
      <c r="S681" s="6">
        <v>33290</v>
      </c>
      <c r="T681" s="8"/>
      <c r="U681" s="8"/>
      <c r="V681" s="6">
        <v>33290</v>
      </c>
      <c r="W681" s="8"/>
      <c r="X681" s="6">
        <v>40</v>
      </c>
      <c r="Y681" s="12">
        <v>-40</v>
      </c>
      <c r="Z681" s="12">
        <v>0</v>
      </c>
      <c r="AA681" s="12">
        <v>0</v>
      </c>
      <c r="AB681" s="12">
        <v>0</v>
      </c>
      <c r="AC681" s="12">
        <v>0</v>
      </c>
      <c r="AD681" s="13">
        <v>0</v>
      </c>
      <c r="AE681" s="12">
        <v>0</v>
      </c>
      <c r="AF681" s="14">
        <v>0</v>
      </c>
      <c r="AG681" s="5">
        <v>0</v>
      </c>
      <c r="AH681" s="5">
        <v>0</v>
      </c>
      <c r="AI681" s="5">
        <v>0</v>
      </c>
      <c r="AJ681" s="5">
        <v>935.48</v>
      </c>
      <c r="AK681" s="5">
        <v>0</v>
      </c>
      <c r="AL681" s="5">
        <v>935.48</v>
      </c>
      <c r="AM681" s="8"/>
      <c r="AN681" s="8"/>
    </row>
    <row r="682" spans="1:40" ht="16" thickBot="1">
      <c r="A682" s="3">
        <v>681</v>
      </c>
      <c r="B682" s="19">
        <v>45959</v>
      </c>
      <c r="C682" s="5" t="s">
        <v>40</v>
      </c>
      <c r="D682" s="7" t="s">
        <v>41</v>
      </c>
      <c r="E682" s="6" t="s">
        <v>42</v>
      </c>
      <c r="F682" s="7" t="s">
        <v>85</v>
      </c>
      <c r="G682" s="10" t="s">
        <v>83</v>
      </c>
      <c r="H682" s="5" t="s">
        <v>84</v>
      </c>
      <c r="I682" s="5">
        <v>4</v>
      </c>
      <c r="J682" s="5">
        <v>10</v>
      </c>
      <c r="K682" s="6">
        <v>29000</v>
      </c>
      <c r="L682" s="5">
        <v>1000</v>
      </c>
      <c r="M682" s="5">
        <v>55</v>
      </c>
      <c r="N682" s="5">
        <v>31</v>
      </c>
      <c r="O682" s="6" t="s">
        <v>236</v>
      </c>
      <c r="P682" s="8"/>
      <c r="Q682" s="16">
        <v>4.7222222222222221E-2</v>
      </c>
      <c r="R682" s="16">
        <v>0.16841435185185186</v>
      </c>
      <c r="S682" s="6">
        <v>40145</v>
      </c>
      <c r="T682" s="16">
        <v>0.30624999999999997</v>
      </c>
      <c r="U682" s="16">
        <v>0.30636574074074074</v>
      </c>
      <c r="V682" s="6">
        <v>40178</v>
      </c>
      <c r="W682" s="6">
        <v>51</v>
      </c>
      <c r="X682" s="6">
        <v>51</v>
      </c>
      <c r="Y682" s="12">
        <v>0</v>
      </c>
      <c r="Z682" s="12">
        <v>33</v>
      </c>
      <c r="AA682" s="12">
        <v>33</v>
      </c>
      <c r="AB682" s="12">
        <v>0</v>
      </c>
      <c r="AC682" s="12">
        <v>0</v>
      </c>
      <c r="AD682" s="13">
        <v>0</v>
      </c>
      <c r="AE682" s="12">
        <v>0</v>
      </c>
      <c r="AF682" s="14">
        <v>0</v>
      </c>
      <c r="AG682" s="5">
        <v>0</v>
      </c>
      <c r="AH682" s="5">
        <v>0</v>
      </c>
      <c r="AI682" s="5">
        <v>0</v>
      </c>
      <c r="AJ682" s="5">
        <v>935.48</v>
      </c>
      <c r="AK682" s="5">
        <v>0</v>
      </c>
      <c r="AL682" s="5">
        <v>935.48</v>
      </c>
      <c r="AM682" s="8"/>
      <c r="AN682" s="8"/>
    </row>
    <row r="683" spans="1:40" ht="16" thickBot="1">
      <c r="A683" s="3">
        <v>682</v>
      </c>
      <c r="B683" s="19">
        <v>45959</v>
      </c>
      <c r="C683" s="5" t="s">
        <v>40</v>
      </c>
      <c r="D683" s="7" t="s">
        <v>41</v>
      </c>
      <c r="E683" s="6" t="s">
        <v>42</v>
      </c>
      <c r="F683" s="7" t="s">
        <v>87</v>
      </c>
      <c r="G683" s="10" t="s">
        <v>83</v>
      </c>
      <c r="H683" s="5" t="s">
        <v>84</v>
      </c>
      <c r="I683" s="5">
        <v>4</v>
      </c>
      <c r="J683" s="5">
        <v>10</v>
      </c>
      <c r="K683" s="6">
        <v>29000</v>
      </c>
      <c r="L683" s="5">
        <v>1000</v>
      </c>
      <c r="M683" s="5">
        <v>55</v>
      </c>
      <c r="N683" s="5">
        <v>31</v>
      </c>
      <c r="O683" s="6" t="s">
        <v>123</v>
      </c>
      <c r="P683" s="8"/>
      <c r="Q683" s="16">
        <v>9.8611111111111108E-2</v>
      </c>
      <c r="R683" s="16">
        <v>0.15506944444444445</v>
      </c>
      <c r="S683" s="6">
        <v>4101</v>
      </c>
      <c r="T683" s="16">
        <v>0.31805555555555554</v>
      </c>
      <c r="U683" s="16">
        <v>0.31812499999999999</v>
      </c>
      <c r="V683" s="6">
        <v>4130</v>
      </c>
      <c r="W683" s="6">
        <v>69</v>
      </c>
      <c r="X683" s="6">
        <v>69</v>
      </c>
      <c r="Y683" s="12">
        <v>0</v>
      </c>
      <c r="Z683" s="12">
        <v>29</v>
      </c>
      <c r="AA683" s="12">
        <v>29</v>
      </c>
      <c r="AB683" s="12">
        <v>0</v>
      </c>
      <c r="AC683" s="12">
        <v>0</v>
      </c>
      <c r="AD683" s="13">
        <v>0</v>
      </c>
      <c r="AE683" s="12">
        <v>0</v>
      </c>
      <c r="AF683" s="14">
        <v>0</v>
      </c>
      <c r="AG683" s="5">
        <v>0</v>
      </c>
      <c r="AH683" s="5">
        <v>0</v>
      </c>
      <c r="AI683" s="5">
        <v>0</v>
      </c>
      <c r="AJ683" s="5">
        <v>935.48</v>
      </c>
      <c r="AK683" s="5">
        <v>0</v>
      </c>
      <c r="AL683" s="5">
        <v>935.48</v>
      </c>
      <c r="AM683" s="8"/>
      <c r="AN683" s="8"/>
    </row>
    <row r="684" spans="1:40" ht="16" thickBot="1">
      <c r="A684" s="3">
        <v>683</v>
      </c>
      <c r="B684" s="19">
        <v>45959</v>
      </c>
      <c r="C684" s="5" t="s">
        <v>40</v>
      </c>
      <c r="D684" s="7" t="s">
        <v>41</v>
      </c>
      <c r="E684" s="6" t="s">
        <v>42</v>
      </c>
      <c r="F684" s="7" t="s">
        <v>89</v>
      </c>
      <c r="G684" s="10" t="s">
        <v>83</v>
      </c>
      <c r="H684" s="5" t="s">
        <v>84</v>
      </c>
      <c r="I684" s="5">
        <v>4</v>
      </c>
      <c r="J684" s="5">
        <v>10</v>
      </c>
      <c r="K684" s="6">
        <v>29000</v>
      </c>
      <c r="L684" s="5">
        <v>1000</v>
      </c>
      <c r="M684" s="5">
        <v>55</v>
      </c>
      <c r="N684" s="5">
        <v>31</v>
      </c>
      <c r="O684" s="6" t="s">
        <v>190</v>
      </c>
      <c r="P684" s="8"/>
      <c r="Q684" s="16">
        <v>8.819444444444445E-2</v>
      </c>
      <c r="R684" s="16">
        <v>0.15637731481481482</v>
      </c>
      <c r="S684" s="7">
        <v>139968</v>
      </c>
      <c r="T684" s="16">
        <v>0.3133333333333333</v>
      </c>
      <c r="U684" s="16">
        <v>0.31342592592592594</v>
      </c>
      <c r="V684" s="7">
        <v>139998</v>
      </c>
      <c r="W684" s="6">
        <v>42</v>
      </c>
      <c r="X684" s="6">
        <v>42</v>
      </c>
      <c r="Y684" s="12">
        <v>0</v>
      </c>
      <c r="Z684" s="12">
        <v>30</v>
      </c>
      <c r="AA684" s="12">
        <v>30</v>
      </c>
      <c r="AB684" s="12">
        <v>0</v>
      </c>
      <c r="AC684" s="12">
        <v>0</v>
      </c>
      <c r="AD684" s="13">
        <v>0</v>
      </c>
      <c r="AE684" s="12">
        <v>0</v>
      </c>
      <c r="AF684" s="14">
        <v>0</v>
      </c>
      <c r="AG684" s="5">
        <v>0</v>
      </c>
      <c r="AH684" s="5">
        <v>0</v>
      </c>
      <c r="AI684" s="5">
        <v>0</v>
      </c>
      <c r="AJ684" s="5">
        <v>935.48</v>
      </c>
      <c r="AK684" s="5">
        <v>0</v>
      </c>
      <c r="AL684" s="5">
        <v>935.48</v>
      </c>
      <c r="AM684" s="8"/>
      <c r="AN684" s="8"/>
    </row>
    <row r="685" spans="1:40" ht="16" thickBot="1">
      <c r="A685" s="3">
        <v>684</v>
      </c>
      <c r="B685" s="19">
        <v>45960</v>
      </c>
      <c r="C685" s="5" t="s">
        <v>40</v>
      </c>
      <c r="D685" s="7" t="s">
        <v>41</v>
      </c>
      <c r="E685" s="6" t="s">
        <v>42</v>
      </c>
      <c r="F685" s="7" t="s">
        <v>43</v>
      </c>
      <c r="G685" s="5" t="s">
        <v>44</v>
      </c>
      <c r="H685" s="5" t="s">
        <v>45</v>
      </c>
      <c r="I685" s="5">
        <v>4</v>
      </c>
      <c r="J685" s="5">
        <v>8</v>
      </c>
      <c r="K685" s="5">
        <v>25000</v>
      </c>
      <c r="L685" s="5">
        <v>1000</v>
      </c>
      <c r="M685" s="5">
        <v>55</v>
      </c>
      <c r="N685" s="5">
        <v>31</v>
      </c>
      <c r="O685" s="7" t="s">
        <v>46</v>
      </c>
      <c r="P685" s="8"/>
      <c r="Q685" s="35">
        <v>4.5833333333333337E-2</v>
      </c>
      <c r="R685" s="35">
        <v>0.15237268518518518</v>
      </c>
      <c r="S685" s="7">
        <v>58404</v>
      </c>
      <c r="T685" s="35">
        <v>0.29928240740740741</v>
      </c>
      <c r="U685" s="35">
        <v>0.29953703703703705</v>
      </c>
      <c r="V685" s="7">
        <v>58412</v>
      </c>
      <c r="W685" s="7">
        <v>39</v>
      </c>
      <c r="X685" s="7">
        <v>38</v>
      </c>
      <c r="Y685" s="12">
        <v>1</v>
      </c>
      <c r="Z685" s="12">
        <v>8</v>
      </c>
      <c r="AA685" s="12">
        <v>8</v>
      </c>
      <c r="AB685" s="12">
        <v>0</v>
      </c>
      <c r="AC685" s="12">
        <v>0</v>
      </c>
      <c r="AD685" s="13">
        <v>0</v>
      </c>
      <c r="AE685" s="12">
        <v>0</v>
      </c>
      <c r="AF685" s="14">
        <v>0</v>
      </c>
      <c r="AG685" s="5">
        <v>0</v>
      </c>
      <c r="AH685" s="5">
        <v>0</v>
      </c>
      <c r="AI685" s="5">
        <v>0</v>
      </c>
      <c r="AJ685" s="5">
        <v>806.45</v>
      </c>
      <c r="AK685" s="5">
        <v>0</v>
      </c>
      <c r="AL685" s="5">
        <v>806.45</v>
      </c>
      <c r="AM685" s="8"/>
      <c r="AN685" s="8"/>
    </row>
    <row r="686" spans="1:40" ht="16" thickBot="1">
      <c r="A686" s="3">
        <v>685</v>
      </c>
      <c r="B686" s="19">
        <v>45960</v>
      </c>
      <c r="C686" s="5" t="s">
        <v>40</v>
      </c>
      <c r="D686" s="7" t="s">
        <v>41</v>
      </c>
      <c r="E686" s="6" t="s">
        <v>42</v>
      </c>
      <c r="F686" s="7" t="s">
        <v>49</v>
      </c>
      <c r="G686" s="5" t="s">
        <v>44</v>
      </c>
      <c r="H686" s="5" t="s">
        <v>45</v>
      </c>
      <c r="I686" s="5">
        <v>6</v>
      </c>
      <c r="J686" s="5">
        <v>8</v>
      </c>
      <c r="K686" s="5">
        <v>33000</v>
      </c>
      <c r="L686" s="5">
        <v>2000</v>
      </c>
      <c r="M686" s="5">
        <v>55</v>
      </c>
      <c r="N686" s="5">
        <v>31</v>
      </c>
      <c r="O686" s="7" t="s">
        <v>161</v>
      </c>
      <c r="P686" s="8"/>
      <c r="Q686" s="35">
        <v>4.7916666666666663E-2</v>
      </c>
      <c r="R686" s="35">
        <v>0.15459490740740742</v>
      </c>
      <c r="S686" s="7">
        <v>102320</v>
      </c>
      <c r="T686" s="35">
        <v>0.44112268518518521</v>
      </c>
      <c r="U686" s="35">
        <v>0.44207175925925929</v>
      </c>
      <c r="V686" s="7">
        <v>102350</v>
      </c>
      <c r="W686" s="7">
        <v>20</v>
      </c>
      <c r="X686" s="7">
        <v>65</v>
      </c>
      <c r="Y686" s="12">
        <v>-45</v>
      </c>
      <c r="Z686" s="12">
        <v>30</v>
      </c>
      <c r="AA686" s="12">
        <v>30</v>
      </c>
      <c r="AB686" s="12">
        <v>0</v>
      </c>
      <c r="AC686" s="12">
        <v>0</v>
      </c>
      <c r="AD686" s="13">
        <v>2</v>
      </c>
      <c r="AE686" s="12">
        <v>300</v>
      </c>
      <c r="AF686" s="14">
        <v>0</v>
      </c>
      <c r="AG686" s="5">
        <v>0</v>
      </c>
      <c r="AH686" s="5">
        <v>0</v>
      </c>
      <c r="AI686" s="5">
        <v>0</v>
      </c>
      <c r="AJ686" s="5">
        <v>1364.52</v>
      </c>
      <c r="AK686" s="5">
        <v>0</v>
      </c>
      <c r="AL686" s="5">
        <v>1364.52</v>
      </c>
      <c r="AM686" s="8"/>
      <c r="AN686" s="8"/>
    </row>
    <row r="687" spans="1:40" ht="16" thickBot="1">
      <c r="A687" s="3">
        <v>686</v>
      </c>
      <c r="B687" s="19">
        <v>45960</v>
      </c>
      <c r="C687" s="5" t="s">
        <v>40</v>
      </c>
      <c r="D687" s="7" t="s">
        <v>41</v>
      </c>
      <c r="E687" s="6" t="s">
        <v>42</v>
      </c>
      <c r="F687" s="7" t="s">
        <v>51</v>
      </c>
      <c r="G687" s="5" t="s">
        <v>44</v>
      </c>
      <c r="H687" s="5" t="s">
        <v>45</v>
      </c>
      <c r="I687" s="5">
        <v>4</v>
      </c>
      <c r="J687" s="5">
        <v>8</v>
      </c>
      <c r="K687" s="5">
        <v>25000</v>
      </c>
      <c r="L687" s="5">
        <v>1000</v>
      </c>
      <c r="M687" s="5">
        <v>55</v>
      </c>
      <c r="N687" s="5">
        <v>31</v>
      </c>
      <c r="O687" s="7" t="s">
        <v>112</v>
      </c>
      <c r="P687" s="8"/>
      <c r="Q687" s="35">
        <v>0.11597222222222221</v>
      </c>
      <c r="R687" s="35">
        <v>0.1554513888888889</v>
      </c>
      <c r="S687" s="7">
        <v>84603</v>
      </c>
      <c r="T687" s="35">
        <v>0.33243055555555556</v>
      </c>
      <c r="U687" s="35">
        <v>0.33304398148148145</v>
      </c>
      <c r="V687" s="7">
        <v>84625</v>
      </c>
      <c r="W687" s="7">
        <v>0</v>
      </c>
      <c r="X687" s="7">
        <v>58</v>
      </c>
      <c r="Y687" s="12">
        <v>-58</v>
      </c>
      <c r="Z687" s="12">
        <v>22</v>
      </c>
      <c r="AA687" s="12">
        <v>22</v>
      </c>
      <c r="AB687" s="12">
        <v>0</v>
      </c>
      <c r="AC687" s="12">
        <v>0</v>
      </c>
      <c r="AD687" s="13">
        <v>0</v>
      </c>
      <c r="AE687" s="12">
        <v>0</v>
      </c>
      <c r="AF687" s="14">
        <v>0</v>
      </c>
      <c r="AG687" s="5">
        <v>0</v>
      </c>
      <c r="AH687" s="5">
        <v>0</v>
      </c>
      <c r="AI687" s="5">
        <v>0</v>
      </c>
      <c r="AJ687" s="5">
        <v>806.45</v>
      </c>
      <c r="AK687" s="5">
        <v>0</v>
      </c>
      <c r="AL687" s="5">
        <v>806.45</v>
      </c>
      <c r="AM687" s="8"/>
      <c r="AN687" s="8"/>
    </row>
    <row r="688" spans="1:40" ht="16" thickBot="1">
      <c r="A688" s="3">
        <v>687</v>
      </c>
      <c r="B688" s="19">
        <v>45960</v>
      </c>
      <c r="C688" s="5" t="s">
        <v>40</v>
      </c>
      <c r="D688" s="7" t="s">
        <v>41</v>
      </c>
      <c r="E688" s="6" t="s">
        <v>42</v>
      </c>
      <c r="F688" s="7" t="s">
        <v>145</v>
      </c>
      <c r="G688" s="5" t="s">
        <v>44</v>
      </c>
      <c r="H688" s="5" t="s">
        <v>45</v>
      </c>
      <c r="I688" s="5">
        <v>4</v>
      </c>
      <c r="J688" s="5">
        <v>8</v>
      </c>
      <c r="K688" s="5">
        <v>25000</v>
      </c>
      <c r="L688" s="5">
        <v>1000</v>
      </c>
      <c r="M688" s="5">
        <v>55</v>
      </c>
      <c r="N688" s="5">
        <v>31</v>
      </c>
      <c r="O688" s="7" t="s">
        <v>110</v>
      </c>
      <c r="P688" s="8"/>
      <c r="Q688" s="35">
        <v>4.9999999999999996E-2</v>
      </c>
      <c r="R688" s="35">
        <v>0.15240740740740741</v>
      </c>
      <c r="S688" s="7">
        <v>39723</v>
      </c>
      <c r="T688" s="35">
        <v>0.30006944444444444</v>
      </c>
      <c r="U688" s="35">
        <v>0.30021990740740739</v>
      </c>
      <c r="V688" s="7">
        <v>39736</v>
      </c>
      <c r="W688" s="7">
        <v>40</v>
      </c>
      <c r="X688" s="7">
        <v>40</v>
      </c>
      <c r="Y688" s="12">
        <v>0</v>
      </c>
      <c r="Z688" s="12">
        <v>13</v>
      </c>
      <c r="AA688" s="12">
        <v>13</v>
      </c>
      <c r="AB688" s="12">
        <v>0</v>
      </c>
      <c r="AC688" s="12">
        <v>0</v>
      </c>
      <c r="AD688" s="13">
        <v>0</v>
      </c>
      <c r="AE688" s="12">
        <v>0</v>
      </c>
      <c r="AF688" s="14">
        <v>0</v>
      </c>
      <c r="AG688" s="5">
        <v>0</v>
      </c>
      <c r="AH688" s="5">
        <v>0</v>
      </c>
      <c r="AI688" s="5">
        <v>0</v>
      </c>
      <c r="AJ688" s="5">
        <v>806.45</v>
      </c>
      <c r="AK688" s="5">
        <v>0</v>
      </c>
      <c r="AL688" s="5">
        <v>806.45</v>
      </c>
      <c r="AM688" s="8"/>
      <c r="AN688" s="8"/>
    </row>
    <row r="689" spans="1:40" ht="16" thickBot="1">
      <c r="A689" s="3">
        <v>688</v>
      </c>
      <c r="B689" s="19">
        <v>45960</v>
      </c>
      <c r="C689" s="5" t="s">
        <v>40</v>
      </c>
      <c r="D689" s="7" t="s">
        <v>41</v>
      </c>
      <c r="E689" s="6" t="s">
        <v>42</v>
      </c>
      <c r="F689" s="7" t="s">
        <v>55</v>
      </c>
      <c r="G689" s="5" t="s">
        <v>44</v>
      </c>
      <c r="H689" s="5" t="s">
        <v>45</v>
      </c>
      <c r="I689" s="5">
        <v>4</v>
      </c>
      <c r="J689" s="5">
        <v>8</v>
      </c>
      <c r="K689" s="5">
        <v>25000</v>
      </c>
      <c r="L689" s="5">
        <v>1000</v>
      </c>
      <c r="M689" s="5">
        <v>55</v>
      </c>
      <c r="N689" s="5">
        <v>31</v>
      </c>
      <c r="O689" s="7" t="s">
        <v>56</v>
      </c>
      <c r="P689" s="8"/>
      <c r="Q689" s="35">
        <v>8.7500000000000008E-2</v>
      </c>
      <c r="R689" s="35">
        <v>0.1519675925925926</v>
      </c>
      <c r="S689" s="7">
        <v>145638</v>
      </c>
      <c r="T689" s="35">
        <v>0.31203703703703706</v>
      </c>
      <c r="U689" s="35">
        <v>0.31223379629629627</v>
      </c>
      <c r="V689" s="7">
        <v>145655</v>
      </c>
      <c r="W689" s="7">
        <v>32</v>
      </c>
      <c r="X689" s="7">
        <v>32</v>
      </c>
      <c r="Y689" s="12">
        <v>0</v>
      </c>
      <c r="Z689" s="12">
        <v>17</v>
      </c>
      <c r="AA689" s="12">
        <v>17</v>
      </c>
      <c r="AB689" s="12">
        <v>0</v>
      </c>
      <c r="AC689" s="12">
        <v>0</v>
      </c>
      <c r="AD689" s="13">
        <v>0</v>
      </c>
      <c r="AE689" s="12">
        <v>0</v>
      </c>
      <c r="AF689" s="14">
        <v>0</v>
      </c>
      <c r="AG689" s="5">
        <v>0</v>
      </c>
      <c r="AH689" s="5">
        <v>0</v>
      </c>
      <c r="AI689" s="5">
        <v>0</v>
      </c>
      <c r="AJ689" s="5">
        <v>806.45</v>
      </c>
      <c r="AK689" s="5">
        <v>0</v>
      </c>
      <c r="AL689" s="5">
        <v>806.45</v>
      </c>
      <c r="AM689" s="8"/>
      <c r="AN689" s="8"/>
    </row>
    <row r="690" spans="1:40" ht="16" thickBot="1">
      <c r="A690" s="3">
        <v>689</v>
      </c>
      <c r="B690" s="19">
        <v>45960</v>
      </c>
      <c r="C690" s="5" t="s">
        <v>40</v>
      </c>
      <c r="D690" s="7" t="s">
        <v>41</v>
      </c>
      <c r="E690" s="6" t="s">
        <v>42</v>
      </c>
      <c r="F690" s="7" t="s">
        <v>176</v>
      </c>
      <c r="G690" s="5" t="s">
        <v>44</v>
      </c>
      <c r="H690" s="5" t="s">
        <v>45</v>
      </c>
      <c r="I690" s="5">
        <v>4</v>
      </c>
      <c r="J690" s="5">
        <v>8</v>
      </c>
      <c r="K690" s="5">
        <v>25000</v>
      </c>
      <c r="L690" s="5">
        <v>1000</v>
      </c>
      <c r="M690" s="5">
        <v>55</v>
      </c>
      <c r="N690" s="5">
        <v>31</v>
      </c>
      <c r="O690" s="7" t="s">
        <v>155</v>
      </c>
      <c r="P690" s="8"/>
      <c r="Q690" s="35">
        <v>5.2777777777777778E-2</v>
      </c>
      <c r="R690" s="35">
        <v>0.15687500000000001</v>
      </c>
      <c r="S690" s="7">
        <v>166507</v>
      </c>
      <c r="T690" s="35">
        <v>0.39368055555555559</v>
      </c>
      <c r="U690" s="35">
        <v>0.39379629629629626</v>
      </c>
      <c r="V690" s="7">
        <v>166528</v>
      </c>
      <c r="W690" s="7">
        <v>35</v>
      </c>
      <c r="X690" s="7">
        <v>35</v>
      </c>
      <c r="Y690" s="12">
        <v>0</v>
      </c>
      <c r="Z690" s="12">
        <v>21</v>
      </c>
      <c r="AA690" s="12">
        <v>21</v>
      </c>
      <c r="AB690" s="12">
        <v>0</v>
      </c>
      <c r="AC690" s="12">
        <v>0</v>
      </c>
      <c r="AD690" s="13">
        <v>2</v>
      </c>
      <c r="AE690" s="12">
        <v>300</v>
      </c>
      <c r="AF690" s="14">
        <v>0</v>
      </c>
      <c r="AG690" s="5">
        <v>0</v>
      </c>
      <c r="AH690" s="5">
        <v>0</v>
      </c>
      <c r="AI690" s="5">
        <v>0</v>
      </c>
      <c r="AJ690" s="5">
        <v>1106.45</v>
      </c>
      <c r="AK690" s="5">
        <v>0</v>
      </c>
      <c r="AL690" s="5">
        <v>1106.45</v>
      </c>
      <c r="AM690" s="8"/>
      <c r="AN690" s="8"/>
    </row>
    <row r="691" spans="1:40" ht="16" thickBot="1">
      <c r="A691" s="3">
        <v>690</v>
      </c>
      <c r="B691" s="19">
        <v>45960</v>
      </c>
      <c r="C691" s="5" t="s">
        <v>40</v>
      </c>
      <c r="D691" s="7" t="s">
        <v>41</v>
      </c>
      <c r="E691" s="6" t="s">
        <v>42</v>
      </c>
      <c r="F691" s="7" t="s">
        <v>182</v>
      </c>
      <c r="G691" s="5" t="s">
        <v>44</v>
      </c>
      <c r="H691" s="5" t="s">
        <v>45</v>
      </c>
      <c r="I691" s="5">
        <v>4</v>
      </c>
      <c r="J691" s="5">
        <v>8</v>
      </c>
      <c r="K691" s="5">
        <v>25000</v>
      </c>
      <c r="L691" s="5">
        <v>1000</v>
      </c>
      <c r="M691" s="5">
        <v>55</v>
      </c>
      <c r="N691" s="5">
        <v>31</v>
      </c>
      <c r="O691" s="7" t="s">
        <v>121</v>
      </c>
      <c r="P691" s="8"/>
      <c r="Q691" s="35">
        <v>0.11180555555555556</v>
      </c>
      <c r="R691" s="35">
        <v>0.15761574074074072</v>
      </c>
      <c r="S691" s="7">
        <v>117146</v>
      </c>
      <c r="T691" s="35">
        <v>0.39488425925925924</v>
      </c>
      <c r="U691" s="35">
        <v>0.39500000000000002</v>
      </c>
      <c r="V691" s="7">
        <v>117182</v>
      </c>
      <c r="W691" s="7">
        <v>14</v>
      </c>
      <c r="X691" s="7">
        <v>14</v>
      </c>
      <c r="Y691" s="12">
        <v>0</v>
      </c>
      <c r="Z691" s="12">
        <v>36</v>
      </c>
      <c r="AA691" s="12">
        <v>36</v>
      </c>
      <c r="AB691" s="12">
        <v>0</v>
      </c>
      <c r="AC691" s="12">
        <v>0</v>
      </c>
      <c r="AD691" s="13">
        <v>2</v>
      </c>
      <c r="AE691" s="12">
        <v>300</v>
      </c>
      <c r="AF691" s="14">
        <v>0</v>
      </c>
      <c r="AG691" s="5">
        <v>0</v>
      </c>
      <c r="AH691" s="5">
        <v>0</v>
      </c>
      <c r="AI691" s="5">
        <v>0</v>
      </c>
      <c r="AJ691" s="5">
        <v>1106.45</v>
      </c>
      <c r="AK691" s="5">
        <v>0</v>
      </c>
      <c r="AL691" s="5">
        <v>1106.45</v>
      </c>
      <c r="AM691" s="8"/>
      <c r="AN691" s="8"/>
    </row>
    <row r="692" spans="1:40" ht="16" thickBot="1">
      <c r="A692" s="3">
        <v>691</v>
      </c>
      <c r="B692" s="19">
        <v>45960</v>
      </c>
      <c r="C692" s="5" t="s">
        <v>40</v>
      </c>
      <c r="D692" s="7" t="s">
        <v>41</v>
      </c>
      <c r="E692" s="6" t="s">
        <v>42</v>
      </c>
      <c r="F692" s="7" t="s">
        <v>57</v>
      </c>
      <c r="G692" s="5" t="s">
        <v>44</v>
      </c>
      <c r="H692" s="5" t="s">
        <v>45</v>
      </c>
      <c r="I692" s="5">
        <v>4</v>
      </c>
      <c r="J692" s="5">
        <v>8</v>
      </c>
      <c r="K692" s="5">
        <v>25000</v>
      </c>
      <c r="L692" s="5">
        <v>1000</v>
      </c>
      <c r="M692" s="5">
        <v>55</v>
      </c>
      <c r="N692" s="5">
        <v>31</v>
      </c>
      <c r="O692" s="7" t="s">
        <v>58</v>
      </c>
      <c r="P692" s="8"/>
      <c r="Q692" s="35">
        <v>4.3055555555555562E-2</v>
      </c>
      <c r="R692" s="35">
        <v>0.15503472222222223</v>
      </c>
      <c r="S692" s="7">
        <v>146823</v>
      </c>
      <c r="T692" s="35">
        <v>0.39513888888888887</v>
      </c>
      <c r="U692" s="35">
        <v>0.39526620370370374</v>
      </c>
      <c r="V692" s="7">
        <v>146848</v>
      </c>
      <c r="W692" s="7">
        <v>59</v>
      </c>
      <c r="X692" s="7">
        <v>59</v>
      </c>
      <c r="Y692" s="12">
        <v>0</v>
      </c>
      <c r="Z692" s="12">
        <v>25</v>
      </c>
      <c r="AA692" s="12">
        <v>25</v>
      </c>
      <c r="AB692" s="12">
        <v>0</v>
      </c>
      <c r="AC692" s="12">
        <v>0</v>
      </c>
      <c r="AD692" s="13">
        <v>2</v>
      </c>
      <c r="AE692" s="12">
        <v>300</v>
      </c>
      <c r="AF692" s="14">
        <v>0</v>
      </c>
      <c r="AG692" s="5">
        <v>0</v>
      </c>
      <c r="AH692" s="5">
        <v>0</v>
      </c>
      <c r="AI692" s="5">
        <v>0</v>
      </c>
      <c r="AJ692" s="5">
        <v>1106.45</v>
      </c>
      <c r="AK692" s="5">
        <v>0</v>
      </c>
      <c r="AL692" s="5">
        <v>1106.45</v>
      </c>
      <c r="AM692" s="8"/>
      <c r="AN692" s="8"/>
    </row>
    <row r="693" spans="1:40" ht="16" thickBot="1">
      <c r="A693" s="3">
        <v>692</v>
      </c>
      <c r="B693" s="19">
        <v>45960</v>
      </c>
      <c r="C693" s="5" t="s">
        <v>40</v>
      </c>
      <c r="D693" s="7" t="s">
        <v>41</v>
      </c>
      <c r="E693" s="6" t="s">
        <v>42</v>
      </c>
      <c r="F693" s="7" t="s">
        <v>59</v>
      </c>
      <c r="G693" s="5" t="s">
        <v>44</v>
      </c>
      <c r="H693" s="5" t="s">
        <v>45</v>
      </c>
      <c r="I693" s="5">
        <v>4</v>
      </c>
      <c r="J693" s="5">
        <v>8</v>
      </c>
      <c r="K693" s="5">
        <v>25000</v>
      </c>
      <c r="L693" s="5">
        <v>1000</v>
      </c>
      <c r="M693" s="5">
        <v>55</v>
      </c>
      <c r="N693" s="5">
        <v>31</v>
      </c>
      <c r="O693" s="7" t="s">
        <v>115</v>
      </c>
      <c r="P693" s="8"/>
      <c r="Q693" s="35">
        <v>0.10694444444444444</v>
      </c>
      <c r="R693" s="35">
        <v>0.16192129629629629</v>
      </c>
      <c r="S693" s="7">
        <v>160466</v>
      </c>
      <c r="T693" s="35">
        <v>0.4772569444444445</v>
      </c>
      <c r="U693" s="35">
        <v>0.47738425925925926</v>
      </c>
      <c r="V693" s="7">
        <v>160492</v>
      </c>
      <c r="W693" s="7">
        <v>35</v>
      </c>
      <c r="X693" s="7">
        <v>25</v>
      </c>
      <c r="Y693" s="12">
        <v>10</v>
      </c>
      <c r="Z693" s="12">
        <v>26</v>
      </c>
      <c r="AA693" s="12">
        <v>26</v>
      </c>
      <c r="AB693" s="12">
        <v>0</v>
      </c>
      <c r="AC693" s="12">
        <v>0</v>
      </c>
      <c r="AD693" s="13">
        <v>4</v>
      </c>
      <c r="AE693" s="12">
        <v>600</v>
      </c>
      <c r="AF693" s="14">
        <v>0</v>
      </c>
      <c r="AG693" s="5">
        <v>0</v>
      </c>
      <c r="AH693" s="5">
        <v>0</v>
      </c>
      <c r="AI693" s="5">
        <v>0</v>
      </c>
      <c r="AJ693" s="5">
        <v>1406.45</v>
      </c>
      <c r="AK693" s="5">
        <v>0</v>
      </c>
      <c r="AL693" s="5">
        <v>1406.45</v>
      </c>
      <c r="AM693" s="8"/>
      <c r="AN693" s="8"/>
    </row>
    <row r="694" spans="1:40" ht="16" thickBot="1">
      <c r="A694" s="3">
        <v>693</v>
      </c>
      <c r="B694" s="19">
        <v>45960</v>
      </c>
      <c r="C694" s="5" t="s">
        <v>40</v>
      </c>
      <c r="D694" s="7" t="s">
        <v>41</v>
      </c>
      <c r="E694" s="6" t="s">
        <v>42</v>
      </c>
      <c r="F694" s="7" t="s">
        <v>60</v>
      </c>
      <c r="G694" s="5" t="s">
        <v>44</v>
      </c>
      <c r="H694" s="5" t="s">
        <v>45</v>
      </c>
      <c r="I694" s="5">
        <v>4</v>
      </c>
      <c r="J694" s="5">
        <v>8</v>
      </c>
      <c r="K694" s="5">
        <v>25000</v>
      </c>
      <c r="L694" s="5">
        <v>1000</v>
      </c>
      <c r="M694" s="5">
        <v>55</v>
      </c>
      <c r="N694" s="5">
        <v>31</v>
      </c>
      <c r="O694" s="7" t="s">
        <v>103</v>
      </c>
      <c r="P694" s="8"/>
      <c r="Q694" s="35">
        <v>4.7222222222222221E-2</v>
      </c>
      <c r="R694" s="35">
        <v>0.15329861111111112</v>
      </c>
      <c r="S694" s="7">
        <v>115089</v>
      </c>
      <c r="T694" s="35">
        <v>0.31464120370370369</v>
      </c>
      <c r="U694" s="35">
        <v>0.31630787037037039</v>
      </c>
      <c r="V694" s="7">
        <v>115108</v>
      </c>
      <c r="W694" s="7">
        <v>37</v>
      </c>
      <c r="X694" s="7">
        <v>37</v>
      </c>
      <c r="Y694" s="12">
        <v>0</v>
      </c>
      <c r="Z694" s="12">
        <v>19</v>
      </c>
      <c r="AA694" s="12">
        <v>19</v>
      </c>
      <c r="AB694" s="12">
        <v>0</v>
      </c>
      <c r="AC694" s="12">
        <v>0</v>
      </c>
      <c r="AD694" s="13">
        <v>0</v>
      </c>
      <c r="AE694" s="12">
        <v>0</v>
      </c>
      <c r="AF694" s="14">
        <v>0</v>
      </c>
      <c r="AG694" s="5">
        <v>0</v>
      </c>
      <c r="AH694" s="5">
        <v>0</v>
      </c>
      <c r="AI694" s="5">
        <v>0</v>
      </c>
      <c r="AJ694" s="5">
        <v>806.45</v>
      </c>
      <c r="AK694" s="5">
        <v>0</v>
      </c>
      <c r="AL694" s="5">
        <v>806.45</v>
      </c>
      <c r="AM694" s="8"/>
      <c r="AN694" s="8"/>
    </row>
    <row r="695" spans="1:40" ht="16" thickBot="1">
      <c r="A695" s="3">
        <v>694</v>
      </c>
      <c r="B695" s="19">
        <v>45960</v>
      </c>
      <c r="C695" s="5" t="s">
        <v>40</v>
      </c>
      <c r="D695" s="7" t="s">
        <v>41</v>
      </c>
      <c r="E695" s="6" t="s">
        <v>42</v>
      </c>
      <c r="F695" s="7" t="s">
        <v>62</v>
      </c>
      <c r="G695" s="5" t="s">
        <v>44</v>
      </c>
      <c r="H695" s="5" t="s">
        <v>45</v>
      </c>
      <c r="I695" s="5">
        <v>6</v>
      </c>
      <c r="J695" s="5">
        <v>8</v>
      </c>
      <c r="K695" s="5">
        <v>33000</v>
      </c>
      <c r="L695" s="5">
        <v>2000</v>
      </c>
      <c r="M695" s="5">
        <v>55</v>
      </c>
      <c r="N695" s="5">
        <v>31</v>
      </c>
      <c r="O695" s="7" t="s">
        <v>63</v>
      </c>
      <c r="P695" s="8"/>
      <c r="Q695" s="35">
        <v>4.2361111111111106E-2</v>
      </c>
      <c r="R695" s="35">
        <v>0.15532407407407409</v>
      </c>
      <c r="S695" s="7">
        <v>49074</v>
      </c>
      <c r="T695" s="35">
        <v>0.39562499999999995</v>
      </c>
      <c r="U695" s="35">
        <v>0.39571759259259259</v>
      </c>
      <c r="V695" s="7">
        <v>49130</v>
      </c>
      <c r="W695" s="7">
        <v>24</v>
      </c>
      <c r="X695" s="7">
        <v>24</v>
      </c>
      <c r="Y695" s="12">
        <v>0</v>
      </c>
      <c r="Z695" s="12">
        <v>56</v>
      </c>
      <c r="AA695" s="12">
        <v>56</v>
      </c>
      <c r="AB695" s="12">
        <v>0</v>
      </c>
      <c r="AC695" s="12">
        <v>0</v>
      </c>
      <c r="AD695" s="13">
        <v>1</v>
      </c>
      <c r="AE695" s="12">
        <v>150</v>
      </c>
      <c r="AF695" s="14">
        <v>0</v>
      </c>
      <c r="AG695" s="5">
        <v>0</v>
      </c>
      <c r="AH695" s="5">
        <v>0</v>
      </c>
      <c r="AI695" s="5">
        <v>0</v>
      </c>
      <c r="AJ695" s="5">
        <v>1214.52</v>
      </c>
      <c r="AK695" s="5">
        <v>0</v>
      </c>
      <c r="AL695" s="5">
        <v>1214.52</v>
      </c>
      <c r="AM695" s="8"/>
      <c r="AN695" s="8"/>
    </row>
    <row r="696" spans="1:40" ht="16" thickBot="1">
      <c r="A696" s="3">
        <v>695</v>
      </c>
      <c r="B696" s="19">
        <v>45960</v>
      </c>
      <c r="C696" s="5" t="s">
        <v>40</v>
      </c>
      <c r="D696" s="7" t="s">
        <v>41</v>
      </c>
      <c r="E696" s="6" t="s">
        <v>42</v>
      </c>
      <c r="F696" s="7" t="s">
        <v>101</v>
      </c>
      <c r="G696" s="5" t="s">
        <v>44</v>
      </c>
      <c r="H696" s="5" t="s">
        <v>45</v>
      </c>
      <c r="I696" s="5">
        <v>4</v>
      </c>
      <c r="J696" s="5">
        <v>8</v>
      </c>
      <c r="K696" s="5">
        <v>25000</v>
      </c>
      <c r="L696" s="5">
        <v>1000</v>
      </c>
      <c r="M696" s="5">
        <v>55</v>
      </c>
      <c r="N696" s="5">
        <v>31</v>
      </c>
      <c r="O696" s="7" t="s">
        <v>67</v>
      </c>
      <c r="P696" s="8"/>
      <c r="Q696" s="35">
        <v>0.11041666666666666</v>
      </c>
      <c r="R696" s="35">
        <v>0.15255787037037036</v>
      </c>
      <c r="S696" s="7">
        <v>119248</v>
      </c>
      <c r="T696" s="35">
        <v>0.32893518518518516</v>
      </c>
      <c r="U696" s="35">
        <v>0.32899305555555552</v>
      </c>
      <c r="V696" s="7">
        <v>119278</v>
      </c>
      <c r="W696" s="7">
        <v>38</v>
      </c>
      <c r="X696" s="7">
        <v>38</v>
      </c>
      <c r="Y696" s="12">
        <v>0</v>
      </c>
      <c r="Z696" s="12">
        <v>30</v>
      </c>
      <c r="AA696" s="12">
        <v>30</v>
      </c>
      <c r="AB696" s="12">
        <v>0</v>
      </c>
      <c r="AC696" s="12">
        <v>0</v>
      </c>
      <c r="AD696" s="13">
        <v>0</v>
      </c>
      <c r="AE696" s="12">
        <v>0</v>
      </c>
      <c r="AF696" s="14">
        <v>0</v>
      </c>
      <c r="AG696" s="5">
        <v>0</v>
      </c>
      <c r="AH696" s="5">
        <v>0</v>
      </c>
      <c r="AI696" s="5">
        <v>0</v>
      </c>
      <c r="AJ696" s="5">
        <v>806.45</v>
      </c>
      <c r="AK696" s="5">
        <v>0</v>
      </c>
      <c r="AL696" s="5">
        <v>806.45</v>
      </c>
      <c r="AM696" s="8"/>
      <c r="AN696" s="8"/>
    </row>
    <row r="697" spans="1:40" ht="16" thickBot="1">
      <c r="A697" s="3">
        <v>696</v>
      </c>
      <c r="B697" s="19">
        <v>45960</v>
      </c>
      <c r="C697" s="5" t="s">
        <v>40</v>
      </c>
      <c r="D697" s="7" t="s">
        <v>41</v>
      </c>
      <c r="E697" s="6" t="s">
        <v>42</v>
      </c>
      <c r="F697" s="7" t="s">
        <v>64</v>
      </c>
      <c r="G697" s="5" t="s">
        <v>44</v>
      </c>
      <c r="H697" s="5" t="s">
        <v>45</v>
      </c>
      <c r="I697" s="5">
        <v>4</v>
      </c>
      <c r="J697" s="5">
        <v>8</v>
      </c>
      <c r="K697" s="5">
        <v>25000</v>
      </c>
      <c r="L697" s="5">
        <v>1000</v>
      </c>
      <c r="M697" s="5">
        <v>55</v>
      </c>
      <c r="N697" s="5">
        <v>31</v>
      </c>
      <c r="O697" s="7" t="s">
        <v>147</v>
      </c>
      <c r="P697" s="8"/>
      <c r="Q697" s="35">
        <v>0.12430555555555556</v>
      </c>
      <c r="R697" s="35">
        <v>0.15597222222222221</v>
      </c>
      <c r="S697" s="7">
        <v>76849</v>
      </c>
      <c r="T697" s="35">
        <v>0.325162037037037</v>
      </c>
      <c r="U697" s="35">
        <v>0.32542824074074073</v>
      </c>
      <c r="V697" s="7">
        <v>76874</v>
      </c>
      <c r="W697" s="7">
        <v>0</v>
      </c>
      <c r="X697" s="7">
        <v>52</v>
      </c>
      <c r="Y697" s="12">
        <v>-52</v>
      </c>
      <c r="Z697" s="12">
        <v>25</v>
      </c>
      <c r="AA697" s="12">
        <v>25</v>
      </c>
      <c r="AB697" s="12">
        <v>0</v>
      </c>
      <c r="AC697" s="12">
        <v>0</v>
      </c>
      <c r="AD697" s="13">
        <v>0</v>
      </c>
      <c r="AE697" s="12">
        <v>0</v>
      </c>
      <c r="AF697" s="14">
        <v>0</v>
      </c>
      <c r="AG697" s="5">
        <v>0</v>
      </c>
      <c r="AH697" s="5">
        <v>0</v>
      </c>
      <c r="AI697" s="5">
        <v>0</v>
      </c>
      <c r="AJ697" s="5">
        <v>806.45</v>
      </c>
      <c r="AK697" s="5">
        <v>0</v>
      </c>
      <c r="AL697" s="5">
        <v>806.45</v>
      </c>
      <c r="AM697" s="8"/>
      <c r="AN697" s="8"/>
    </row>
    <row r="698" spans="1:40" ht="16" thickBot="1">
      <c r="A698" s="3">
        <v>697</v>
      </c>
      <c r="B698" s="19">
        <v>45960</v>
      </c>
      <c r="C698" s="5" t="s">
        <v>40</v>
      </c>
      <c r="D698" s="7" t="s">
        <v>41</v>
      </c>
      <c r="E698" s="6" t="s">
        <v>42</v>
      </c>
      <c r="F698" s="7" t="s">
        <v>185</v>
      </c>
      <c r="G698" s="5" t="s">
        <v>44</v>
      </c>
      <c r="H698" s="5" t="s">
        <v>45</v>
      </c>
      <c r="I698" s="5">
        <v>4</v>
      </c>
      <c r="J698" s="5">
        <v>8</v>
      </c>
      <c r="K698" s="5">
        <v>25000</v>
      </c>
      <c r="L698" s="5">
        <v>1000</v>
      </c>
      <c r="M698" s="5">
        <v>55</v>
      </c>
      <c r="N698" s="5">
        <v>31</v>
      </c>
      <c r="O698" s="7" t="s">
        <v>186</v>
      </c>
      <c r="P698" s="8"/>
      <c r="Q698" s="35">
        <v>4.3750000000000004E-2</v>
      </c>
      <c r="R698" s="35">
        <v>0.15489583333333332</v>
      </c>
      <c r="S698" s="7">
        <v>66708</v>
      </c>
      <c r="T698" s="35">
        <v>0.32787037037037037</v>
      </c>
      <c r="U698" s="35">
        <v>0.32793981481481482</v>
      </c>
      <c r="V698" s="7">
        <v>66725</v>
      </c>
      <c r="W698" s="7">
        <v>25</v>
      </c>
      <c r="X698" s="7">
        <v>25</v>
      </c>
      <c r="Y698" s="12">
        <v>0</v>
      </c>
      <c r="Z698" s="12">
        <v>17</v>
      </c>
      <c r="AA698" s="12">
        <v>17</v>
      </c>
      <c r="AB698" s="12">
        <v>0</v>
      </c>
      <c r="AC698" s="12">
        <v>0</v>
      </c>
      <c r="AD698" s="13">
        <v>0</v>
      </c>
      <c r="AE698" s="12">
        <v>0</v>
      </c>
      <c r="AF698" s="14">
        <v>0</v>
      </c>
      <c r="AG698" s="5">
        <v>0</v>
      </c>
      <c r="AH698" s="5">
        <v>0</v>
      </c>
      <c r="AI698" s="5">
        <v>0</v>
      </c>
      <c r="AJ698" s="5">
        <v>806.45</v>
      </c>
      <c r="AK698" s="5">
        <v>0</v>
      </c>
      <c r="AL698" s="5">
        <v>806.45</v>
      </c>
      <c r="AM698" s="8"/>
      <c r="AN698" s="8"/>
    </row>
    <row r="699" spans="1:40" ht="16" thickBot="1">
      <c r="A699" s="3">
        <v>698</v>
      </c>
      <c r="B699" s="19">
        <v>45960</v>
      </c>
      <c r="C699" s="5" t="s">
        <v>40</v>
      </c>
      <c r="D699" s="7" t="s">
        <v>41</v>
      </c>
      <c r="E699" s="6" t="s">
        <v>42</v>
      </c>
      <c r="F699" s="7" t="s">
        <v>178</v>
      </c>
      <c r="G699" s="5" t="s">
        <v>44</v>
      </c>
      <c r="H699" s="5" t="s">
        <v>45</v>
      </c>
      <c r="I699" s="5">
        <v>4</v>
      </c>
      <c r="J699" s="5">
        <v>8</v>
      </c>
      <c r="K699" s="5">
        <v>25000</v>
      </c>
      <c r="L699" s="5">
        <v>1000</v>
      </c>
      <c r="M699" s="5">
        <v>55</v>
      </c>
      <c r="N699" s="5">
        <v>31</v>
      </c>
      <c r="O699" s="7" t="s">
        <v>108</v>
      </c>
      <c r="P699" s="8"/>
      <c r="Q699" s="35">
        <v>8.1250000000000003E-2</v>
      </c>
      <c r="R699" s="35">
        <v>0.16142361111111111</v>
      </c>
      <c r="S699" s="7">
        <v>45717</v>
      </c>
      <c r="T699" s="35">
        <v>0.30143518518518519</v>
      </c>
      <c r="U699" s="35">
        <v>0.30150462962962959</v>
      </c>
      <c r="V699" s="7">
        <v>45745</v>
      </c>
      <c r="W699" s="7">
        <v>23</v>
      </c>
      <c r="X699" s="7">
        <v>23</v>
      </c>
      <c r="Y699" s="12">
        <v>0</v>
      </c>
      <c r="Z699" s="12">
        <v>28</v>
      </c>
      <c r="AA699" s="12">
        <v>28</v>
      </c>
      <c r="AB699" s="12">
        <v>0</v>
      </c>
      <c r="AC699" s="12">
        <v>0</v>
      </c>
      <c r="AD699" s="13">
        <v>0</v>
      </c>
      <c r="AE699" s="12">
        <v>0</v>
      </c>
      <c r="AF699" s="14">
        <v>0</v>
      </c>
      <c r="AG699" s="5">
        <v>0</v>
      </c>
      <c r="AH699" s="5">
        <v>0</v>
      </c>
      <c r="AI699" s="5">
        <v>0</v>
      </c>
      <c r="AJ699" s="5">
        <v>806.45</v>
      </c>
      <c r="AK699" s="5">
        <v>0</v>
      </c>
      <c r="AL699" s="5">
        <v>806.45</v>
      </c>
      <c r="AM699" s="8"/>
      <c r="AN699" s="8"/>
    </row>
    <row r="700" spans="1:40" ht="16" thickBot="1">
      <c r="A700" s="3">
        <v>699</v>
      </c>
      <c r="B700" s="19">
        <v>45960</v>
      </c>
      <c r="C700" s="5" t="s">
        <v>40</v>
      </c>
      <c r="D700" s="7" t="s">
        <v>41</v>
      </c>
      <c r="E700" s="6" t="s">
        <v>42</v>
      </c>
      <c r="F700" s="7" t="s">
        <v>68</v>
      </c>
      <c r="G700" s="5" t="s">
        <v>44</v>
      </c>
      <c r="H700" s="5" t="s">
        <v>45</v>
      </c>
      <c r="I700" s="5">
        <v>4</v>
      </c>
      <c r="J700" s="5">
        <v>8</v>
      </c>
      <c r="K700" s="5">
        <v>25000</v>
      </c>
      <c r="L700" s="5">
        <v>1000</v>
      </c>
      <c r="M700" s="5">
        <v>55</v>
      </c>
      <c r="N700" s="5">
        <v>31</v>
      </c>
      <c r="O700" s="7" t="s">
        <v>81</v>
      </c>
      <c r="P700" s="8"/>
      <c r="Q700" s="35">
        <v>4.6527777777777779E-2</v>
      </c>
      <c r="R700" s="35">
        <v>0.1527199074074074</v>
      </c>
      <c r="S700" s="7">
        <v>86097</v>
      </c>
      <c r="T700" s="35">
        <v>0.33083333333333331</v>
      </c>
      <c r="U700" s="35">
        <v>0.33089120370370367</v>
      </c>
      <c r="V700" s="7">
        <v>86114</v>
      </c>
      <c r="W700" s="7">
        <v>35</v>
      </c>
      <c r="X700" s="7">
        <v>35</v>
      </c>
      <c r="Y700" s="12">
        <v>0</v>
      </c>
      <c r="Z700" s="12">
        <v>17</v>
      </c>
      <c r="AA700" s="12">
        <v>17</v>
      </c>
      <c r="AB700" s="12">
        <v>0</v>
      </c>
      <c r="AC700" s="12">
        <v>0</v>
      </c>
      <c r="AD700" s="13">
        <v>0</v>
      </c>
      <c r="AE700" s="12">
        <v>0</v>
      </c>
      <c r="AF700" s="14">
        <v>0</v>
      </c>
      <c r="AG700" s="5">
        <v>0</v>
      </c>
      <c r="AH700" s="5">
        <v>0</v>
      </c>
      <c r="AI700" s="5">
        <v>0</v>
      </c>
      <c r="AJ700" s="5">
        <v>806.45</v>
      </c>
      <c r="AK700" s="5">
        <v>0</v>
      </c>
      <c r="AL700" s="5">
        <v>806.45</v>
      </c>
      <c r="AM700" s="8"/>
      <c r="AN700" s="8"/>
    </row>
    <row r="701" spans="1:40" ht="16" thickBot="1">
      <c r="A701" s="3">
        <v>700</v>
      </c>
      <c r="B701" s="19">
        <v>45960</v>
      </c>
      <c r="C701" s="5" t="s">
        <v>40</v>
      </c>
      <c r="D701" s="7" t="s">
        <v>41</v>
      </c>
      <c r="E701" s="6" t="s">
        <v>42</v>
      </c>
      <c r="F701" s="7" t="s">
        <v>72</v>
      </c>
      <c r="G701" s="5" t="s">
        <v>44</v>
      </c>
      <c r="H701" s="5" t="s">
        <v>45</v>
      </c>
      <c r="I701" s="5">
        <v>6</v>
      </c>
      <c r="J701" s="5">
        <v>8</v>
      </c>
      <c r="K701" s="5">
        <v>33000</v>
      </c>
      <c r="L701" s="5">
        <v>2000</v>
      </c>
      <c r="M701" s="5">
        <v>55</v>
      </c>
      <c r="N701" s="5">
        <v>31</v>
      </c>
      <c r="O701" s="7" t="s">
        <v>73</v>
      </c>
      <c r="P701" s="8"/>
      <c r="Q701" s="35">
        <v>7.9861111111111105E-2</v>
      </c>
      <c r="R701" s="35">
        <v>0.15599537037037037</v>
      </c>
      <c r="S701" s="7">
        <v>35510</v>
      </c>
      <c r="T701" s="35">
        <v>0.31504629629629627</v>
      </c>
      <c r="U701" s="35">
        <v>0.31589120370370372</v>
      </c>
      <c r="V701" s="7">
        <v>35578</v>
      </c>
      <c r="W701" s="7">
        <v>30</v>
      </c>
      <c r="X701" s="7">
        <v>30</v>
      </c>
      <c r="Y701" s="12">
        <v>0</v>
      </c>
      <c r="Z701" s="12">
        <v>68</v>
      </c>
      <c r="AA701" s="12">
        <v>68</v>
      </c>
      <c r="AB701" s="12">
        <v>0</v>
      </c>
      <c r="AC701" s="12">
        <v>0</v>
      </c>
      <c r="AD701" s="13">
        <v>0</v>
      </c>
      <c r="AE701" s="12">
        <v>0</v>
      </c>
      <c r="AF701" s="14">
        <v>0</v>
      </c>
      <c r="AG701" s="5">
        <v>0</v>
      </c>
      <c r="AH701" s="5">
        <v>0</v>
      </c>
      <c r="AI701" s="5">
        <v>0</v>
      </c>
      <c r="AJ701" s="5">
        <v>1064.52</v>
      </c>
      <c r="AK701" s="5">
        <v>0</v>
      </c>
      <c r="AL701" s="5">
        <v>1064.52</v>
      </c>
      <c r="AM701" s="8"/>
      <c r="AN701" s="8"/>
    </row>
    <row r="702" spans="1:40" ht="16" thickBot="1">
      <c r="A702" s="3">
        <v>701</v>
      </c>
      <c r="B702" s="19">
        <v>45960</v>
      </c>
      <c r="C702" s="5" t="s">
        <v>40</v>
      </c>
      <c r="D702" s="7" t="s">
        <v>41</v>
      </c>
      <c r="E702" s="6" t="s">
        <v>42</v>
      </c>
      <c r="F702" s="7" t="s">
        <v>74</v>
      </c>
      <c r="G702" s="5" t="s">
        <v>44</v>
      </c>
      <c r="H702" s="5" t="s">
        <v>45</v>
      </c>
      <c r="I702" s="5">
        <v>4</v>
      </c>
      <c r="J702" s="5">
        <v>8</v>
      </c>
      <c r="K702" s="5">
        <v>25000</v>
      </c>
      <c r="L702" s="5">
        <v>1000</v>
      </c>
      <c r="M702" s="5">
        <v>55</v>
      </c>
      <c r="N702" s="5">
        <v>31</v>
      </c>
      <c r="O702" s="7" t="s">
        <v>96</v>
      </c>
      <c r="P702" s="8"/>
      <c r="Q702" s="35">
        <v>4.7222222222222221E-2</v>
      </c>
      <c r="R702" s="35">
        <v>0.15344907407407407</v>
      </c>
      <c r="S702" s="7">
        <v>40133</v>
      </c>
      <c r="T702" s="35">
        <v>0.34378472222222217</v>
      </c>
      <c r="U702" s="35">
        <v>0.34387731481481482</v>
      </c>
      <c r="V702" s="7">
        <v>40146</v>
      </c>
      <c r="W702" s="7">
        <v>0</v>
      </c>
      <c r="X702" s="7">
        <v>47</v>
      </c>
      <c r="Y702" s="12">
        <v>-47</v>
      </c>
      <c r="Z702" s="12">
        <v>13</v>
      </c>
      <c r="AA702" s="12">
        <v>13</v>
      </c>
      <c r="AB702" s="12">
        <v>0</v>
      </c>
      <c r="AC702" s="12">
        <v>0</v>
      </c>
      <c r="AD702" s="13">
        <v>1</v>
      </c>
      <c r="AE702" s="12">
        <v>150</v>
      </c>
      <c r="AF702" s="14">
        <v>0</v>
      </c>
      <c r="AG702" s="5">
        <v>0</v>
      </c>
      <c r="AH702" s="5">
        <v>0</v>
      </c>
      <c r="AI702" s="5">
        <v>0</v>
      </c>
      <c r="AJ702" s="5">
        <v>956.45</v>
      </c>
      <c r="AK702" s="5">
        <v>0</v>
      </c>
      <c r="AL702" s="5">
        <v>956.45</v>
      </c>
      <c r="AM702" s="8"/>
      <c r="AN702" s="8"/>
    </row>
    <row r="703" spans="1:40" ht="16" thickBot="1">
      <c r="A703" s="3">
        <v>702</v>
      </c>
      <c r="B703" s="19">
        <v>45960</v>
      </c>
      <c r="C703" s="5" t="s">
        <v>40</v>
      </c>
      <c r="D703" s="7" t="s">
        <v>41</v>
      </c>
      <c r="E703" s="6" t="s">
        <v>42</v>
      </c>
      <c r="F703" s="7" t="s">
        <v>78</v>
      </c>
      <c r="G703" s="5" t="s">
        <v>44</v>
      </c>
      <c r="H703" s="5" t="s">
        <v>45</v>
      </c>
      <c r="I703" s="5">
        <v>4</v>
      </c>
      <c r="J703" s="5">
        <v>8</v>
      </c>
      <c r="K703" s="5">
        <v>25000</v>
      </c>
      <c r="L703" s="5">
        <v>1000</v>
      </c>
      <c r="M703" s="5">
        <v>55</v>
      </c>
      <c r="N703" s="5">
        <v>31</v>
      </c>
      <c r="O703" s="7" t="s">
        <v>79</v>
      </c>
      <c r="P703" s="8"/>
      <c r="Q703" s="35">
        <v>4.7916666666666663E-2</v>
      </c>
      <c r="R703" s="35">
        <v>0.14881944444444445</v>
      </c>
      <c r="S703" s="7">
        <v>8932</v>
      </c>
      <c r="T703" s="35">
        <v>0.39467592592592587</v>
      </c>
      <c r="U703" s="35">
        <v>0.39474537037037033</v>
      </c>
      <c r="V703" s="7">
        <v>8961</v>
      </c>
      <c r="W703" s="7">
        <v>33</v>
      </c>
      <c r="X703" s="7">
        <v>33</v>
      </c>
      <c r="Y703" s="12">
        <v>0</v>
      </c>
      <c r="Z703" s="12">
        <v>29</v>
      </c>
      <c r="AA703" s="12">
        <v>29</v>
      </c>
      <c r="AB703" s="12">
        <v>0</v>
      </c>
      <c r="AC703" s="12">
        <v>0</v>
      </c>
      <c r="AD703" s="13">
        <v>2</v>
      </c>
      <c r="AE703" s="12">
        <v>300</v>
      </c>
      <c r="AF703" s="14">
        <v>0</v>
      </c>
      <c r="AG703" s="5">
        <v>0</v>
      </c>
      <c r="AH703" s="5">
        <v>0</v>
      </c>
      <c r="AI703" s="5">
        <v>0</v>
      </c>
      <c r="AJ703" s="5">
        <v>1106.45</v>
      </c>
      <c r="AK703" s="5">
        <v>0</v>
      </c>
      <c r="AL703" s="5">
        <v>1106.45</v>
      </c>
      <c r="AM703" s="8"/>
      <c r="AN703" s="8"/>
    </row>
    <row r="704" spans="1:40" ht="16" thickBot="1">
      <c r="A704" s="3">
        <v>703</v>
      </c>
      <c r="B704" s="19">
        <v>45960</v>
      </c>
      <c r="C704" s="5" t="s">
        <v>40</v>
      </c>
      <c r="D704" s="7" t="s">
        <v>41</v>
      </c>
      <c r="E704" s="6" t="s">
        <v>42</v>
      </c>
      <c r="F704" s="7" t="s">
        <v>80</v>
      </c>
      <c r="G704" s="5" t="s">
        <v>44</v>
      </c>
      <c r="H704" s="5" t="s">
        <v>45</v>
      </c>
      <c r="I704" s="5">
        <v>4</v>
      </c>
      <c r="J704" s="5">
        <v>8</v>
      </c>
      <c r="K704" s="5">
        <v>25000</v>
      </c>
      <c r="L704" s="5">
        <v>1000</v>
      </c>
      <c r="M704" s="5">
        <v>55</v>
      </c>
      <c r="N704" s="5">
        <v>31</v>
      </c>
      <c r="O704" s="7" t="s">
        <v>69</v>
      </c>
      <c r="P704" s="8"/>
      <c r="Q704" s="35">
        <v>4.7222222222222221E-2</v>
      </c>
      <c r="R704" s="35">
        <v>0.15291666666666667</v>
      </c>
      <c r="S704" s="7">
        <v>6698</v>
      </c>
      <c r="T704" s="35">
        <v>0.34221064814814817</v>
      </c>
      <c r="U704" s="35">
        <v>0.34228009259259262</v>
      </c>
      <c r="V704" s="7">
        <v>6714</v>
      </c>
      <c r="W704" s="7">
        <v>50</v>
      </c>
      <c r="X704" s="7">
        <v>50</v>
      </c>
      <c r="Y704" s="12">
        <v>0</v>
      </c>
      <c r="Z704" s="12">
        <v>16</v>
      </c>
      <c r="AA704" s="12">
        <v>16</v>
      </c>
      <c r="AB704" s="12">
        <v>0</v>
      </c>
      <c r="AC704" s="12">
        <v>0</v>
      </c>
      <c r="AD704" s="13">
        <v>1</v>
      </c>
      <c r="AE704" s="12">
        <v>150</v>
      </c>
      <c r="AF704" s="14">
        <v>0</v>
      </c>
      <c r="AG704" s="5">
        <v>0</v>
      </c>
      <c r="AH704" s="5">
        <v>0</v>
      </c>
      <c r="AI704" s="5">
        <v>0</v>
      </c>
      <c r="AJ704" s="5">
        <v>956.45</v>
      </c>
      <c r="AK704" s="5">
        <v>0</v>
      </c>
      <c r="AL704" s="5">
        <v>956.45</v>
      </c>
      <c r="AM704" s="8"/>
      <c r="AN704" s="8"/>
    </row>
    <row r="705" spans="1:40" ht="16" thickBot="1">
      <c r="A705" s="3">
        <v>704</v>
      </c>
      <c r="B705" s="19">
        <v>45960</v>
      </c>
      <c r="C705" s="5" t="s">
        <v>40</v>
      </c>
      <c r="D705" s="7" t="s">
        <v>41</v>
      </c>
      <c r="E705" s="6" t="s">
        <v>42</v>
      </c>
      <c r="F705" s="7" t="s">
        <v>105</v>
      </c>
      <c r="G705" s="5" t="s">
        <v>44</v>
      </c>
      <c r="H705" s="5" t="s">
        <v>45</v>
      </c>
      <c r="I705" s="5">
        <v>4</v>
      </c>
      <c r="J705" s="5">
        <v>8</v>
      </c>
      <c r="K705" s="5">
        <v>25000</v>
      </c>
      <c r="L705" s="5">
        <v>1000</v>
      </c>
      <c r="M705" s="5">
        <v>55</v>
      </c>
      <c r="N705" s="5">
        <v>31</v>
      </c>
      <c r="O705" s="7" t="s">
        <v>172</v>
      </c>
      <c r="P705" s="8"/>
      <c r="Q705" s="35">
        <v>0.10208333333333335</v>
      </c>
      <c r="R705" s="35">
        <v>0.16071759259259258</v>
      </c>
      <c r="S705" s="7">
        <v>42540</v>
      </c>
      <c r="T705" s="35">
        <v>0.31112268518518521</v>
      </c>
      <c r="U705" s="35">
        <v>0.31157407407407406</v>
      </c>
      <c r="V705" s="7">
        <v>42574</v>
      </c>
      <c r="W705" s="7">
        <v>30</v>
      </c>
      <c r="X705" s="7">
        <v>30</v>
      </c>
      <c r="Y705" s="12">
        <v>0</v>
      </c>
      <c r="Z705" s="12">
        <v>34</v>
      </c>
      <c r="AA705" s="12">
        <v>34</v>
      </c>
      <c r="AB705" s="12">
        <v>0</v>
      </c>
      <c r="AC705" s="12">
        <v>0</v>
      </c>
      <c r="AD705" s="13">
        <v>0</v>
      </c>
      <c r="AE705" s="12">
        <v>0</v>
      </c>
      <c r="AF705" s="14">
        <v>0</v>
      </c>
      <c r="AG705" s="5">
        <v>0</v>
      </c>
      <c r="AH705" s="5">
        <v>0</v>
      </c>
      <c r="AI705" s="5">
        <v>0</v>
      </c>
      <c r="AJ705" s="5">
        <v>806.45</v>
      </c>
      <c r="AK705" s="5">
        <v>0</v>
      </c>
      <c r="AL705" s="5">
        <v>806.45</v>
      </c>
      <c r="AM705" s="8"/>
      <c r="AN705" s="8"/>
    </row>
    <row r="706" spans="1:40" ht="16" thickBot="1">
      <c r="A706" s="3">
        <v>705</v>
      </c>
      <c r="B706" s="19">
        <v>45960</v>
      </c>
      <c r="C706" s="5" t="s">
        <v>40</v>
      </c>
      <c r="D706" s="7" t="s">
        <v>41</v>
      </c>
      <c r="E706" s="6" t="s">
        <v>42</v>
      </c>
      <c r="F706" s="7" t="s">
        <v>232</v>
      </c>
      <c r="G706" s="10" t="s">
        <v>83</v>
      </c>
      <c r="H706" s="5" t="s">
        <v>84</v>
      </c>
      <c r="I706" s="5">
        <v>4</v>
      </c>
      <c r="J706" s="5">
        <v>10</v>
      </c>
      <c r="K706" s="6">
        <v>29000</v>
      </c>
      <c r="L706" s="5">
        <v>1000</v>
      </c>
      <c r="M706" s="5">
        <v>55</v>
      </c>
      <c r="N706" s="5">
        <v>31</v>
      </c>
      <c r="O706" s="7" t="s">
        <v>236</v>
      </c>
      <c r="P706" s="8"/>
      <c r="Q706" s="35">
        <v>0.11666666666666665</v>
      </c>
      <c r="R706" s="35">
        <v>0.15518518518518518</v>
      </c>
      <c r="S706" s="7">
        <v>285</v>
      </c>
      <c r="T706" s="35">
        <v>0.32364583333333335</v>
      </c>
      <c r="U706" s="35">
        <v>0.32395833333333335</v>
      </c>
      <c r="V706" s="7">
        <v>316</v>
      </c>
      <c r="W706" s="7">
        <v>49</v>
      </c>
      <c r="X706" s="7">
        <v>49</v>
      </c>
      <c r="Y706" s="12">
        <v>0</v>
      </c>
      <c r="Z706" s="12">
        <v>31</v>
      </c>
      <c r="AA706" s="12">
        <v>31</v>
      </c>
      <c r="AB706" s="12">
        <v>0</v>
      </c>
      <c r="AC706" s="12">
        <v>0</v>
      </c>
      <c r="AD706" s="13">
        <v>0</v>
      </c>
      <c r="AE706" s="12">
        <v>0</v>
      </c>
      <c r="AF706" s="14">
        <v>0</v>
      </c>
      <c r="AG706" s="5">
        <v>0</v>
      </c>
      <c r="AH706" s="5">
        <v>0</v>
      </c>
      <c r="AI706" s="5">
        <v>0</v>
      </c>
      <c r="AJ706" s="5">
        <v>935.48</v>
      </c>
      <c r="AK706" s="5">
        <v>0</v>
      </c>
      <c r="AL706" s="5">
        <v>935.48</v>
      </c>
      <c r="AM706" s="8"/>
      <c r="AN706" s="8"/>
    </row>
    <row r="707" spans="1:40" ht="16" thickBot="1">
      <c r="A707" s="3">
        <v>706</v>
      </c>
      <c r="B707" s="19">
        <v>45960</v>
      </c>
      <c r="C707" s="5" t="s">
        <v>40</v>
      </c>
      <c r="D707" s="7" t="s">
        <v>41</v>
      </c>
      <c r="E707" s="6" t="s">
        <v>42</v>
      </c>
      <c r="F707" s="7" t="s">
        <v>82</v>
      </c>
      <c r="G707" s="10" t="s">
        <v>83</v>
      </c>
      <c r="H707" s="5" t="s">
        <v>84</v>
      </c>
      <c r="I707" s="5">
        <v>4</v>
      </c>
      <c r="J707" s="5">
        <v>10</v>
      </c>
      <c r="K707" s="6">
        <v>29000</v>
      </c>
      <c r="L707" s="5">
        <v>1000</v>
      </c>
      <c r="M707" s="5">
        <v>55</v>
      </c>
      <c r="N707" s="5">
        <v>31</v>
      </c>
      <c r="O707" s="7" t="s">
        <v>107</v>
      </c>
      <c r="P707" s="8"/>
      <c r="Q707" s="35">
        <v>0.12152777777777778</v>
      </c>
      <c r="R707" s="35">
        <v>0.15311342592592592</v>
      </c>
      <c r="S707" s="7">
        <v>33307</v>
      </c>
      <c r="T707" s="35">
        <v>0.47814814814814816</v>
      </c>
      <c r="U707" s="35">
        <v>0.47826388888888888</v>
      </c>
      <c r="V707" s="7">
        <v>33321</v>
      </c>
      <c r="W707" s="7">
        <v>25</v>
      </c>
      <c r="X707" s="7">
        <v>42</v>
      </c>
      <c r="Y707" s="12">
        <v>-17</v>
      </c>
      <c r="Z707" s="12">
        <v>14</v>
      </c>
      <c r="AA707" s="12">
        <v>14</v>
      </c>
      <c r="AB707" s="12">
        <v>0</v>
      </c>
      <c r="AC707" s="12">
        <v>0</v>
      </c>
      <c r="AD707" s="13">
        <v>4</v>
      </c>
      <c r="AE707" s="12">
        <v>600</v>
      </c>
      <c r="AF707" s="14">
        <v>0</v>
      </c>
      <c r="AG707" s="5">
        <v>0</v>
      </c>
      <c r="AH707" s="5">
        <v>0</v>
      </c>
      <c r="AI707" s="5">
        <v>0</v>
      </c>
      <c r="AJ707" s="5">
        <v>1535.48</v>
      </c>
      <c r="AK707" s="5">
        <v>0</v>
      </c>
      <c r="AL707" s="5">
        <v>1535.48</v>
      </c>
      <c r="AM707" s="8"/>
      <c r="AN707" s="8"/>
    </row>
    <row r="708" spans="1:40" ht="16" thickBot="1">
      <c r="A708" s="3">
        <v>707</v>
      </c>
      <c r="B708" s="19">
        <v>45960</v>
      </c>
      <c r="C708" s="5" t="s">
        <v>40</v>
      </c>
      <c r="D708" s="7" t="s">
        <v>41</v>
      </c>
      <c r="E708" s="6" t="s">
        <v>42</v>
      </c>
      <c r="F708" s="7" t="s">
        <v>85</v>
      </c>
      <c r="G708" s="10" t="s">
        <v>83</v>
      </c>
      <c r="H708" s="5" t="s">
        <v>84</v>
      </c>
      <c r="I708" s="5">
        <v>4</v>
      </c>
      <c r="J708" s="5">
        <v>10</v>
      </c>
      <c r="K708" s="6">
        <v>29000</v>
      </c>
      <c r="L708" s="5">
        <v>1000</v>
      </c>
      <c r="M708" s="5">
        <v>55</v>
      </c>
      <c r="N708" s="5">
        <v>31</v>
      </c>
      <c r="O708" s="7" t="s">
        <v>237</v>
      </c>
      <c r="P708" s="8"/>
      <c r="Q708" s="35">
        <v>7.6388888888888895E-2</v>
      </c>
      <c r="R708" s="35">
        <v>0.15531249999999999</v>
      </c>
      <c r="S708" s="7">
        <v>40248</v>
      </c>
      <c r="T708" s="35">
        <v>0.3178125</v>
      </c>
      <c r="U708" s="35">
        <v>0.31825231481481481</v>
      </c>
      <c r="V708" s="7">
        <v>40267</v>
      </c>
      <c r="W708" s="7">
        <v>61</v>
      </c>
      <c r="X708" s="7">
        <v>61</v>
      </c>
      <c r="Y708" s="12">
        <v>0</v>
      </c>
      <c r="Z708" s="12">
        <v>19</v>
      </c>
      <c r="AA708" s="12">
        <v>19</v>
      </c>
      <c r="AB708" s="12">
        <v>0</v>
      </c>
      <c r="AC708" s="12">
        <v>0</v>
      </c>
      <c r="AD708" s="13">
        <v>0</v>
      </c>
      <c r="AE708" s="12">
        <v>0</v>
      </c>
      <c r="AF708" s="14">
        <v>0</v>
      </c>
      <c r="AG708" s="5">
        <v>0</v>
      </c>
      <c r="AH708" s="5">
        <v>0</v>
      </c>
      <c r="AI708" s="5">
        <v>0</v>
      </c>
      <c r="AJ708" s="5">
        <v>935.48</v>
      </c>
      <c r="AK708" s="5">
        <v>0</v>
      </c>
      <c r="AL708" s="5">
        <v>935.48</v>
      </c>
      <c r="AM708" s="8"/>
      <c r="AN708" s="8"/>
    </row>
    <row r="709" spans="1:40" ht="16" thickBot="1">
      <c r="A709" s="3">
        <v>708</v>
      </c>
      <c r="B709" s="19">
        <v>45960</v>
      </c>
      <c r="C709" s="5" t="s">
        <v>40</v>
      </c>
      <c r="D709" s="7" t="s">
        <v>41</v>
      </c>
      <c r="E709" s="6" t="s">
        <v>42</v>
      </c>
      <c r="F709" s="7" t="s">
        <v>87</v>
      </c>
      <c r="G709" s="10" t="s">
        <v>83</v>
      </c>
      <c r="H709" s="5" t="s">
        <v>84</v>
      </c>
      <c r="I709" s="5">
        <v>4</v>
      </c>
      <c r="J709" s="5">
        <v>10</v>
      </c>
      <c r="K709" s="6">
        <v>29000</v>
      </c>
      <c r="L709" s="5">
        <v>1000</v>
      </c>
      <c r="M709" s="5">
        <v>55</v>
      </c>
      <c r="N709" s="5">
        <v>31</v>
      </c>
      <c r="O709" s="7" t="s">
        <v>168</v>
      </c>
      <c r="P709" s="8"/>
      <c r="Q709" s="35">
        <v>9.5138888888888884E-2</v>
      </c>
      <c r="R709" s="35">
        <v>0.15732638888888889</v>
      </c>
      <c r="S709" s="7">
        <v>4179</v>
      </c>
      <c r="T709" s="35">
        <v>0.31368055555555557</v>
      </c>
      <c r="U709" s="35">
        <v>0.31388888888888888</v>
      </c>
      <c r="V709" s="7">
        <v>4214</v>
      </c>
      <c r="W709" s="7">
        <v>75</v>
      </c>
      <c r="X709" s="7">
        <v>75</v>
      </c>
      <c r="Y709" s="12">
        <v>0</v>
      </c>
      <c r="Z709" s="12">
        <v>35</v>
      </c>
      <c r="AA709" s="12">
        <v>35</v>
      </c>
      <c r="AB709" s="12">
        <v>0</v>
      </c>
      <c r="AC709" s="12">
        <v>0</v>
      </c>
      <c r="AD709" s="13">
        <v>0</v>
      </c>
      <c r="AE709" s="12">
        <v>0</v>
      </c>
      <c r="AF709" s="14">
        <v>0</v>
      </c>
      <c r="AG709" s="5">
        <v>0</v>
      </c>
      <c r="AH709" s="5">
        <v>0</v>
      </c>
      <c r="AI709" s="5">
        <v>0</v>
      </c>
      <c r="AJ709" s="5">
        <v>935.48</v>
      </c>
      <c r="AK709" s="5">
        <v>0</v>
      </c>
      <c r="AL709" s="5">
        <v>935.48</v>
      </c>
      <c r="AM709" s="8"/>
      <c r="AN709" s="8"/>
    </row>
    <row r="710" spans="1:40" ht="16" thickBot="1">
      <c r="A710" s="3">
        <v>709</v>
      </c>
      <c r="B710" s="19">
        <v>45960</v>
      </c>
      <c r="C710" s="5" t="s">
        <v>40</v>
      </c>
      <c r="D710" s="7" t="s">
        <v>41</v>
      </c>
      <c r="E710" s="6" t="s">
        <v>42</v>
      </c>
      <c r="F710" s="7" t="s">
        <v>89</v>
      </c>
      <c r="G710" s="10" t="s">
        <v>83</v>
      </c>
      <c r="H710" s="5" t="s">
        <v>84</v>
      </c>
      <c r="I710" s="5">
        <v>4</v>
      </c>
      <c r="J710" s="5">
        <v>10</v>
      </c>
      <c r="K710" s="6">
        <v>29000</v>
      </c>
      <c r="L710" s="5">
        <v>1000</v>
      </c>
      <c r="M710" s="5">
        <v>55</v>
      </c>
      <c r="N710" s="5">
        <v>31</v>
      </c>
      <c r="O710" s="7" t="s">
        <v>238</v>
      </c>
      <c r="P710" s="8"/>
      <c r="Q710" s="35">
        <v>8.7500000000000008E-2</v>
      </c>
      <c r="R710" s="35">
        <v>0.15671296296296297</v>
      </c>
      <c r="S710" s="7">
        <v>140027</v>
      </c>
      <c r="T710" s="35">
        <v>0.32924768518518516</v>
      </c>
      <c r="U710" s="35">
        <v>0.32937500000000003</v>
      </c>
      <c r="V710" s="7">
        <v>140048</v>
      </c>
      <c r="W710" s="7">
        <v>59</v>
      </c>
      <c r="X710" s="7">
        <v>59</v>
      </c>
      <c r="Y710" s="12">
        <v>0</v>
      </c>
      <c r="Z710" s="12">
        <v>21</v>
      </c>
      <c r="AA710" s="12">
        <v>21</v>
      </c>
      <c r="AB710" s="12">
        <v>0</v>
      </c>
      <c r="AC710" s="12">
        <v>0</v>
      </c>
      <c r="AD710" s="13">
        <v>0</v>
      </c>
      <c r="AE710" s="12">
        <v>0</v>
      </c>
      <c r="AF710" s="14">
        <v>0</v>
      </c>
      <c r="AG710" s="5">
        <v>0</v>
      </c>
      <c r="AH710" s="5">
        <v>0</v>
      </c>
      <c r="AI710" s="5">
        <v>0</v>
      </c>
      <c r="AJ710" s="5">
        <v>935.48</v>
      </c>
      <c r="AK710" s="5">
        <v>0</v>
      </c>
      <c r="AL710" s="5">
        <v>935.48</v>
      </c>
      <c r="AM710" s="8"/>
      <c r="AN710" s="8"/>
    </row>
    <row r="711" spans="1:40" ht="16" thickBot="1">
      <c r="A711" s="3">
        <v>710</v>
      </c>
      <c r="B711" s="19">
        <v>45961</v>
      </c>
      <c r="C711" s="5" t="s">
        <v>40</v>
      </c>
      <c r="D711" s="7" t="s">
        <v>41</v>
      </c>
      <c r="E711" s="6" t="s">
        <v>42</v>
      </c>
      <c r="F711" s="7" t="s">
        <v>43</v>
      </c>
      <c r="G711" s="5" t="s">
        <v>44</v>
      </c>
      <c r="H711" s="5" t="s">
        <v>45</v>
      </c>
      <c r="I711" s="5">
        <v>4</v>
      </c>
      <c r="J711" s="5">
        <v>8</v>
      </c>
      <c r="K711" s="5">
        <v>25000</v>
      </c>
      <c r="L711" s="5">
        <v>1000</v>
      </c>
      <c r="M711" s="5">
        <v>55</v>
      </c>
      <c r="N711" s="5">
        <v>31</v>
      </c>
      <c r="O711" s="7" t="s">
        <v>46</v>
      </c>
      <c r="P711" s="8"/>
      <c r="Q711" s="35">
        <v>3.9583333333333331E-2</v>
      </c>
      <c r="R711" s="35">
        <v>0.15392361111111111</v>
      </c>
      <c r="S711" s="7">
        <v>58631</v>
      </c>
      <c r="T711" s="35">
        <v>0.29343750000000002</v>
      </c>
      <c r="U711" s="35">
        <v>0.29353009259259261</v>
      </c>
      <c r="V711" s="7">
        <v>58639</v>
      </c>
      <c r="W711" s="7">
        <v>36</v>
      </c>
      <c r="X711" s="7">
        <v>36</v>
      </c>
      <c r="Y711" s="12">
        <v>0</v>
      </c>
      <c r="Z711" s="12">
        <v>8</v>
      </c>
      <c r="AA711" s="12">
        <v>8</v>
      </c>
      <c r="AB711" s="12">
        <v>0</v>
      </c>
      <c r="AC711" s="12">
        <v>0</v>
      </c>
      <c r="AD711" s="13">
        <v>0</v>
      </c>
      <c r="AE711" s="12">
        <v>0</v>
      </c>
      <c r="AF711" s="14">
        <v>0</v>
      </c>
      <c r="AG711" s="5">
        <v>0</v>
      </c>
      <c r="AH711" s="5">
        <v>0</v>
      </c>
      <c r="AI711" s="5">
        <v>0</v>
      </c>
      <c r="AJ711" s="5">
        <v>806.45</v>
      </c>
      <c r="AK711" s="5">
        <v>0</v>
      </c>
      <c r="AL711" s="5">
        <v>806.45</v>
      </c>
      <c r="AM711" s="8"/>
      <c r="AN711" s="8"/>
    </row>
    <row r="712" spans="1:40" ht="16" thickBot="1">
      <c r="A712" s="3">
        <v>711</v>
      </c>
      <c r="B712" s="19">
        <v>45961</v>
      </c>
      <c r="C712" s="5" t="s">
        <v>40</v>
      </c>
      <c r="D712" s="7" t="s">
        <v>41</v>
      </c>
      <c r="E712" s="6" t="s">
        <v>42</v>
      </c>
      <c r="F712" s="7" t="s">
        <v>49</v>
      </c>
      <c r="G712" s="5" t="s">
        <v>44</v>
      </c>
      <c r="H712" s="5" t="s">
        <v>45</v>
      </c>
      <c r="I712" s="5">
        <v>6</v>
      </c>
      <c r="J712" s="5">
        <v>8</v>
      </c>
      <c r="K712" s="5">
        <v>33000</v>
      </c>
      <c r="L712" s="5">
        <v>2000</v>
      </c>
      <c r="M712" s="5">
        <v>55</v>
      </c>
      <c r="N712" s="5">
        <v>31</v>
      </c>
      <c r="O712" s="7" t="s">
        <v>91</v>
      </c>
      <c r="P712" s="8"/>
      <c r="Q712" s="35">
        <v>5.6250000000000001E-2</v>
      </c>
      <c r="R712" s="35">
        <v>0.15129629629629629</v>
      </c>
      <c r="S712" s="7">
        <v>102390</v>
      </c>
      <c r="T712" s="35">
        <v>0.37206018518518519</v>
      </c>
      <c r="U712" s="35">
        <v>0.37223379629629627</v>
      </c>
      <c r="V712" s="7">
        <v>102417</v>
      </c>
      <c r="W712" s="7">
        <v>34</v>
      </c>
      <c r="X712" s="7">
        <v>46</v>
      </c>
      <c r="Y712" s="12">
        <v>-12</v>
      </c>
      <c r="Z712" s="12">
        <v>27</v>
      </c>
      <c r="AA712" s="12">
        <v>27</v>
      </c>
      <c r="AB712" s="12">
        <v>0</v>
      </c>
      <c r="AC712" s="12">
        <v>0</v>
      </c>
      <c r="AD712" s="13">
        <v>0</v>
      </c>
      <c r="AE712" s="12">
        <v>0</v>
      </c>
      <c r="AF712" s="14">
        <v>0</v>
      </c>
      <c r="AG712" s="5">
        <v>0</v>
      </c>
      <c r="AH712" s="5">
        <v>0</v>
      </c>
      <c r="AI712" s="5">
        <v>0</v>
      </c>
      <c r="AJ712" s="5">
        <v>1064.52</v>
      </c>
      <c r="AK712" s="5">
        <v>0</v>
      </c>
      <c r="AL712" s="5">
        <v>1064.52</v>
      </c>
      <c r="AM712" s="8"/>
      <c r="AN712" s="8"/>
    </row>
    <row r="713" spans="1:40" ht="16" thickBot="1">
      <c r="A713" s="3">
        <v>712</v>
      </c>
      <c r="B713" s="19">
        <v>45961</v>
      </c>
      <c r="C713" s="5" t="s">
        <v>40</v>
      </c>
      <c r="D713" s="7" t="s">
        <v>41</v>
      </c>
      <c r="E713" s="6" t="s">
        <v>42</v>
      </c>
      <c r="F713" s="7" t="s">
        <v>51</v>
      </c>
      <c r="G713" s="5" t="s">
        <v>44</v>
      </c>
      <c r="H713" s="5" t="s">
        <v>45</v>
      </c>
      <c r="I713" s="5">
        <v>4</v>
      </c>
      <c r="J713" s="5">
        <v>8</v>
      </c>
      <c r="K713" s="5">
        <v>25000</v>
      </c>
      <c r="L713" s="5">
        <v>1000</v>
      </c>
      <c r="M713" s="5">
        <v>55</v>
      </c>
      <c r="N713" s="5">
        <v>31</v>
      </c>
      <c r="O713" s="7" t="s">
        <v>133</v>
      </c>
      <c r="P713" s="8"/>
      <c r="Q713" s="35">
        <v>0.11597222222222221</v>
      </c>
      <c r="R713" s="35">
        <v>0.15574074074074074</v>
      </c>
      <c r="S713" s="7">
        <v>84681</v>
      </c>
      <c r="T713" s="35">
        <v>0.29311342592592593</v>
      </c>
      <c r="U713" s="35">
        <v>0.29322916666666665</v>
      </c>
      <c r="V713" s="7">
        <v>84694</v>
      </c>
      <c r="W713" s="7">
        <v>27</v>
      </c>
      <c r="X713" s="7">
        <v>27</v>
      </c>
      <c r="Y713" s="12">
        <v>0</v>
      </c>
      <c r="Z713" s="12">
        <v>13</v>
      </c>
      <c r="AA713" s="12">
        <v>13</v>
      </c>
      <c r="AB713" s="12">
        <v>0</v>
      </c>
      <c r="AC713" s="12">
        <v>0</v>
      </c>
      <c r="AD713" s="13">
        <v>0</v>
      </c>
      <c r="AE713" s="12">
        <v>0</v>
      </c>
      <c r="AF713" s="14">
        <v>0</v>
      </c>
      <c r="AG713" s="5">
        <v>0</v>
      </c>
      <c r="AH713" s="5">
        <v>0</v>
      </c>
      <c r="AI713" s="5">
        <v>0</v>
      </c>
      <c r="AJ713" s="5">
        <v>806.45</v>
      </c>
      <c r="AK713" s="5">
        <v>0</v>
      </c>
      <c r="AL713" s="5">
        <v>806.45</v>
      </c>
      <c r="AM713" s="8"/>
      <c r="AN713" s="8"/>
    </row>
    <row r="714" spans="1:40" ht="16" thickBot="1">
      <c r="A714" s="3">
        <v>713</v>
      </c>
      <c r="B714" s="19">
        <v>45961</v>
      </c>
      <c r="C714" s="5" t="s">
        <v>40</v>
      </c>
      <c r="D714" s="7" t="s">
        <v>41</v>
      </c>
      <c r="E714" s="6" t="s">
        <v>42</v>
      </c>
      <c r="F714" s="7" t="s">
        <v>145</v>
      </c>
      <c r="G714" s="5" t="s">
        <v>44</v>
      </c>
      <c r="H714" s="5" t="s">
        <v>45</v>
      </c>
      <c r="I714" s="5">
        <v>4</v>
      </c>
      <c r="J714" s="5">
        <v>8</v>
      </c>
      <c r="K714" s="5">
        <v>25000</v>
      </c>
      <c r="L714" s="5">
        <v>1000</v>
      </c>
      <c r="M714" s="5">
        <v>55</v>
      </c>
      <c r="N714" s="5">
        <v>31</v>
      </c>
      <c r="O714" s="7" t="s">
        <v>127</v>
      </c>
      <c r="P714" s="8"/>
      <c r="Q714" s="35">
        <v>4.5833333333333337E-2</v>
      </c>
      <c r="R714" s="35">
        <v>0.14608796296296298</v>
      </c>
      <c r="S714" s="7">
        <v>39868</v>
      </c>
      <c r="T714" s="35">
        <v>0.2928587962962963</v>
      </c>
      <c r="U714" s="35">
        <v>0.29296296296296298</v>
      </c>
      <c r="V714" s="7">
        <v>39877</v>
      </c>
      <c r="W714" s="7">
        <v>35</v>
      </c>
      <c r="X714" s="7">
        <v>37</v>
      </c>
      <c r="Y714" s="12">
        <v>-2</v>
      </c>
      <c r="Z714" s="12">
        <v>9</v>
      </c>
      <c r="AA714" s="12">
        <v>9</v>
      </c>
      <c r="AB714" s="12">
        <v>0</v>
      </c>
      <c r="AC714" s="12">
        <v>0</v>
      </c>
      <c r="AD714" s="13">
        <v>0</v>
      </c>
      <c r="AE714" s="12">
        <v>0</v>
      </c>
      <c r="AF714" s="14">
        <v>0</v>
      </c>
      <c r="AG714" s="5">
        <v>0</v>
      </c>
      <c r="AH714" s="5">
        <v>0</v>
      </c>
      <c r="AI714" s="5">
        <v>0</v>
      </c>
      <c r="AJ714" s="5">
        <v>806.45</v>
      </c>
      <c r="AK714" s="5">
        <v>0</v>
      </c>
      <c r="AL714" s="5">
        <v>806.45</v>
      </c>
      <c r="AM714" s="8"/>
      <c r="AN714" s="8"/>
    </row>
    <row r="715" spans="1:40" ht="16" thickBot="1">
      <c r="A715" s="3">
        <v>714</v>
      </c>
      <c r="B715" s="19">
        <v>45961</v>
      </c>
      <c r="C715" s="5" t="s">
        <v>40</v>
      </c>
      <c r="D715" s="7" t="s">
        <v>41</v>
      </c>
      <c r="E715" s="6" t="s">
        <v>42</v>
      </c>
      <c r="F715" s="7" t="s">
        <v>53</v>
      </c>
      <c r="G715" s="5" t="s">
        <v>44</v>
      </c>
      <c r="H715" s="5" t="s">
        <v>45</v>
      </c>
      <c r="I715" s="5">
        <v>4</v>
      </c>
      <c r="J715" s="5">
        <v>8</v>
      </c>
      <c r="K715" s="5">
        <v>25000</v>
      </c>
      <c r="L715" s="5">
        <v>1000</v>
      </c>
      <c r="M715" s="5">
        <v>55</v>
      </c>
      <c r="N715" s="5">
        <v>31</v>
      </c>
      <c r="O715" s="7" t="s">
        <v>104</v>
      </c>
      <c r="P715" s="8"/>
      <c r="Q715" s="35">
        <v>0.11458333333333333</v>
      </c>
      <c r="R715" s="35">
        <v>0.1617824074074074</v>
      </c>
      <c r="S715" s="7">
        <v>13419</v>
      </c>
      <c r="T715" s="35">
        <v>0.34061342592592592</v>
      </c>
      <c r="U715" s="35">
        <v>0.34069444444444441</v>
      </c>
      <c r="V715" s="7">
        <v>13435</v>
      </c>
      <c r="W715" s="7">
        <v>47</v>
      </c>
      <c r="X715" s="7">
        <v>47</v>
      </c>
      <c r="Y715" s="12">
        <v>0</v>
      </c>
      <c r="Z715" s="12">
        <v>16</v>
      </c>
      <c r="AA715" s="12">
        <v>16</v>
      </c>
      <c r="AB715" s="12">
        <v>0</v>
      </c>
      <c r="AC715" s="12">
        <v>0</v>
      </c>
      <c r="AD715" s="13">
        <v>1</v>
      </c>
      <c r="AE715" s="12">
        <v>150</v>
      </c>
      <c r="AF715" s="14">
        <v>0</v>
      </c>
      <c r="AG715" s="5">
        <v>0</v>
      </c>
      <c r="AH715" s="5">
        <v>0</v>
      </c>
      <c r="AI715" s="5">
        <v>0</v>
      </c>
      <c r="AJ715" s="5">
        <v>956.45</v>
      </c>
      <c r="AK715" s="5">
        <v>0</v>
      </c>
      <c r="AL715" s="5">
        <v>956.45</v>
      </c>
      <c r="AM715" s="8"/>
      <c r="AN715" s="8"/>
    </row>
    <row r="716" spans="1:40" ht="16" thickBot="1">
      <c r="A716" s="3">
        <v>715</v>
      </c>
      <c r="B716" s="19">
        <v>45961</v>
      </c>
      <c r="C716" s="5" t="s">
        <v>40</v>
      </c>
      <c r="D716" s="7" t="s">
        <v>41</v>
      </c>
      <c r="E716" s="6" t="s">
        <v>42</v>
      </c>
      <c r="F716" s="7" t="s">
        <v>55</v>
      </c>
      <c r="G716" s="5" t="s">
        <v>44</v>
      </c>
      <c r="H716" s="5" t="s">
        <v>45</v>
      </c>
      <c r="I716" s="5">
        <v>4</v>
      </c>
      <c r="J716" s="5">
        <v>8</v>
      </c>
      <c r="K716" s="5">
        <v>25000</v>
      </c>
      <c r="L716" s="5">
        <v>1000</v>
      </c>
      <c r="M716" s="5">
        <v>55</v>
      </c>
      <c r="N716" s="5">
        <v>31</v>
      </c>
      <c r="O716" s="7" t="s">
        <v>56</v>
      </c>
      <c r="P716" s="8"/>
      <c r="Q716" s="35">
        <v>9.5833333333333326E-2</v>
      </c>
      <c r="R716" s="35">
        <v>0.15790509259259258</v>
      </c>
      <c r="S716" s="7">
        <v>145660</v>
      </c>
      <c r="T716" s="35">
        <v>0.2925462962962963</v>
      </c>
      <c r="U716" s="35">
        <v>0.29265046296296299</v>
      </c>
      <c r="V716" s="7">
        <v>145675</v>
      </c>
      <c r="W716" s="7">
        <v>31</v>
      </c>
      <c r="X716" s="7">
        <v>31</v>
      </c>
      <c r="Y716" s="12">
        <v>0</v>
      </c>
      <c r="Z716" s="12">
        <v>15</v>
      </c>
      <c r="AA716" s="12">
        <v>15</v>
      </c>
      <c r="AB716" s="12">
        <v>0</v>
      </c>
      <c r="AC716" s="12">
        <v>0</v>
      </c>
      <c r="AD716" s="13">
        <v>0</v>
      </c>
      <c r="AE716" s="12">
        <v>0</v>
      </c>
      <c r="AF716" s="14">
        <v>0</v>
      </c>
      <c r="AG716" s="5">
        <v>0</v>
      </c>
      <c r="AH716" s="5">
        <v>0</v>
      </c>
      <c r="AI716" s="5">
        <v>0</v>
      </c>
      <c r="AJ716" s="5">
        <v>806.45</v>
      </c>
      <c r="AK716" s="5">
        <v>0</v>
      </c>
      <c r="AL716" s="5">
        <v>806.45</v>
      </c>
      <c r="AM716" s="8"/>
      <c r="AN716" s="8"/>
    </row>
    <row r="717" spans="1:40" ht="16" thickBot="1">
      <c r="A717" s="3">
        <v>716</v>
      </c>
      <c r="B717" s="19">
        <v>45961</v>
      </c>
      <c r="C717" s="5" t="s">
        <v>40</v>
      </c>
      <c r="D717" s="7" t="s">
        <v>41</v>
      </c>
      <c r="E717" s="6" t="s">
        <v>42</v>
      </c>
      <c r="F717" s="7" t="s">
        <v>176</v>
      </c>
      <c r="G717" s="5" t="s">
        <v>44</v>
      </c>
      <c r="H717" s="5" t="s">
        <v>45</v>
      </c>
      <c r="I717" s="5">
        <v>4</v>
      </c>
      <c r="J717" s="5">
        <v>8</v>
      </c>
      <c r="K717" s="5">
        <v>25000</v>
      </c>
      <c r="L717" s="5">
        <v>1000</v>
      </c>
      <c r="M717" s="5">
        <v>55</v>
      </c>
      <c r="N717" s="5">
        <v>31</v>
      </c>
      <c r="O717" s="7" t="s">
        <v>155</v>
      </c>
      <c r="P717" s="8"/>
      <c r="Q717" s="35">
        <v>3.6805555555555557E-2</v>
      </c>
      <c r="R717" s="35">
        <v>0.15177083333333333</v>
      </c>
      <c r="S717" s="7">
        <v>166629</v>
      </c>
      <c r="T717" s="35">
        <v>0.33377314814814812</v>
      </c>
      <c r="U717" s="35">
        <v>0.33387731481481481</v>
      </c>
      <c r="V717" s="7">
        <v>166649</v>
      </c>
      <c r="W717" s="7">
        <v>22</v>
      </c>
      <c r="X717" s="7">
        <v>22</v>
      </c>
      <c r="Y717" s="12">
        <v>0</v>
      </c>
      <c r="Z717" s="12">
        <v>20</v>
      </c>
      <c r="AA717" s="12">
        <v>20</v>
      </c>
      <c r="AB717" s="12">
        <v>0</v>
      </c>
      <c r="AC717" s="12">
        <v>0</v>
      </c>
      <c r="AD717" s="13">
        <v>0</v>
      </c>
      <c r="AE717" s="12">
        <v>0</v>
      </c>
      <c r="AF717" s="14">
        <v>0</v>
      </c>
      <c r="AG717" s="5">
        <v>0</v>
      </c>
      <c r="AH717" s="5">
        <v>0</v>
      </c>
      <c r="AI717" s="5">
        <v>0</v>
      </c>
      <c r="AJ717" s="5">
        <v>806.45</v>
      </c>
      <c r="AK717" s="5">
        <v>0</v>
      </c>
      <c r="AL717" s="5">
        <v>806.45</v>
      </c>
      <c r="AM717" s="8"/>
      <c r="AN717" s="8"/>
    </row>
    <row r="718" spans="1:40" ht="16" thickBot="1">
      <c r="A718" s="3">
        <v>717</v>
      </c>
      <c r="B718" s="19">
        <v>45961</v>
      </c>
      <c r="C718" s="5" t="s">
        <v>40</v>
      </c>
      <c r="D718" s="7" t="s">
        <v>41</v>
      </c>
      <c r="E718" s="6" t="s">
        <v>42</v>
      </c>
      <c r="F718" s="7" t="s">
        <v>182</v>
      </c>
      <c r="G718" s="5" t="s">
        <v>44</v>
      </c>
      <c r="H718" s="5" t="s">
        <v>45</v>
      </c>
      <c r="I718" s="5">
        <v>4</v>
      </c>
      <c r="J718" s="5">
        <v>8</v>
      </c>
      <c r="K718" s="5">
        <v>25000</v>
      </c>
      <c r="L718" s="5">
        <v>1000</v>
      </c>
      <c r="M718" s="5">
        <v>55</v>
      </c>
      <c r="N718" s="5">
        <v>31</v>
      </c>
      <c r="O718" s="7" t="s">
        <v>152</v>
      </c>
      <c r="P718" s="8"/>
      <c r="Q718" s="35">
        <v>7.4305555555555555E-2</v>
      </c>
      <c r="R718" s="35">
        <v>0.15150462962962963</v>
      </c>
      <c r="S718" s="7">
        <v>117295</v>
      </c>
      <c r="T718" s="35">
        <v>0.33403935185185185</v>
      </c>
      <c r="U718" s="35">
        <v>0.33412037037037035</v>
      </c>
      <c r="V718" s="7">
        <v>117315</v>
      </c>
      <c r="W718" s="7">
        <v>61</v>
      </c>
      <c r="X718" s="7">
        <v>61</v>
      </c>
      <c r="Y718" s="12">
        <v>0</v>
      </c>
      <c r="Z718" s="12">
        <v>20</v>
      </c>
      <c r="AA718" s="12">
        <v>20</v>
      </c>
      <c r="AB718" s="12">
        <v>0</v>
      </c>
      <c r="AC718" s="12">
        <v>0</v>
      </c>
      <c r="AD718" s="13">
        <v>1</v>
      </c>
      <c r="AE718" s="12">
        <v>150</v>
      </c>
      <c r="AF718" s="14">
        <v>0</v>
      </c>
      <c r="AG718" s="5">
        <v>0</v>
      </c>
      <c r="AH718" s="5">
        <v>0</v>
      </c>
      <c r="AI718" s="5">
        <v>0</v>
      </c>
      <c r="AJ718" s="5">
        <v>956.45</v>
      </c>
      <c r="AK718" s="5">
        <v>0</v>
      </c>
      <c r="AL718" s="5">
        <v>956.45</v>
      </c>
      <c r="AM718" s="8"/>
      <c r="AN718" s="8"/>
    </row>
    <row r="719" spans="1:40" ht="16" thickBot="1">
      <c r="A719" s="3">
        <v>718</v>
      </c>
      <c r="B719" s="19">
        <v>45961</v>
      </c>
      <c r="C719" s="5" t="s">
        <v>40</v>
      </c>
      <c r="D719" s="7" t="s">
        <v>41</v>
      </c>
      <c r="E719" s="6" t="s">
        <v>42</v>
      </c>
      <c r="F719" s="7" t="s">
        <v>57</v>
      </c>
      <c r="G719" s="5" t="s">
        <v>44</v>
      </c>
      <c r="H719" s="5" t="s">
        <v>45</v>
      </c>
      <c r="I719" s="5">
        <v>4</v>
      </c>
      <c r="J719" s="5">
        <v>8</v>
      </c>
      <c r="K719" s="5">
        <v>25000</v>
      </c>
      <c r="L719" s="5">
        <v>1000</v>
      </c>
      <c r="M719" s="5">
        <v>55</v>
      </c>
      <c r="N719" s="5">
        <v>31</v>
      </c>
      <c r="O719" s="7" t="s">
        <v>102</v>
      </c>
      <c r="P719" s="8"/>
      <c r="Q719" s="35">
        <v>3.7499999999999999E-2</v>
      </c>
      <c r="R719" s="35">
        <v>0.15266203703703704</v>
      </c>
      <c r="S719" s="7">
        <v>146956</v>
      </c>
      <c r="T719" s="35">
        <v>0.29366898148148152</v>
      </c>
      <c r="U719" s="35">
        <v>0.29381944444444447</v>
      </c>
      <c r="V719" s="7">
        <v>146980</v>
      </c>
      <c r="W719" s="7">
        <v>44</v>
      </c>
      <c r="X719" s="7">
        <v>44</v>
      </c>
      <c r="Y719" s="12">
        <v>0</v>
      </c>
      <c r="Z719" s="12">
        <v>24</v>
      </c>
      <c r="AA719" s="12">
        <v>24</v>
      </c>
      <c r="AB719" s="12">
        <v>0</v>
      </c>
      <c r="AC719" s="12">
        <v>0</v>
      </c>
      <c r="AD719" s="13">
        <v>0</v>
      </c>
      <c r="AE719" s="12">
        <v>0</v>
      </c>
      <c r="AF719" s="14">
        <v>0</v>
      </c>
      <c r="AG719" s="5">
        <v>0</v>
      </c>
      <c r="AH719" s="5">
        <v>0</v>
      </c>
      <c r="AI719" s="5">
        <v>0</v>
      </c>
      <c r="AJ719" s="5">
        <v>806.45</v>
      </c>
      <c r="AK719" s="5">
        <v>0</v>
      </c>
      <c r="AL719" s="5">
        <v>806.45</v>
      </c>
      <c r="AM719" s="8"/>
      <c r="AN719" s="8"/>
    </row>
    <row r="720" spans="1:40" ht="16" thickBot="1">
      <c r="A720" s="3">
        <v>719</v>
      </c>
      <c r="B720" s="19">
        <v>45961</v>
      </c>
      <c r="C720" s="5" t="s">
        <v>40</v>
      </c>
      <c r="D720" s="7" t="s">
        <v>41</v>
      </c>
      <c r="E720" s="6" t="s">
        <v>42</v>
      </c>
      <c r="F720" s="7" t="s">
        <v>59</v>
      </c>
      <c r="G720" s="5" t="s">
        <v>44</v>
      </c>
      <c r="H720" s="5" t="s">
        <v>45</v>
      </c>
      <c r="I720" s="5">
        <v>4</v>
      </c>
      <c r="J720" s="5">
        <v>8</v>
      </c>
      <c r="K720" s="5">
        <v>25000</v>
      </c>
      <c r="L720" s="5">
        <v>1000</v>
      </c>
      <c r="M720" s="5">
        <v>55</v>
      </c>
      <c r="N720" s="5">
        <v>31</v>
      </c>
      <c r="O720" s="7" t="s">
        <v>142</v>
      </c>
      <c r="P720" s="8"/>
      <c r="Q720" s="35">
        <v>0.12361111111111112</v>
      </c>
      <c r="R720" s="35">
        <v>0.15081018518518519</v>
      </c>
      <c r="S720" s="7">
        <v>160550</v>
      </c>
      <c r="T720" s="35">
        <v>0.30053240740740744</v>
      </c>
      <c r="U720" s="35">
        <v>0.30062499999999998</v>
      </c>
      <c r="V720" s="7">
        <v>160572</v>
      </c>
      <c r="W720" s="7">
        <v>24</v>
      </c>
      <c r="X720" s="7">
        <v>20</v>
      </c>
      <c r="Y720" s="12">
        <v>4</v>
      </c>
      <c r="Z720" s="12">
        <v>22</v>
      </c>
      <c r="AA720" s="12">
        <v>22</v>
      </c>
      <c r="AB720" s="12">
        <v>0</v>
      </c>
      <c r="AC720" s="12">
        <v>0</v>
      </c>
      <c r="AD720" s="13">
        <v>0</v>
      </c>
      <c r="AE720" s="12">
        <v>0</v>
      </c>
      <c r="AF720" s="14">
        <v>0</v>
      </c>
      <c r="AG720" s="5">
        <v>0</v>
      </c>
      <c r="AH720" s="5">
        <v>0</v>
      </c>
      <c r="AI720" s="5">
        <v>0</v>
      </c>
      <c r="AJ720" s="5">
        <v>806.45</v>
      </c>
      <c r="AK720" s="5">
        <v>0</v>
      </c>
      <c r="AL720" s="5">
        <v>806.45</v>
      </c>
      <c r="AM720" s="8"/>
      <c r="AN720" s="8"/>
    </row>
    <row r="721" spans="1:40" ht="16" thickBot="1">
      <c r="A721" s="3">
        <v>720</v>
      </c>
      <c r="B721" s="19">
        <v>45961</v>
      </c>
      <c r="C721" s="5" t="s">
        <v>40</v>
      </c>
      <c r="D721" s="7" t="s">
        <v>41</v>
      </c>
      <c r="E721" s="6" t="s">
        <v>42</v>
      </c>
      <c r="F721" s="7" t="s">
        <v>60</v>
      </c>
      <c r="G721" s="5" t="s">
        <v>44</v>
      </c>
      <c r="H721" s="5" t="s">
        <v>45</v>
      </c>
      <c r="I721" s="5">
        <v>4</v>
      </c>
      <c r="J721" s="5">
        <v>8</v>
      </c>
      <c r="K721" s="5">
        <v>25000</v>
      </c>
      <c r="L721" s="5">
        <v>1000</v>
      </c>
      <c r="M721" s="5">
        <v>55</v>
      </c>
      <c r="N721" s="5">
        <v>31</v>
      </c>
      <c r="O721" s="7" t="s">
        <v>136</v>
      </c>
      <c r="P721" s="8"/>
      <c r="Q721" s="35">
        <v>4.1666666666666664E-2</v>
      </c>
      <c r="R721" s="35">
        <v>0.15877314814814816</v>
      </c>
      <c r="S721" s="7">
        <v>115176</v>
      </c>
      <c r="T721" s="35">
        <v>0.33180555555555552</v>
      </c>
      <c r="U721" s="35">
        <v>0.33189814814814816</v>
      </c>
      <c r="V721" s="7">
        <v>115191</v>
      </c>
      <c r="W721" s="7">
        <v>41</v>
      </c>
      <c r="X721" s="7">
        <v>41</v>
      </c>
      <c r="Y721" s="12">
        <v>0</v>
      </c>
      <c r="Z721" s="12">
        <v>15</v>
      </c>
      <c r="AA721" s="12">
        <v>15</v>
      </c>
      <c r="AB721" s="12">
        <v>0</v>
      </c>
      <c r="AC721" s="12">
        <v>0</v>
      </c>
      <c r="AD721" s="13">
        <v>0</v>
      </c>
      <c r="AE721" s="12">
        <v>0</v>
      </c>
      <c r="AF721" s="14">
        <v>0</v>
      </c>
      <c r="AG721" s="5">
        <v>0</v>
      </c>
      <c r="AH721" s="5">
        <v>0</v>
      </c>
      <c r="AI721" s="5">
        <v>0</v>
      </c>
      <c r="AJ721" s="5">
        <v>806.45</v>
      </c>
      <c r="AK721" s="5">
        <v>0</v>
      </c>
      <c r="AL721" s="5">
        <v>806.45</v>
      </c>
      <c r="AM721" s="8"/>
      <c r="AN721" s="8"/>
    </row>
    <row r="722" spans="1:40" ht="16" thickBot="1">
      <c r="A722" s="3">
        <v>721</v>
      </c>
      <c r="B722" s="19">
        <v>45961</v>
      </c>
      <c r="C722" s="5" t="s">
        <v>40</v>
      </c>
      <c r="D722" s="7" t="s">
        <v>41</v>
      </c>
      <c r="E722" s="6" t="s">
        <v>42</v>
      </c>
      <c r="F722" s="7" t="s">
        <v>97</v>
      </c>
      <c r="G722" s="5" t="s">
        <v>44</v>
      </c>
      <c r="H722" s="5" t="s">
        <v>45</v>
      </c>
      <c r="I722" s="5">
        <v>4</v>
      </c>
      <c r="J722" s="5">
        <v>8</v>
      </c>
      <c r="K722" s="5">
        <v>25000</v>
      </c>
      <c r="L722" s="5">
        <v>1000</v>
      </c>
      <c r="M722" s="5">
        <v>55</v>
      </c>
      <c r="N722" s="5">
        <v>31</v>
      </c>
      <c r="O722" s="7" t="s">
        <v>183</v>
      </c>
      <c r="P722" s="8"/>
      <c r="Q722" s="35">
        <v>0.10347222222222223</v>
      </c>
      <c r="R722" s="35">
        <v>0.15480324074074073</v>
      </c>
      <c r="S722" s="7">
        <v>79711</v>
      </c>
      <c r="T722" s="35">
        <v>0.34376157407407404</v>
      </c>
      <c r="U722" s="35">
        <v>0.34387731481481482</v>
      </c>
      <c r="V722" s="7">
        <v>79737</v>
      </c>
      <c r="W722" s="7">
        <v>42</v>
      </c>
      <c r="X722" s="7">
        <v>42</v>
      </c>
      <c r="Y722" s="12">
        <v>0</v>
      </c>
      <c r="Z722" s="12">
        <v>26</v>
      </c>
      <c r="AA722" s="12">
        <v>26</v>
      </c>
      <c r="AB722" s="12">
        <v>0</v>
      </c>
      <c r="AC722" s="12">
        <v>0</v>
      </c>
      <c r="AD722" s="13">
        <v>1</v>
      </c>
      <c r="AE722" s="12">
        <v>150</v>
      </c>
      <c r="AF722" s="14">
        <v>0</v>
      </c>
      <c r="AG722" s="5">
        <v>0</v>
      </c>
      <c r="AH722" s="5">
        <v>0</v>
      </c>
      <c r="AI722" s="5">
        <v>0</v>
      </c>
      <c r="AJ722" s="5">
        <v>956.45</v>
      </c>
      <c r="AK722" s="5">
        <v>0</v>
      </c>
      <c r="AL722" s="5">
        <v>956.45</v>
      </c>
      <c r="AM722" s="8"/>
      <c r="AN722" s="8"/>
    </row>
    <row r="723" spans="1:40" ht="16" thickBot="1">
      <c r="A723" s="3">
        <v>722</v>
      </c>
      <c r="B723" s="19">
        <v>45961</v>
      </c>
      <c r="C723" s="5" t="s">
        <v>40</v>
      </c>
      <c r="D723" s="7" t="s">
        <v>41</v>
      </c>
      <c r="E723" s="6" t="s">
        <v>42</v>
      </c>
      <c r="F723" s="7" t="s">
        <v>62</v>
      </c>
      <c r="G723" s="5" t="s">
        <v>44</v>
      </c>
      <c r="H723" s="5" t="s">
        <v>45</v>
      </c>
      <c r="I723" s="5">
        <v>6</v>
      </c>
      <c r="J723" s="5">
        <v>8</v>
      </c>
      <c r="K723" s="5">
        <v>33000</v>
      </c>
      <c r="L723" s="5">
        <v>2000</v>
      </c>
      <c r="M723" s="5">
        <v>55</v>
      </c>
      <c r="N723" s="5">
        <v>31</v>
      </c>
      <c r="O723" s="7" t="s">
        <v>63</v>
      </c>
      <c r="P723" s="8"/>
      <c r="Q723" s="35">
        <v>3.6111111111111115E-2</v>
      </c>
      <c r="R723" s="35">
        <v>0.15248842592592593</v>
      </c>
      <c r="S723" s="7">
        <v>49163</v>
      </c>
      <c r="T723" s="35">
        <v>0.44423611111111111</v>
      </c>
      <c r="U723" s="35">
        <v>0.44469907407407411</v>
      </c>
      <c r="V723" s="7">
        <v>49209</v>
      </c>
      <c r="W723" s="7">
        <v>20</v>
      </c>
      <c r="X723" s="7">
        <v>36</v>
      </c>
      <c r="Y723" s="12">
        <v>-16</v>
      </c>
      <c r="Z723" s="12">
        <v>46</v>
      </c>
      <c r="AA723" s="12">
        <v>46</v>
      </c>
      <c r="AB723" s="12">
        <v>0</v>
      </c>
      <c r="AC723" s="12">
        <v>0</v>
      </c>
      <c r="AD723" s="13">
        <v>2</v>
      </c>
      <c r="AE723" s="12">
        <v>300</v>
      </c>
      <c r="AF723" s="14">
        <v>0</v>
      </c>
      <c r="AG723" s="5">
        <v>0</v>
      </c>
      <c r="AH723" s="5">
        <v>0</v>
      </c>
      <c r="AI723" s="5">
        <v>0</v>
      </c>
      <c r="AJ723" s="5">
        <v>1364.52</v>
      </c>
      <c r="AK723" s="5">
        <v>0</v>
      </c>
      <c r="AL723" s="5">
        <v>1364.52</v>
      </c>
      <c r="AM723" s="8"/>
      <c r="AN723" s="8"/>
    </row>
    <row r="724" spans="1:40" ht="16" thickBot="1">
      <c r="A724" s="3">
        <v>723</v>
      </c>
      <c r="B724" s="19">
        <v>45961</v>
      </c>
      <c r="C724" s="5" t="s">
        <v>40</v>
      </c>
      <c r="D724" s="7" t="s">
        <v>41</v>
      </c>
      <c r="E724" s="6" t="s">
        <v>42</v>
      </c>
      <c r="F724" s="7" t="s">
        <v>101</v>
      </c>
      <c r="G724" s="5" t="s">
        <v>44</v>
      </c>
      <c r="H724" s="5" t="s">
        <v>45</v>
      </c>
      <c r="I724" s="5">
        <v>4</v>
      </c>
      <c r="J724" s="5">
        <v>8</v>
      </c>
      <c r="K724" s="5">
        <v>25000</v>
      </c>
      <c r="L724" s="5">
        <v>1000</v>
      </c>
      <c r="M724" s="5">
        <v>55</v>
      </c>
      <c r="N724" s="5">
        <v>31</v>
      </c>
      <c r="O724" s="7" t="s">
        <v>79</v>
      </c>
      <c r="P724" s="8"/>
      <c r="Q724" s="35">
        <v>5.2777777777777778E-2</v>
      </c>
      <c r="R724" s="35">
        <v>0.15145833333333333</v>
      </c>
      <c r="S724" s="7">
        <v>119302</v>
      </c>
      <c r="T724" s="35">
        <v>0.34182870370370372</v>
      </c>
      <c r="U724" s="35">
        <v>0.35582175925925924</v>
      </c>
      <c r="V724" s="7">
        <v>119332</v>
      </c>
      <c r="W724" s="7">
        <v>67</v>
      </c>
      <c r="X724" s="7">
        <v>92</v>
      </c>
      <c r="Y724" s="12">
        <v>-25</v>
      </c>
      <c r="Z724" s="12">
        <v>30</v>
      </c>
      <c r="AA724" s="12">
        <v>30</v>
      </c>
      <c r="AB724" s="12">
        <v>0</v>
      </c>
      <c r="AC724" s="12">
        <v>0</v>
      </c>
      <c r="AD724" s="13">
        <v>1</v>
      </c>
      <c r="AE724" s="12">
        <v>150</v>
      </c>
      <c r="AF724" s="14">
        <v>0</v>
      </c>
      <c r="AG724" s="5">
        <v>0</v>
      </c>
      <c r="AH724" s="5">
        <v>0</v>
      </c>
      <c r="AI724" s="5">
        <v>0</v>
      </c>
      <c r="AJ724" s="5">
        <v>956.45</v>
      </c>
      <c r="AK724" s="5">
        <v>0</v>
      </c>
      <c r="AL724" s="5">
        <v>956.45</v>
      </c>
      <c r="AM724" s="8"/>
      <c r="AN724" s="8"/>
    </row>
    <row r="725" spans="1:40" ht="16" thickBot="1">
      <c r="A725" s="3">
        <v>724</v>
      </c>
      <c r="B725" s="19">
        <v>45961</v>
      </c>
      <c r="C725" s="5" t="s">
        <v>40</v>
      </c>
      <c r="D725" s="7" t="s">
        <v>41</v>
      </c>
      <c r="E725" s="6" t="s">
        <v>42</v>
      </c>
      <c r="F725" s="7" t="s">
        <v>185</v>
      </c>
      <c r="G725" s="5" t="s">
        <v>44</v>
      </c>
      <c r="H725" s="5" t="s">
        <v>45</v>
      </c>
      <c r="I725" s="5">
        <v>4</v>
      </c>
      <c r="J725" s="5">
        <v>8</v>
      </c>
      <c r="K725" s="5">
        <v>25000</v>
      </c>
      <c r="L725" s="5">
        <v>1000</v>
      </c>
      <c r="M725" s="5">
        <v>55</v>
      </c>
      <c r="N725" s="5">
        <v>31</v>
      </c>
      <c r="O725" s="7" t="s">
        <v>135</v>
      </c>
      <c r="P725" s="8"/>
      <c r="Q725" s="35">
        <v>3.7499999999999999E-2</v>
      </c>
      <c r="R725" s="35">
        <v>0.15038194444444444</v>
      </c>
      <c r="S725" s="7">
        <v>66773</v>
      </c>
      <c r="T725" s="35">
        <v>0.32187499999999997</v>
      </c>
      <c r="U725" s="35">
        <v>0.32208333333333333</v>
      </c>
      <c r="V725" s="7">
        <v>66782</v>
      </c>
      <c r="W725" s="7">
        <v>42</v>
      </c>
      <c r="X725" s="7">
        <v>33</v>
      </c>
      <c r="Y725" s="12">
        <v>9</v>
      </c>
      <c r="Z725" s="12">
        <v>9</v>
      </c>
      <c r="AA725" s="12">
        <v>9</v>
      </c>
      <c r="AB725" s="12">
        <v>0</v>
      </c>
      <c r="AC725" s="12">
        <v>0</v>
      </c>
      <c r="AD725" s="13">
        <v>0</v>
      </c>
      <c r="AE725" s="12">
        <v>0</v>
      </c>
      <c r="AF725" s="14">
        <v>0</v>
      </c>
      <c r="AG725" s="5">
        <v>0</v>
      </c>
      <c r="AH725" s="5">
        <v>0</v>
      </c>
      <c r="AI725" s="5">
        <v>0</v>
      </c>
      <c r="AJ725" s="5">
        <v>806.45</v>
      </c>
      <c r="AK725" s="5">
        <v>0</v>
      </c>
      <c r="AL725" s="5">
        <v>806.45</v>
      </c>
      <c r="AM725" s="8"/>
      <c r="AN725" s="8"/>
    </row>
    <row r="726" spans="1:40" ht="16" thickBot="1">
      <c r="A726" s="3">
        <v>725</v>
      </c>
      <c r="B726" s="19">
        <v>45961</v>
      </c>
      <c r="C726" s="5" t="s">
        <v>40</v>
      </c>
      <c r="D726" s="7" t="s">
        <v>41</v>
      </c>
      <c r="E726" s="6" t="s">
        <v>42</v>
      </c>
      <c r="F726" s="7" t="s">
        <v>178</v>
      </c>
      <c r="G726" s="5" t="s">
        <v>44</v>
      </c>
      <c r="H726" s="5" t="s">
        <v>45</v>
      </c>
      <c r="I726" s="5">
        <v>4</v>
      </c>
      <c r="J726" s="5">
        <v>8</v>
      </c>
      <c r="K726" s="5">
        <v>25000</v>
      </c>
      <c r="L726" s="5">
        <v>1000</v>
      </c>
      <c r="M726" s="5">
        <v>55</v>
      </c>
      <c r="N726" s="5">
        <v>31</v>
      </c>
      <c r="O726" s="7" t="s">
        <v>106</v>
      </c>
      <c r="P726" s="8"/>
      <c r="Q726" s="35">
        <v>5.7638888888888885E-2</v>
      </c>
      <c r="R726" s="35">
        <v>0.14849537037037039</v>
      </c>
      <c r="S726" s="7">
        <v>45847</v>
      </c>
      <c r="T726" s="35">
        <v>0.30842592592592594</v>
      </c>
      <c r="U726" s="35">
        <v>0.30850694444444443</v>
      </c>
      <c r="V726" s="7">
        <v>45869</v>
      </c>
      <c r="W726" s="7">
        <v>46</v>
      </c>
      <c r="X726" s="7">
        <v>46</v>
      </c>
      <c r="Y726" s="12">
        <v>0</v>
      </c>
      <c r="Z726" s="12">
        <v>22</v>
      </c>
      <c r="AA726" s="12">
        <v>22</v>
      </c>
      <c r="AB726" s="12">
        <v>0</v>
      </c>
      <c r="AC726" s="12">
        <v>0</v>
      </c>
      <c r="AD726" s="13">
        <v>0</v>
      </c>
      <c r="AE726" s="12">
        <v>0</v>
      </c>
      <c r="AF726" s="14">
        <v>0</v>
      </c>
      <c r="AG726" s="5">
        <v>0</v>
      </c>
      <c r="AH726" s="5">
        <v>0</v>
      </c>
      <c r="AI726" s="5">
        <v>0</v>
      </c>
      <c r="AJ726" s="5">
        <v>806.45</v>
      </c>
      <c r="AK726" s="5">
        <v>0</v>
      </c>
      <c r="AL726" s="5">
        <v>806.45</v>
      </c>
      <c r="AM726" s="8"/>
      <c r="AN726" s="8"/>
    </row>
    <row r="727" spans="1:40" ht="16" thickBot="1">
      <c r="A727" s="3">
        <v>726</v>
      </c>
      <c r="B727" s="19">
        <v>45961</v>
      </c>
      <c r="C727" s="5" t="s">
        <v>40</v>
      </c>
      <c r="D727" s="7" t="s">
        <v>41</v>
      </c>
      <c r="E727" s="6" t="s">
        <v>42</v>
      </c>
      <c r="F727" s="7" t="s">
        <v>68</v>
      </c>
      <c r="G727" s="5" t="s">
        <v>44</v>
      </c>
      <c r="H727" s="5" t="s">
        <v>45</v>
      </c>
      <c r="I727" s="5">
        <v>4</v>
      </c>
      <c r="J727" s="5">
        <v>8</v>
      </c>
      <c r="K727" s="5">
        <v>25000</v>
      </c>
      <c r="L727" s="5">
        <v>1000</v>
      </c>
      <c r="M727" s="5">
        <v>55</v>
      </c>
      <c r="N727" s="5">
        <v>31</v>
      </c>
      <c r="O727" s="7" t="s">
        <v>81</v>
      </c>
      <c r="P727" s="8"/>
      <c r="Q727" s="35">
        <v>4.4444444444444446E-2</v>
      </c>
      <c r="R727" s="35">
        <v>0.16097222222222221</v>
      </c>
      <c r="S727" s="7">
        <v>86216</v>
      </c>
      <c r="T727" s="35">
        <v>0.34115740740740735</v>
      </c>
      <c r="U727" s="35">
        <v>0.34167824074074077</v>
      </c>
      <c r="V727" s="7">
        <v>86232</v>
      </c>
      <c r="W727" s="7">
        <v>32</v>
      </c>
      <c r="X727" s="7">
        <v>0</v>
      </c>
      <c r="Y727" s="12">
        <v>32</v>
      </c>
      <c r="Z727" s="12">
        <v>16</v>
      </c>
      <c r="AA727" s="12">
        <v>16</v>
      </c>
      <c r="AB727" s="12">
        <v>0</v>
      </c>
      <c r="AC727" s="12">
        <v>0</v>
      </c>
      <c r="AD727" s="13">
        <v>1</v>
      </c>
      <c r="AE727" s="12">
        <v>150</v>
      </c>
      <c r="AF727" s="14">
        <v>0</v>
      </c>
      <c r="AG727" s="5">
        <v>0</v>
      </c>
      <c r="AH727" s="5">
        <v>0</v>
      </c>
      <c r="AI727" s="5">
        <v>0</v>
      </c>
      <c r="AJ727" s="5">
        <v>956.45</v>
      </c>
      <c r="AK727" s="5">
        <v>0</v>
      </c>
      <c r="AL727" s="5">
        <v>956.45</v>
      </c>
      <c r="AM727" s="8"/>
      <c r="AN727" s="8"/>
    </row>
    <row r="728" spans="1:40" ht="16" thickBot="1">
      <c r="A728" s="3">
        <v>727</v>
      </c>
      <c r="B728" s="19">
        <v>45961</v>
      </c>
      <c r="C728" s="5" t="s">
        <v>40</v>
      </c>
      <c r="D728" s="7" t="s">
        <v>41</v>
      </c>
      <c r="E728" s="6" t="s">
        <v>42</v>
      </c>
      <c r="F728" s="7" t="s">
        <v>70</v>
      </c>
      <c r="G728" s="5" t="s">
        <v>44</v>
      </c>
      <c r="H728" s="5" t="s">
        <v>45</v>
      </c>
      <c r="I728" s="5">
        <v>4</v>
      </c>
      <c r="J728" s="5">
        <v>8</v>
      </c>
      <c r="K728" s="5">
        <v>25000</v>
      </c>
      <c r="L728" s="5">
        <v>1000</v>
      </c>
      <c r="M728" s="5">
        <v>55</v>
      </c>
      <c r="N728" s="5">
        <v>31</v>
      </c>
      <c r="O728" s="7" t="s">
        <v>179</v>
      </c>
      <c r="P728" s="8"/>
      <c r="Q728" s="35">
        <v>8.6805555555555566E-2</v>
      </c>
      <c r="R728" s="35">
        <v>0.1486574074074074</v>
      </c>
      <c r="S728" s="7">
        <v>37944</v>
      </c>
      <c r="T728" s="35">
        <v>0.34318287037037037</v>
      </c>
      <c r="U728" s="35">
        <v>0.34331018518518519</v>
      </c>
      <c r="V728" s="7">
        <v>37967</v>
      </c>
      <c r="W728" s="7">
        <v>46</v>
      </c>
      <c r="X728" s="7">
        <v>46</v>
      </c>
      <c r="Y728" s="12">
        <v>0</v>
      </c>
      <c r="Z728" s="12">
        <v>23</v>
      </c>
      <c r="AA728" s="12">
        <v>23</v>
      </c>
      <c r="AB728" s="12">
        <v>0</v>
      </c>
      <c r="AC728" s="12">
        <v>0</v>
      </c>
      <c r="AD728" s="13">
        <v>1</v>
      </c>
      <c r="AE728" s="12">
        <v>150</v>
      </c>
      <c r="AF728" s="14">
        <v>0</v>
      </c>
      <c r="AG728" s="5">
        <v>0</v>
      </c>
      <c r="AH728" s="5">
        <v>0</v>
      </c>
      <c r="AI728" s="5">
        <v>0</v>
      </c>
      <c r="AJ728" s="5">
        <v>956.45</v>
      </c>
      <c r="AK728" s="5">
        <v>0</v>
      </c>
      <c r="AL728" s="5">
        <v>956.45</v>
      </c>
      <c r="AM728" s="8"/>
      <c r="AN728" s="8"/>
    </row>
    <row r="729" spans="1:40" ht="16" thickBot="1">
      <c r="A729" s="3">
        <v>728</v>
      </c>
      <c r="B729" s="19">
        <v>45961</v>
      </c>
      <c r="C729" s="5" t="s">
        <v>40</v>
      </c>
      <c r="D729" s="7" t="s">
        <v>41</v>
      </c>
      <c r="E729" s="6" t="s">
        <v>42</v>
      </c>
      <c r="F729" s="7" t="s">
        <v>72</v>
      </c>
      <c r="G729" s="5" t="s">
        <v>44</v>
      </c>
      <c r="H729" s="5" t="s">
        <v>45</v>
      </c>
      <c r="I729" s="5">
        <v>6</v>
      </c>
      <c r="J729" s="5">
        <v>8</v>
      </c>
      <c r="K729" s="5">
        <v>33000</v>
      </c>
      <c r="L729" s="5">
        <v>2000</v>
      </c>
      <c r="M729" s="5">
        <v>55</v>
      </c>
      <c r="N729" s="5">
        <v>31</v>
      </c>
      <c r="O729" s="7" t="s">
        <v>73</v>
      </c>
      <c r="P729" s="8"/>
      <c r="Q729" s="35">
        <v>8.5416666666666655E-2</v>
      </c>
      <c r="R729" s="35">
        <v>0.15111111111111111</v>
      </c>
      <c r="S729" s="7">
        <v>35653</v>
      </c>
      <c r="T729" s="35">
        <v>0.3424537037037037</v>
      </c>
      <c r="U729" s="35">
        <v>0.34262731481481484</v>
      </c>
      <c r="V729" s="7">
        <v>35725</v>
      </c>
      <c r="W729" s="7">
        <v>28</v>
      </c>
      <c r="X729" s="7">
        <v>28</v>
      </c>
      <c r="Y729" s="12">
        <v>0</v>
      </c>
      <c r="Z729" s="12">
        <v>72</v>
      </c>
      <c r="AA729" s="12">
        <v>72</v>
      </c>
      <c r="AB729" s="12">
        <v>0</v>
      </c>
      <c r="AC729" s="12">
        <v>0</v>
      </c>
      <c r="AD729" s="13">
        <v>0</v>
      </c>
      <c r="AE729" s="12">
        <v>0</v>
      </c>
      <c r="AF729" s="14">
        <v>0</v>
      </c>
      <c r="AG729" s="5">
        <v>0</v>
      </c>
      <c r="AH729" s="5">
        <v>0</v>
      </c>
      <c r="AI729" s="5">
        <v>0</v>
      </c>
      <c r="AJ729" s="5">
        <v>1064.52</v>
      </c>
      <c r="AK729" s="5">
        <v>0</v>
      </c>
      <c r="AL729" s="5">
        <v>1064.52</v>
      </c>
      <c r="AM729" s="8"/>
      <c r="AN729" s="8"/>
    </row>
    <row r="730" spans="1:40" ht="16" thickBot="1">
      <c r="A730" s="3">
        <v>729</v>
      </c>
      <c r="B730" s="19">
        <v>45961</v>
      </c>
      <c r="C730" s="5" t="s">
        <v>40</v>
      </c>
      <c r="D730" s="7" t="s">
        <v>41</v>
      </c>
      <c r="E730" s="6" t="s">
        <v>42</v>
      </c>
      <c r="F730" s="7" t="s">
        <v>74</v>
      </c>
      <c r="G730" s="5" t="s">
        <v>44</v>
      </c>
      <c r="H730" s="5" t="s">
        <v>45</v>
      </c>
      <c r="I730" s="5">
        <v>4</v>
      </c>
      <c r="J730" s="5">
        <v>8</v>
      </c>
      <c r="K730" s="5">
        <v>25000</v>
      </c>
      <c r="L730" s="5">
        <v>1000</v>
      </c>
      <c r="M730" s="5">
        <v>55</v>
      </c>
      <c r="N730" s="5">
        <v>31</v>
      </c>
      <c r="O730" s="7" t="s">
        <v>134</v>
      </c>
      <c r="P730" s="8"/>
      <c r="Q730" s="35">
        <v>4.3750000000000004E-2</v>
      </c>
      <c r="R730" s="35">
        <v>0.16</v>
      </c>
      <c r="S730" s="7">
        <v>40324</v>
      </c>
      <c r="T730" s="35">
        <v>0.30770833333333331</v>
      </c>
      <c r="U730" s="35">
        <v>0.30781249999999999</v>
      </c>
      <c r="V730" s="7">
        <v>40344</v>
      </c>
      <c r="W730" s="7">
        <v>34</v>
      </c>
      <c r="X730" s="7">
        <v>53</v>
      </c>
      <c r="Y730" s="12">
        <v>-19</v>
      </c>
      <c r="Z730" s="12">
        <v>20</v>
      </c>
      <c r="AA730" s="12">
        <v>20</v>
      </c>
      <c r="AB730" s="12">
        <v>0</v>
      </c>
      <c r="AC730" s="12">
        <v>0</v>
      </c>
      <c r="AD730" s="13">
        <v>0</v>
      </c>
      <c r="AE730" s="12">
        <v>0</v>
      </c>
      <c r="AF730" s="14">
        <v>0</v>
      </c>
      <c r="AG730" s="5">
        <v>0</v>
      </c>
      <c r="AH730" s="5">
        <v>0</v>
      </c>
      <c r="AI730" s="5">
        <v>0</v>
      </c>
      <c r="AJ730" s="5">
        <v>806.45</v>
      </c>
      <c r="AK730" s="5">
        <v>0</v>
      </c>
      <c r="AL730" s="5">
        <v>806.45</v>
      </c>
      <c r="AM730" s="8"/>
      <c r="AN730" s="8"/>
    </row>
    <row r="731" spans="1:40" ht="16" thickBot="1">
      <c r="A731" s="3">
        <v>730</v>
      </c>
      <c r="B731" s="19">
        <v>45961</v>
      </c>
      <c r="C731" s="5" t="s">
        <v>40</v>
      </c>
      <c r="D731" s="7" t="s">
        <v>41</v>
      </c>
      <c r="E731" s="6" t="s">
        <v>42</v>
      </c>
      <c r="F731" s="7" t="s">
        <v>78</v>
      </c>
      <c r="G731" s="5" t="s">
        <v>44</v>
      </c>
      <c r="H731" s="5" t="s">
        <v>45</v>
      </c>
      <c r="I731" s="5">
        <v>4</v>
      </c>
      <c r="J731" s="5">
        <v>8</v>
      </c>
      <c r="K731" s="5">
        <v>25000</v>
      </c>
      <c r="L731" s="5">
        <v>1000</v>
      </c>
      <c r="M731" s="5">
        <v>55</v>
      </c>
      <c r="N731" s="5">
        <v>31</v>
      </c>
      <c r="O731" s="7" t="s">
        <v>179</v>
      </c>
      <c r="P731" s="8"/>
      <c r="Q731" s="35">
        <v>8.6111111111111124E-2</v>
      </c>
      <c r="R731" s="35">
        <v>0.34278935185185189</v>
      </c>
      <c r="S731" s="7">
        <v>9014</v>
      </c>
      <c r="T731" s="35">
        <v>0.34289351851851851</v>
      </c>
      <c r="U731" s="35">
        <v>0.34298611111111116</v>
      </c>
      <c r="V731" s="7">
        <v>9044</v>
      </c>
      <c r="W731" s="7">
        <v>0</v>
      </c>
      <c r="X731" s="7">
        <v>0</v>
      </c>
      <c r="Y731" s="12">
        <v>0</v>
      </c>
      <c r="Z731" s="12">
        <v>30</v>
      </c>
      <c r="AA731" s="12">
        <v>30</v>
      </c>
      <c r="AB731" s="12">
        <v>0</v>
      </c>
      <c r="AC731" s="12">
        <v>0</v>
      </c>
      <c r="AD731" s="13">
        <v>1</v>
      </c>
      <c r="AE731" s="12">
        <v>150</v>
      </c>
      <c r="AF731" s="14">
        <v>0</v>
      </c>
      <c r="AG731" s="5">
        <v>0</v>
      </c>
      <c r="AH731" s="5">
        <v>0</v>
      </c>
      <c r="AI731" s="5">
        <v>0</v>
      </c>
      <c r="AJ731" s="5">
        <v>956.45</v>
      </c>
      <c r="AK731" s="5">
        <v>0</v>
      </c>
      <c r="AL731" s="5">
        <v>956.45</v>
      </c>
      <c r="AM731" s="8"/>
      <c r="AN731" s="8"/>
    </row>
    <row r="732" spans="1:40" ht="16" thickBot="1">
      <c r="A732" s="3">
        <v>731</v>
      </c>
      <c r="B732" s="19">
        <v>45961</v>
      </c>
      <c r="C732" s="5" t="s">
        <v>40</v>
      </c>
      <c r="D732" s="7" t="s">
        <v>41</v>
      </c>
      <c r="E732" s="6" t="s">
        <v>42</v>
      </c>
      <c r="F732" s="7" t="s">
        <v>80</v>
      </c>
      <c r="G732" s="5" t="s">
        <v>44</v>
      </c>
      <c r="H732" s="5" t="s">
        <v>45</v>
      </c>
      <c r="I732" s="5">
        <v>4</v>
      </c>
      <c r="J732" s="5">
        <v>8</v>
      </c>
      <c r="K732" s="5">
        <v>25000</v>
      </c>
      <c r="L732" s="5">
        <v>1000</v>
      </c>
      <c r="M732" s="5">
        <v>55</v>
      </c>
      <c r="N732" s="5">
        <v>31</v>
      </c>
      <c r="O732" s="7" t="s">
        <v>75</v>
      </c>
      <c r="P732" s="8"/>
      <c r="Q732" s="35">
        <v>4.027777777777778E-2</v>
      </c>
      <c r="R732" s="35">
        <v>0.15944444444444444</v>
      </c>
      <c r="S732" s="7">
        <v>6830</v>
      </c>
      <c r="T732" s="35">
        <v>0.34090277777777778</v>
      </c>
      <c r="U732" s="35">
        <v>0.34098379629629627</v>
      </c>
      <c r="V732" s="7">
        <v>6844</v>
      </c>
      <c r="W732" s="7">
        <v>37</v>
      </c>
      <c r="X732" s="7">
        <v>37</v>
      </c>
      <c r="Y732" s="12">
        <v>0</v>
      </c>
      <c r="Z732" s="12">
        <v>14</v>
      </c>
      <c r="AA732" s="12">
        <v>14</v>
      </c>
      <c r="AB732" s="12">
        <v>0</v>
      </c>
      <c r="AC732" s="12">
        <v>0</v>
      </c>
      <c r="AD732" s="13">
        <v>1</v>
      </c>
      <c r="AE732" s="12">
        <v>150</v>
      </c>
      <c r="AF732" s="14">
        <v>0</v>
      </c>
      <c r="AG732" s="5">
        <v>0</v>
      </c>
      <c r="AH732" s="5">
        <v>0</v>
      </c>
      <c r="AI732" s="5">
        <v>0</v>
      </c>
      <c r="AJ732" s="5">
        <v>956.45</v>
      </c>
      <c r="AK732" s="5">
        <v>0</v>
      </c>
      <c r="AL732" s="5">
        <v>956.45</v>
      </c>
      <c r="AM732" s="8"/>
      <c r="AN732" s="8"/>
    </row>
    <row r="733" spans="1:40" ht="16" thickBot="1">
      <c r="A733" s="3">
        <v>732</v>
      </c>
      <c r="B733" s="19">
        <v>45961</v>
      </c>
      <c r="C733" s="5" t="s">
        <v>40</v>
      </c>
      <c r="D733" s="7" t="s">
        <v>41</v>
      </c>
      <c r="E733" s="6" t="s">
        <v>42</v>
      </c>
      <c r="F733" s="7" t="s">
        <v>232</v>
      </c>
      <c r="G733" s="10" t="s">
        <v>83</v>
      </c>
      <c r="H733" s="5" t="s">
        <v>84</v>
      </c>
      <c r="I733" s="5">
        <v>4</v>
      </c>
      <c r="J733" s="5">
        <v>10</v>
      </c>
      <c r="K733" s="6">
        <v>29000</v>
      </c>
      <c r="L733" s="5">
        <v>1000</v>
      </c>
      <c r="M733" s="5">
        <v>55</v>
      </c>
      <c r="N733" s="5">
        <v>31</v>
      </c>
      <c r="O733" s="7" t="s">
        <v>118</v>
      </c>
      <c r="P733" s="8"/>
      <c r="Q733" s="35">
        <v>0.1173611111111111</v>
      </c>
      <c r="R733" s="35">
        <v>0.14717592592592593</v>
      </c>
      <c r="S733" s="7">
        <v>405</v>
      </c>
      <c r="T733" s="35">
        <v>0.30537037037037035</v>
      </c>
      <c r="U733" s="35">
        <v>0.30546296296296299</v>
      </c>
      <c r="V733" s="7">
        <v>433</v>
      </c>
      <c r="W733" s="7">
        <v>27</v>
      </c>
      <c r="X733" s="7">
        <v>47</v>
      </c>
      <c r="Y733" s="12">
        <v>-20</v>
      </c>
      <c r="Z733" s="12">
        <v>28</v>
      </c>
      <c r="AA733" s="12">
        <v>28</v>
      </c>
      <c r="AB733" s="12">
        <v>0</v>
      </c>
      <c r="AC733" s="12">
        <v>0</v>
      </c>
      <c r="AD733" s="13">
        <v>0</v>
      </c>
      <c r="AE733" s="12">
        <v>0</v>
      </c>
      <c r="AF733" s="14">
        <v>0</v>
      </c>
      <c r="AG733" s="5">
        <v>0</v>
      </c>
      <c r="AH733" s="5">
        <v>0</v>
      </c>
      <c r="AI733" s="5">
        <v>0</v>
      </c>
      <c r="AJ733" s="5">
        <v>935.48</v>
      </c>
      <c r="AK733" s="5">
        <v>0</v>
      </c>
      <c r="AL733" s="5">
        <v>935.48</v>
      </c>
      <c r="AM733" s="8"/>
      <c r="AN733" s="8"/>
    </row>
    <row r="734" spans="1:40" ht="16" thickBot="1">
      <c r="A734" s="3">
        <v>733</v>
      </c>
      <c r="B734" s="19">
        <v>45961</v>
      </c>
      <c r="C734" s="5" t="s">
        <v>40</v>
      </c>
      <c r="D734" s="7" t="s">
        <v>41</v>
      </c>
      <c r="E734" s="6" t="s">
        <v>42</v>
      </c>
      <c r="F734" s="7" t="s">
        <v>82</v>
      </c>
      <c r="G734" s="10" t="s">
        <v>83</v>
      </c>
      <c r="H734" s="5" t="s">
        <v>84</v>
      </c>
      <c r="I734" s="5">
        <v>4</v>
      </c>
      <c r="J734" s="5">
        <v>10</v>
      </c>
      <c r="K734" s="6">
        <v>29000</v>
      </c>
      <c r="L734" s="5">
        <v>1000</v>
      </c>
      <c r="M734" s="5">
        <v>55</v>
      </c>
      <c r="N734" s="5">
        <v>31</v>
      </c>
      <c r="O734" s="7" t="s">
        <v>107</v>
      </c>
      <c r="P734" s="8"/>
      <c r="Q734" s="35">
        <v>9.9999999999999992E-2</v>
      </c>
      <c r="R734" s="35">
        <v>0.15839120370370371</v>
      </c>
      <c r="S734" s="7">
        <v>33472</v>
      </c>
      <c r="T734" s="35">
        <v>0.29089120370370369</v>
      </c>
      <c r="U734" s="35">
        <v>0.34761574074074075</v>
      </c>
      <c r="V734" s="7">
        <v>33484</v>
      </c>
      <c r="W734" s="7">
        <v>22</v>
      </c>
      <c r="X734" s="7">
        <v>41</v>
      </c>
      <c r="Y734" s="12">
        <v>-19</v>
      </c>
      <c r="Z734" s="12">
        <v>12</v>
      </c>
      <c r="AA734" s="12">
        <v>12</v>
      </c>
      <c r="AB734" s="12">
        <v>0</v>
      </c>
      <c r="AC734" s="12">
        <v>0</v>
      </c>
      <c r="AD734" s="13">
        <v>0</v>
      </c>
      <c r="AE734" s="12">
        <v>0</v>
      </c>
      <c r="AF734" s="14">
        <v>0</v>
      </c>
      <c r="AG734" s="5">
        <v>0</v>
      </c>
      <c r="AH734" s="5">
        <v>0</v>
      </c>
      <c r="AI734" s="5">
        <v>0</v>
      </c>
      <c r="AJ734" s="5">
        <v>935.48</v>
      </c>
      <c r="AK734" s="5">
        <v>0</v>
      </c>
      <c r="AL734" s="5">
        <v>935.48</v>
      </c>
      <c r="AM734" s="8"/>
      <c r="AN734" s="8"/>
    </row>
    <row r="735" spans="1:40" ht="16" thickBot="1">
      <c r="A735" s="3">
        <v>734</v>
      </c>
      <c r="B735" s="19">
        <v>45961</v>
      </c>
      <c r="C735" s="5" t="s">
        <v>40</v>
      </c>
      <c r="D735" s="7" t="s">
        <v>41</v>
      </c>
      <c r="E735" s="6" t="s">
        <v>42</v>
      </c>
      <c r="F735" s="7" t="s">
        <v>85</v>
      </c>
      <c r="G735" s="10" t="s">
        <v>83</v>
      </c>
      <c r="H735" s="5" t="s">
        <v>84</v>
      </c>
      <c r="I735" s="5">
        <v>4</v>
      </c>
      <c r="J735" s="5">
        <v>10</v>
      </c>
      <c r="K735" s="6">
        <v>29000</v>
      </c>
      <c r="L735" s="5">
        <v>1000</v>
      </c>
      <c r="M735" s="5">
        <v>55</v>
      </c>
      <c r="N735" s="5">
        <v>31</v>
      </c>
      <c r="O735" s="7" t="s">
        <v>188</v>
      </c>
      <c r="P735" s="8"/>
      <c r="Q735" s="35">
        <v>4.8611111111111112E-2</v>
      </c>
      <c r="R735" s="35">
        <v>0.14876157407407406</v>
      </c>
      <c r="S735" s="7">
        <v>40335</v>
      </c>
      <c r="T735" s="35">
        <v>0.34208333333333335</v>
      </c>
      <c r="U735" s="35">
        <v>0.34224537037037034</v>
      </c>
      <c r="V735" s="7">
        <v>40369</v>
      </c>
      <c r="W735" s="7">
        <v>67</v>
      </c>
      <c r="X735" s="7">
        <v>67</v>
      </c>
      <c r="Y735" s="12">
        <v>0</v>
      </c>
      <c r="Z735" s="12">
        <v>34</v>
      </c>
      <c r="AA735" s="12">
        <v>34</v>
      </c>
      <c r="AB735" s="12">
        <v>0</v>
      </c>
      <c r="AC735" s="12">
        <v>0</v>
      </c>
      <c r="AD735" s="13">
        <v>1</v>
      </c>
      <c r="AE735" s="12">
        <v>150</v>
      </c>
      <c r="AF735" s="14">
        <v>0</v>
      </c>
      <c r="AG735" s="5">
        <v>0</v>
      </c>
      <c r="AH735" s="5">
        <v>0</v>
      </c>
      <c r="AI735" s="5">
        <v>0</v>
      </c>
      <c r="AJ735" s="5">
        <v>1085.48</v>
      </c>
      <c r="AK735" s="5">
        <v>0</v>
      </c>
      <c r="AL735" s="5">
        <v>1085.48</v>
      </c>
      <c r="AM735" s="8"/>
      <c r="AN735" s="8"/>
    </row>
    <row r="736" spans="1:40" ht="16" thickBot="1">
      <c r="A736" s="3">
        <v>735</v>
      </c>
      <c r="B736" s="19">
        <v>45961</v>
      </c>
      <c r="C736" s="5" t="s">
        <v>40</v>
      </c>
      <c r="D736" s="7" t="s">
        <v>41</v>
      </c>
      <c r="E736" s="6" t="s">
        <v>42</v>
      </c>
      <c r="F736" s="7" t="s">
        <v>87</v>
      </c>
      <c r="G736" s="10" t="s">
        <v>83</v>
      </c>
      <c r="H736" s="5" t="s">
        <v>84</v>
      </c>
      <c r="I736" s="5">
        <v>4</v>
      </c>
      <c r="J736" s="5">
        <v>10</v>
      </c>
      <c r="K736" s="6">
        <v>29000</v>
      </c>
      <c r="L736" s="5">
        <v>1000</v>
      </c>
      <c r="M736" s="5">
        <v>55</v>
      </c>
      <c r="N736" s="5">
        <v>31</v>
      </c>
      <c r="O736" s="7" t="s">
        <v>128</v>
      </c>
      <c r="P736" s="8"/>
      <c r="Q736" s="35">
        <v>9.9999999999999992E-2</v>
      </c>
      <c r="R736" s="35">
        <v>0.15024305555555556</v>
      </c>
      <c r="S736" s="7">
        <v>4267</v>
      </c>
      <c r="T736" s="35">
        <v>0.3435185185185185</v>
      </c>
      <c r="U736" s="35">
        <v>0.34361111111111109</v>
      </c>
      <c r="V736" s="7">
        <v>4297</v>
      </c>
      <c r="W736" s="7">
        <v>61</v>
      </c>
      <c r="X736" s="7">
        <v>61</v>
      </c>
      <c r="Y736" s="12">
        <v>0</v>
      </c>
      <c r="Z736" s="12">
        <v>30</v>
      </c>
      <c r="AA736" s="12">
        <v>30</v>
      </c>
      <c r="AB736" s="12">
        <v>0</v>
      </c>
      <c r="AC736" s="12">
        <v>0</v>
      </c>
      <c r="AD736" s="13">
        <v>1</v>
      </c>
      <c r="AE736" s="12">
        <v>150</v>
      </c>
      <c r="AF736" s="14">
        <v>0</v>
      </c>
      <c r="AG736" s="5">
        <v>0</v>
      </c>
      <c r="AH736" s="5">
        <v>0</v>
      </c>
      <c r="AI736" s="5">
        <v>0</v>
      </c>
      <c r="AJ736" s="5">
        <v>1085.48</v>
      </c>
      <c r="AK736" s="5">
        <v>0</v>
      </c>
      <c r="AL736" s="5">
        <v>1085.48</v>
      </c>
      <c r="AM736" s="8"/>
      <c r="AN736" s="8"/>
    </row>
    <row r="737" spans="1:40" ht="16" thickBot="1">
      <c r="A737" s="3">
        <v>736</v>
      </c>
      <c r="B737" s="19">
        <v>45961</v>
      </c>
      <c r="C737" s="5" t="s">
        <v>40</v>
      </c>
      <c r="D737" s="7" t="s">
        <v>41</v>
      </c>
      <c r="E737" s="6" t="s">
        <v>42</v>
      </c>
      <c r="F737" s="7" t="s">
        <v>89</v>
      </c>
      <c r="G737" s="10" t="s">
        <v>83</v>
      </c>
      <c r="H737" s="5" t="s">
        <v>84</v>
      </c>
      <c r="I737" s="5">
        <v>4</v>
      </c>
      <c r="J737" s="5">
        <v>10</v>
      </c>
      <c r="K737" s="6">
        <v>29000</v>
      </c>
      <c r="L737" s="5">
        <v>1000</v>
      </c>
      <c r="M737" s="5">
        <v>55</v>
      </c>
      <c r="N737" s="5">
        <v>31</v>
      </c>
      <c r="O737" s="7" t="s">
        <v>65</v>
      </c>
      <c r="P737" s="8"/>
      <c r="Q737" s="35">
        <v>8.7500000000000008E-2</v>
      </c>
      <c r="R737" s="35">
        <v>0.14833333333333334</v>
      </c>
      <c r="S737" s="7">
        <v>140080</v>
      </c>
      <c r="T737" s="35">
        <v>0.2994560185185185</v>
      </c>
      <c r="U737" s="35">
        <v>0.29959490740740741</v>
      </c>
      <c r="V737" s="7">
        <v>140107</v>
      </c>
      <c r="W737" s="7">
        <v>41</v>
      </c>
      <c r="X737" s="7">
        <v>41</v>
      </c>
      <c r="Y737" s="12">
        <v>0</v>
      </c>
      <c r="Z737" s="12">
        <v>27</v>
      </c>
      <c r="AA737" s="12">
        <v>27</v>
      </c>
      <c r="AB737" s="12">
        <v>0</v>
      </c>
      <c r="AC737" s="12">
        <v>0</v>
      </c>
      <c r="AD737" s="13">
        <v>0</v>
      </c>
      <c r="AE737" s="12">
        <v>0</v>
      </c>
      <c r="AF737" s="14">
        <v>0</v>
      </c>
      <c r="AG737" s="5">
        <v>0</v>
      </c>
      <c r="AH737" s="5">
        <v>18000</v>
      </c>
      <c r="AI737" s="5">
        <v>0</v>
      </c>
      <c r="AJ737" s="5">
        <v>18935.48</v>
      </c>
      <c r="AK737" s="5">
        <v>14000</v>
      </c>
      <c r="AL737" s="5">
        <v>4935.4799999999996</v>
      </c>
      <c r="AM737" s="8"/>
      <c r="AN73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6111-4C58-402F-80CE-46225FD50728}">
  <dimension ref="A1:AQ737"/>
  <sheetViews>
    <sheetView workbookViewId="0">
      <selection activeCell="AS5" sqref="AS5"/>
    </sheetView>
  </sheetViews>
  <sheetFormatPr defaultRowHeight="14.5"/>
  <cols>
    <col min="1" max="1" width="6.1796875" customWidth="1"/>
    <col min="2" max="2" width="15" style="42" customWidth="1"/>
    <col min="3" max="3" width="0" hidden="1" customWidth="1"/>
    <col min="4" max="4" width="15.81640625" hidden="1" customWidth="1"/>
    <col min="5" max="5" width="40.453125" hidden="1" customWidth="1"/>
    <col min="6" max="6" width="16.54296875" customWidth="1"/>
    <col min="7" max="7" width="0.453125" customWidth="1"/>
    <col min="8" max="9" width="0" hidden="1" customWidth="1"/>
    <col min="10" max="10" width="2.81640625" hidden="1" customWidth="1"/>
    <col min="11" max="11" width="17.54296875" customWidth="1"/>
    <col min="14" max="14" width="10.81640625" customWidth="1"/>
    <col min="15" max="19" width="0" hidden="1" customWidth="1"/>
    <col min="20" max="20" width="21.54296875" hidden="1" customWidth="1"/>
    <col min="21" max="21" width="23.36328125" hidden="1" customWidth="1"/>
    <col min="22" max="22" width="26.81640625" hidden="1" customWidth="1"/>
    <col min="23" max="29" width="0" hidden="1" customWidth="1"/>
    <col min="30" max="30" width="0.54296875" customWidth="1"/>
    <col min="31" max="31" width="9.6328125" customWidth="1"/>
    <col min="32" max="40" width="0" hidden="1" customWidth="1"/>
    <col min="43" max="43" width="12.81640625" customWidth="1"/>
  </cols>
  <sheetData>
    <row r="1" spans="1:43">
      <c r="A1" t="str" cm="1">
        <f t="array" ref="A1:AO737">SHADOWFAX!A1:AO737</f>
        <v>Sr.No</v>
      </c>
      <c r="B1" s="42" t="str">
        <v>DATE</v>
      </c>
      <c r="C1" t="str">
        <v>HUB NAME</v>
      </c>
      <c r="D1" t="str">
        <v>HUB CODE
(FCPL)</v>
      </c>
      <c r="E1" t="str">
        <v>VENDOR NAME</v>
      </c>
      <c r="F1" t="str">
        <v>VEHICLE NUMBER</v>
      </c>
      <c r="G1" t="str">
        <v>VEHICLE TYPE</v>
      </c>
      <c r="H1" t="str">
        <v>FUEL TYPE</v>
      </c>
      <c r="I1" t="str">
        <v>SHIFT TYPE</v>
      </c>
      <c r="J1" t="str">
        <v>EXTRA KM UNIT COST</v>
      </c>
      <c r="K1" t="str">
        <v>BASE RATE
(Monthly)</v>
      </c>
      <c r="L1" t="str">
        <v>Base KM</v>
      </c>
      <c r="M1" t="str">
        <v>Max vehicle capicity(in crates)</v>
      </c>
      <c r="N1" t="str">
        <v>TOTAL DAYS IN MONTH</v>
      </c>
      <c r="O1" t="str">
        <v>CLUSTER NAME</v>
      </c>
      <c r="P1" t="str">
        <v>Cluster distance from Hub</v>
      </c>
      <c r="Q1" t="str">
        <v>BEFORE DELIVERY IN TIME</v>
      </c>
      <c r="R1" t="str">
        <v>BEFORE DELIVERY OUT TIME</v>
      </c>
      <c r="S1" t="str">
        <v>BEFORE DELIVERY READING</v>
      </c>
      <c r="T1" t="str">
        <v>AFTER DELIVERY IN TIME</v>
      </c>
      <c r="U1" t="str">
        <v>AFTER DELIVERY OUT TIME</v>
      </c>
      <c r="V1" t="str">
        <v>AFTER DELIVERY OUT READING</v>
      </c>
      <c r="W1" t="str">
        <v>CRATE COUNT
(OUT)</v>
      </c>
      <c r="X1" t="str">
        <v>CRATE COUNT
(IN)</v>
      </c>
      <c r="Y1" t="str">
        <v>DIFFERENCE IN CRATE COUNT</v>
      </c>
      <c r="Z1" t="str">
        <v>TOTAL READING</v>
      </c>
      <c r="AA1" t="str">
        <v>TOTAL KM</v>
      </c>
      <c r="AB1" t="str">
        <v>EXTRA KM</v>
      </c>
      <c r="AC1" t="str">
        <v>EXTRA KM COST</v>
      </c>
      <c r="AD1" t="str">
        <v>OT HRS</v>
      </c>
      <c r="AE1" t="str">
        <v>OT COST</v>
      </c>
      <c r="AF1" t="str">
        <v>LATE REPORTING IN WH</v>
      </c>
      <c r="AG1" t="str">
        <v>LATE REPORTING PENALTY</v>
      </c>
      <c r="AH1" t="str">
        <v>INCENTIVE</v>
      </c>
      <c r="AI1" t="str">
        <v>MCD TOLL</v>
      </c>
      <c r="AJ1" t="str">
        <v>TOTAL ADDITION</v>
      </c>
      <c r="AK1" t="str">
        <v>TOTAL DEDEUCTION</v>
      </c>
      <c r="AL1" t="str">
        <v>TOTAL PAYABLE AMOUNT</v>
      </c>
      <c r="AM1" t="str">
        <v>REMARK</v>
      </c>
      <c r="AN1" t="str">
        <v>CLUSTER</v>
      </c>
      <c r="AO1">
        <v>0</v>
      </c>
      <c r="AQ1" t="str" cm="1">
        <f t="array" ref="AQ1:AQ43">_xlfn.UNIQUE(F2:F737)</f>
        <v>MH03AH8989</v>
      </c>
    </row>
    <row r="2" spans="1:43">
      <c r="A2">
        <v>1</v>
      </c>
      <c r="B2" s="42">
        <v>45931</v>
      </c>
      <c r="C2" t="str">
        <v>HINJEWADI</v>
      </c>
      <c r="D2" t="str">
        <v>SLK1</v>
      </c>
      <c r="E2" t="str">
        <v>SHADOWFAX TECHNOLOGIES PRIVATE LIMITED</v>
      </c>
      <c r="F2" t="str">
        <v>MH03AH8989</v>
      </c>
      <c r="G2" t="str">
        <v>ACE</v>
      </c>
      <c r="H2" t="str">
        <v>CNG</v>
      </c>
      <c r="I2">
        <v>4</v>
      </c>
      <c r="J2">
        <v>8</v>
      </c>
      <c r="K2">
        <v>25000</v>
      </c>
      <c r="L2">
        <v>1000</v>
      </c>
      <c r="M2">
        <v>55</v>
      </c>
      <c r="N2">
        <v>31</v>
      </c>
      <c r="O2" t="str">
        <v>PUN01 NC Cluster 1</v>
      </c>
      <c r="P2">
        <v>0</v>
      </c>
      <c r="Q2">
        <v>4.027777777777778E-2</v>
      </c>
      <c r="R2">
        <v>0.17467592592592593</v>
      </c>
      <c r="S2">
        <v>55287</v>
      </c>
      <c r="T2">
        <v>0.2810300925925926</v>
      </c>
      <c r="U2">
        <v>0.28115740740740741</v>
      </c>
      <c r="V2">
        <v>55293</v>
      </c>
      <c r="W2">
        <v>48</v>
      </c>
      <c r="X2">
        <v>48</v>
      </c>
      <c r="Y2">
        <v>0</v>
      </c>
      <c r="Z2">
        <v>6</v>
      </c>
      <c r="AA2">
        <v>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806.45</v>
      </c>
      <c r="AK2">
        <v>0</v>
      </c>
      <c r="AL2">
        <v>806.45</v>
      </c>
      <c r="AM2">
        <v>0</v>
      </c>
      <c r="AN2">
        <v>0</v>
      </c>
      <c r="AO2">
        <v>0</v>
      </c>
      <c r="AQ2" t="str">
        <v>MH12RN4983</v>
      </c>
    </row>
    <row r="3" spans="1:43">
      <c r="A3">
        <v>2</v>
      </c>
      <c r="B3" s="42">
        <v>45931</v>
      </c>
      <c r="C3" t="str">
        <v>HINJEWADI</v>
      </c>
      <c r="D3" t="str">
        <v>SLK1</v>
      </c>
      <c r="E3" t="str">
        <v>SHADOWFAX TECHNOLOGIES PRIVATE LIMITED</v>
      </c>
      <c r="F3" t="str">
        <v>MH12RN4983</v>
      </c>
      <c r="G3" t="str">
        <v>ACE</v>
      </c>
      <c r="H3" t="str">
        <v>CNG</v>
      </c>
      <c r="I3">
        <v>4</v>
      </c>
      <c r="J3">
        <v>8</v>
      </c>
      <c r="K3">
        <v>25000</v>
      </c>
      <c r="L3">
        <v>1000</v>
      </c>
      <c r="M3">
        <v>55</v>
      </c>
      <c r="N3">
        <v>31</v>
      </c>
      <c r="O3" t="str">
        <v>PUN01 NC Cluster 3</v>
      </c>
      <c r="P3">
        <v>0</v>
      </c>
      <c r="Q3">
        <v>0.16250000000000001</v>
      </c>
      <c r="R3">
        <v>0.30119212962962966</v>
      </c>
      <c r="S3">
        <v>190832</v>
      </c>
      <c r="T3">
        <v>0.35672453703703705</v>
      </c>
      <c r="U3">
        <v>0.35695601851851855</v>
      </c>
      <c r="V3">
        <v>190842</v>
      </c>
      <c r="W3">
        <v>0</v>
      </c>
      <c r="X3">
        <v>0</v>
      </c>
      <c r="Y3">
        <v>0</v>
      </c>
      <c r="Z3">
        <v>10</v>
      </c>
      <c r="AA3">
        <v>10</v>
      </c>
      <c r="AB3">
        <v>0</v>
      </c>
      <c r="AC3">
        <v>0</v>
      </c>
      <c r="AD3">
        <v>1</v>
      </c>
      <c r="AE3">
        <v>150</v>
      </c>
      <c r="AF3">
        <v>0</v>
      </c>
      <c r="AG3">
        <v>0</v>
      </c>
      <c r="AH3">
        <v>0</v>
      </c>
      <c r="AI3">
        <v>0</v>
      </c>
      <c r="AJ3">
        <v>956.45</v>
      </c>
      <c r="AK3">
        <v>0</v>
      </c>
      <c r="AL3">
        <v>956.45</v>
      </c>
      <c r="AM3">
        <v>0</v>
      </c>
      <c r="AN3">
        <v>0</v>
      </c>
      <c r="AO3">
        <v>0</v>
      </c>
      <c r="AQ3" t="str">
        <v>MH12UM3063</v>
      </c>
    </row>
    <row r="4" spans="1:43">
      <c r="A4">
        <v>3</v>
      </c>
      <c r="B4" s="42">
        <v>45931</v>
      </c>
      <c r="C4" t="str">
        <v>HINJEWADI</v>
      </c>
      <c r="D4" t="str">
        <v>SLK1</v>
      </c>
      <c r="E4" t="str">
        <v>SHADOWFAX TECHNOLOGIES PRIVATE LIMITED</v>
      </c>
      <c r="F4" t="str">
        <v>MH12UM3063</v>
      </c>
      <c r="G4" t="str">
        <v>ACE</v>
      </c>
      <c r="H4" t="str">
        <v>CNG</v>
      </c>
      <c r="I4">
        <v>6</v>
      </c>
      <c r="J4">
        <v>8</v>
      </c>
      <c r="K4">
        <v>33000</v>
      </c>
      <c r="L4">
        <v>2000</v>
      </c>
      <c r="M4">
        <v>55</v>
      </c>
      <c r="N4">
        <v>31</v>
      </c>
      <c r="O4" t="str">
        <v>PUN01 NC Cluster 229</v>
      </c>
      <c r="P4">
        <v>0</v>
      </c>
      <c r="Q4">
        <v>5.2777777777777778E-2</v>
      </c>
      <c r="R4">
        <v>0.18508101851851852</v>
      </c>
      <c r="S4">
        <v>98129</v>
      </c>
      <c r="T4">
        <v>0.35037037037037039</v>
      </c>
      <c r="U4">
        <v>0.35046296296296298</v>
      </c>
      <c r="V4">
        <v>98175</v>
      </c>
      <c r="W4">
        <v>33</v>
      </c>
      <c r="X4">
        <v>45</v>
      </c>
      <c r="Y4">
        <v>-12</v>
      </c>
      <c r="Z4">
        <v>46</v>
      </c>
      <c r="AA4">
        <v>46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1064.52</v>
      </c>
      <c r="AK4">
        <v>0</v>
      </c>
      <c r="AL4">
        <v>1064.52</v>
      </c>
      <c r="AM4">
        <v>0</v>
      </c>
      <c r="AN4">
        <v>0</v>
      </c>
      <c r="AO4">
        <v>0</v>
      </c>
      <c r="AQ4" t="str">
        <v>MH12VF3782</v>
      </c>
    </row>
    <row r="5" spans="1:43">
      <c r="A5">
        <v>4</v>
      </c>
      <c r="B5" s="42">
        <v>45931</v>
      </c>
      <c r="C5" t="str">
        <v>HINJEWADI</v>
      </c>
      <c r="D5" t="str">
        <v>SLK1</v>
      </c>
      <c r="E5" t="str">
        <v>SHADOWFAX TECHNOLOGIES PRIVATE LIMITED</v>
      </c>
      <c r="F5" t="str">
        <v>MH12VF3782</v>
      </c>
      <c r="G5" t="str">
        <v>ACE</v>
      </c>
      <c r="H5" t="str">
        <v>CNG</v>
      </c>
      <c r="I5">
        <v>4</v>
      </c>
      <c r="J5">
        <v>8</v>
      </c>
      <c r="K5">
        <v>25000</v>
      </c>
      <c r="L5">
        <v>1000</v>
      </c>
      <c r="M5">
        <v>55</v>
      </c>
      <c r="N5">
        <v>31</v>
      </c>
      <c r="O5" t="str">
        <v>PUN01 NC Cluster 62</v>
      </c>
      <c r="P5">
        <v>0</v>
      </c>
      <c r="Q5">
        <v>0.13055555555555556</v>
      </c>
      <c r="R5">
        <v>0.19025462962962961</v>
      </c>
      <c r="S5">
        <v>83283</v>
      </c>
      <c r="T5">
        <v>0.32060185185185186</v>
      </c>
      <c r="U5">
        <v>0.32174768518518521</v>
      </c>
      <c r="V5">
        <v>83310</v>
      </c>
      <c r="W5">
        <v>41</v>
      </c>
      <c r="X5">
        <v>30</v>
      </c>
      <c r="Y5">
        <v>11</v>
      </c>
      <c r="Z5">
        <v>27</v>
      </c>
      <c r="AA5">
        <v>27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806.45</v>
      </c>
      <c r="AK5">
        <v>0</v>
      </c>
      <c r="AL5">
        <v>806.45</v>
      </c>
      <c r="AM5">
        <v>0</v>
      </c>
      <c r="AN5">
        <v>0</v>
      </c>
      <c r="AO5">
        <v>0</v>
      </c>
      <c r="AQ5" t="str">
        <v>MH12XM2801</v>
      </c>
    </row>
    <row r="6" spans="1:43">
      <c r="A6">
        <v>5</v>
      </c>
      <c r="B6" s="42">
        <v>45931</v>
      </c>
      <c r="C6" t="str">
        <v>HINJEWADI</v>
      </c>
      <c r="D6" t="str">
        <v>SLK1</v>
      </c>
      <c r="E6" t="str">
        <v>SHADOWFAX TECHNOLOGIES PRIVATE LIMITED</v>
      </c>
      <c r="F6" t="str">
        <v>MH12XM2801</v>
      </c>
      <c r="G6" t="str">
        <v>ACE</v>
      </c>
      <c r="H6" t="str">
        <v>CNG</v>
      </c>
      <c r="I6">
        <v>4</v>
      </c>
      <c r="J6">
        <v>8</v>
      </c>
      <c r="K6">
        <v>25000</v>
      </c>
      <c r="L6">
        <v>1000</v>
      </c>
      <c r="M6">
        <v>55</v>
      </c>
      <c r="N6">
        <v>31</v>
      </c>
      <c r="O6" t="str">
        <v>PUN01 NC Cluster 67</v>
      </c>
      <c r="P6">
        <v>0</v>
      </c>
      <c r="Q6">
        <v>0.11458333333333333</v>
      </c>
      <c r="R6">
        <v>0.17493055555555556</v>
      </c>
      <c r="S6">
        <v>10935</v>
      </c>
      <c r="T6">
        <v>0.33342592592592596</v>
      </c>
      <c r="U6">
        <v>0.33371527777777782</v>
      </c>
      <c r="V6">
        <v>10960</v>
      </c>
      <c r="W6">
        <v>25</v>
      </c>
      <c r="X6">
        <v>25</v>
      </c>
      <c r="Y6">
        <v>0</v>
      </c>
      <c r="Z6">
        <v>25</v>
      </c>
      <c r="AA6">
        <v>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806.45</v>
      </c>
      <c r="AK6">
        <v>0</v>
      </c>
      <c r="AL6">
        <v>806.45</v>
      </c>
      <c r="AM6">
        <v>0</v>
      </c>
      <c r="AN6">
        <v>0</v>
      </c>
      <c r="AO6">
        <v>0</v>
      </c>
      <c r="AQ6" t="str">
        <v>MH14CP4610</v>
      </c>
    </row>
    <row r="7" spans="1:43">
      <c r="A7">
        <v>6</v>
      </c>
      <c r="B7" s="42">
        <v>45931</v>
      </c>
      <c r="C7" t="str">
        <v>HINJEWADI</v>
      </c>
      <c r="D7" t="str">
        <v>SLK1</v>
      </c>
      <c r="E7" t="str">
        <v>SHADOWFAX TECHNOLOGIES PRIVATE LIMITED</v>
      </c>
      <c r="F7" t="str">
        <v>MH14CP4610</v>
      </c>
      <c r="G7" t="str">
        <v>ACE</v>
      </c>
      <c r="H7" t="str">
        <v>CNG</v>
      </c>
      <c r="I7">
        <v>4</v>
      </c>
      <c r="J7">
        <v>8</v>
      </c>
      <c r="K7">
        <v>25000</v>
      </c>
      <c r="L7">
        <v>1000</v>
      </c>
      <c r="M7">
        <v>55</v>
      </c>
      <c r="N7">
        <v>31</v>
      </c>
      <c r="O7" t="str">
        <v>PUN01 NC Cluster 87</v>
      </c>
      <c r="P7">
        <v>0</v>
      </c>
      <c r="Q7">
        <v>7.7777777777777779E-2</v>
      </c>
      <c r="R7">
        <v>0.18655092592592593</v>
      </c>
      <c r="S7">
        <v>145017</v>
      </c>
      <c r="T7">
        <v>0.29363425925925929</v>
      </c>
      <c r="U7">
        <v>0.29428240740740741</v>
      </c>
      <c r="V7">
        <v>145034</v>
      </c>
      <c r="W7">
        <v>30</v>
      </c>
      <c r="X7">
        <v>30</v>
      </c>
      <c r="Y7">
        <v>0</v>
      </c>
      <c r="Z7">
        <v>17</v>
      </c>
      <c r="AA7">
        <v>17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806.45</v>
      </c>
      <c r="AK7">
        <v>0</v>
      </c>
      <c r="AL7">
        <v>806.45</v>
      </c>
      <c r="AM7">
        <v>0</v>
      </c>
      <c r="AN7">
        <v>0</v>
      </c>
      <c r="AO7">
        <v>0</v>
      </c>
      <c r="AQ7" t="str">
        <v>MH14KA0766</v>
      </c>
    </row>
    <row r="8" spans="1:43">
      <c r="A8">
        <v>7</v>
      </c>
      <c r="B8" s="42">
        <v>45931</v>
      </c>
      <c r="C8" t="str">
        <v>HINJEWADI</v>
      </c>
      <c r="D8" t="str">
        <v>SLK1</v>
      </c>
      <c r="E8" t="str">
        <v>SHADOWFAX TECHNOLOGIES PRIVATE LIMITED</v>
      </c>
      <c r="F8" t="str">
        <v>MH14KA0766</v>
      </c>
      <c r="G8" t="str">
        <v>ACE</v>
      </c>
      <c r="H8" t="str">
        <v>CNG</v>
      </c>
      <c r="I8">
        <v>4</v>
      </c>
      <c r="J8">
        <v>8</v>
      </c>
      <c r="K8">
        <v>25000</v>
      </c>
      <c r="L8">
        <v>1000</v>
      </c>
      <c r="M8">
        <v>55</v>
      </c>
      <c r="N8">
        <v>31</v>
      </c>
      <c r="O8" t="str">
        <v>PUN01 NC Cluster 10</v>
      </c>
      <c r="P8">
        <v>0</v>
      </c>
      <c r="Q8">
        <v>5.0694444444444452E-2</v>
      </c>
      <c r="R8">
        <v>0.18493055555555557</v>
      </c>
      <c r="S8">
        <v>141296</v>
      </c>
      <c r="T8">
        <v>0.32070601851851849</v>
      </c>
      <c r="U8">
        <v>0.32085648148148149</v>
      </c>
      <c r="V8">
        <v>141320</v>
      </c>
      <c r="W8">
        <v>31</v>
      </c>
      <c r="X8">
        <v>63</v>
      </c>
      <c r="Y8">
        <v>-32</v>
      </c>
      <c r="Z8">
        <v>24</v>
      </c>
      <c r="AA8">
        <v>24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806.45</v>
      </c>
      <c r="AK8">
        <v>0</v>
      </c>
      <c r="AL8">
        <v>806.45</v>
      </c>
      <c r="AM8">
        <v>0</v>
      </c>
      <c r="AN8">
        <v>0</v>
      </c>
      <c r="AO8">
        <v>0</v>
      </c>
      <c r="AQ8" t="str">
        <v>MH14KA1228</v>
      </c>
    </row>
    <row r="9" spans="1:43">
      <c r="A9">
        <v>8</v>
      </c>
      <c r="B9" s="42">
        <v>45931</v>
      </c>
      <c r="C9" t="str">
        <v>HINJEWADI</v>
      </c>
      <c r="D9" t="str">
        <v>SLK1</v>
      </c>
      <c r="E9" t="str">
        <v>SHADOWFAX TECHNOLOGIES PRIVATE LIMITED</v>
      </c>
      <c r="F9" t="str">
        <v>MH14KA1228</v>
      </c>
      <c r="G9" t="str">
        <v>ACE</v>
      </c>
      <c r="H9" t="str">
        <v>CNG</v>
      </c>
      <c r="I9">
        <v>4</v>
      </c>
      <c r="J9">
        <v>8</v>
      </c>
      <c r="K9">
        <v>25000</v>
      </c>
      <c r="L9">
        <v>1000</v>
      </c>
      <c r="M9">
        <v>55</v>
      </c>
      <c r="N9">
        <v>31</v>
      </c>
      <c r="O9" t="str">
        <v>PUN01 NC Cluster 1</v>
      </c>
      <c r="P9">
        <v>0</v>
      </c>
      <c r="Q9">
        <v>0.1451388888888889</v>
      </c>
      <c r="R9">
        <v>0.29982638888888891</v>
      </c>
      <c r="S9">
        <v>157963</v>
      </c>
      <c r="T9">
        <v>0.29995370370370372</v>
      </c>
      <c r="U9">
        <v>0.30005787037037041</v>
      </c>
      <c r="V9">
        <v>157963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806.45</v>
      </c>
      <c r="AK9">
        <v>0</v>
      </c>
      <c r="AL9">
        <v>806.45</v>
      </c>
      <c r="AM9">
        <v>0</v>
      </c>
      <c r="AN9">
        <v>0</v>
      </c>
      <c r="AO9">
        <v>0</v>
      </c>
      <c r="AQ9" t="str">
        <v>MH14KA1873</v>
      </c>
    </row>
    <row r="10" spans="1:43">
      <c r="A10">
        <v>9</v>
      </c>
      <c r="B10" s="42">
        <v>45931</v>
      </c>
      <c r="C10" t="str">
        <v>HINJEWADI</v>
      </c>
      <c r="D10" t="str">
        <v>SLK1</v>
      </c>
      <c r="E10" t="str">
        <v>SHADOWFAX TECHNOLOGIES PRIVATE LIMITED</v>
      </c>
      <c r="F10" t="str">
        <v>MH14KA1873</v>
      </c>
      <c r="G10" t="str">
        <v>ACE</v>
      </c>
      <c r="H10" t="str">
        <v>CNG</v>
      </c>
      <c r="I10">
        <v>4</v>
      </c>
      <c r="J10">
        <v>8</v>
      </c>
      <c r="K10">
        <v>25000</v>
      </c>
      <c r="L10">
        <v>1000</v>
      </c>
      <c r="M10">
        <v>55</v>
      </c>
      <c r="N10">
        <v>31</v>
      </c>
      <c r="O10" t="str">
        <v>PUN01 NC Cluster 40</v>
      </c>
      <c r="P10">
        <v>0</v>
      </c>
      <c r="Q10">
        <v>5.486111111111111E-2</v>
      </c>
      <c r="R10">
        <v>0.18428240740740742</v>
      </c>
      <c r="S10">
        <v>111901</v>
      </c>
      <c r="T10">
        <v>0.37276620370370367</v>
      </c>
      <c r="U10">
        <v>0</v>
      </c>
      <c r="V10">
        <v>111901</v>
      </c>
      <c r="W10">
        <v>36</v>
      </c>
      <c r="X10">
        <v>36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150</v>
      </c>
      <c r="AF10">
        <v>0</v>
      </c>
      <c r="AG10">
        <v>0</v>
      </c>
      <c r="AH10">
        <v>0</v>
      </c>
      <c r="AI10">
        <v>0</v>
      </c>
      <c r="AJ10">
        <v>956.45</v>
      </c>
      <c r="AK10">
        <v>0</v>
      </c>
      <c r="AL10">
        <v>956.45</v>
      </c>
      <c r="AM10">
        <v>0</v>
      </c>
      <c r="AN10">
        <v>0</v>
      </c>
      <c r="AO10">
        <v>0</v>
      </c>
      <c r="AQ10" t="str">
        <v>MH14KA6513</v>
      </c>
    </row>
    <row r="11" spans="1:43">
      <c r="A11">
        <v>10</v>
      </c>
      <c r="B11" s="42">
        <v>45931</v>
      </c>
      <c r="C11" t="str">
        <v>HINJEWADI</v>
      </c>
      <c r="D11" t="str">
        <v>SLK1</v>
      </c>
      <c r="E11" t="str">
        <v>SHADOWFAX TECHNOLOGIES PRIVATE LIMITED</v>
      </c>
      <c r="F11" t="str">
        <v>MH14KA6513</v>
      </c>
      <c r="G11" t="str">
        <v>ACE</v>
      </c>
      <c r="H11" t="str">
        <v>CNG</v>
      </c>
      <c r="I11">
        <v>6</v>
      </c>
      <c r="J11">
        <v>8</v>
      </c>
      <c r="K11">
        <v>33000</v>
      </c>
      <c r="L11">
        <v>2000</v>
      </c>
      <c r="M11">
        <v>55</v>
      </c>
      <c r="N11">
        <v>31</v>
      </c>
      <c r="O11" t="str">
        <v>PUN01 NC Cluster 299</v>
      </c>
      <c r="P11">
        <v>0</v>
      </c>
      <c r="Q11">
        <v>4.9999999999999996E-2</v>
      </c>
      <c r="R11">
        <v>0.18689814814814817</v>
      </c>
      <c r="S11">
        <v>46761</v>
      </c>
      <c r="T11">
        <v>0.45104166666666662</v>
      </c>
      <c r="U11">
        <v>0.4511574074074074</v>
      </c>
      <c r="V11">
        <v>46850</v>
      </c>
      <c r="W11">
        <v>31</v>
      </c>
      <c r="X11">
        <v>31</v>
      </c>
      <c r="Y11">
        <v>0</v>
      </c>
      <c r="Z11">
        <v>89</v>
      </c>
      <c r="AA11">
        <v>89</v>
      </c>
      <c r="AB11">
        <v>0</v>
      </c>
      <c r="AC11">
        <v>0</v>
      </c>
      <c r="AD11">
        <v>2</v>
      </c>
      <c r="AE11">
        <v>300</v>
      </c>
      <c r="AF11">
        <v>0</v>
      </c>
      <c r="AG11">
        <v>0</v>
      </c>
      <c r="AH11">
        <v>0</v>
      </c>
      <c r="AI11">
        <v>0</v>
      </c>
      <c r="AJ11">
        <v>1364.52</v>
      </c>
      <c r="AK11">
        <v>0</v>
      </c>
      <c r="AL11">
        <v>1364.52</v>
      </c>
      <c r="AM11">
        <v>0</v>
      </c>
      <c r="AN11">
        <v>0</v>
      </c>
      <c r="AO11">
        <v>0</v>
      </c>
      <c r="AQ11" t="str">
        <v>MH14KQ4401</v>
      </c>
    </row>
    <row r="12" spans="1:43">
      <c r="A12">
        <v>11</v>
      </c>
      <c r="B12" s="42">
        <v>45931</v>
      </c>
      <c r="C12" t="str">
        <v>HINJEWADI</v>
      </c>
      <c r="D12" t="str">
        <v>SLK1</v>
      </c>
      <c r="E12" t="str">
        <v>SHADOWFAX TECHNOLOGIES PRIVATE LIMITED</v>
      </c>
      <c r="F12" t="str">
        <v>MH14KQ4401</v>
      </c>
      <c r="G12" t="str">
        <v>ACE</v>
      </c>
      <c r="H12" t="str">
        <v>CNG</v>
      </c>
      <c r="I12">
        <v>4</v>
      </c>
      <c r="J12">
        <v>8</v>
      </c>
      <c r="K12">
        <v>25000</v>
      </c>
      <c r="L12">
        <v>1000</v>
      </c>
      <c r="M12">
        <v>55</v>
      </c>
      <c r="N12">
        <v>31</v>
      </c>
      <c r="O12" t="str">
        <v>PUN01 NC Cluster 125</v>
      </c>
      <c r="P12">
        <v>0</v>
      </c>
      <c r="Q12">
        <v>0.13125000000000001</v>
      </c>
      <c r="R12">
        <v>0.19006944444444443</v>
      </c>
      <c r="S12">
        <v>73663</v>
      </c>
      <c r="T12">
        <v>0.31559027777777776</v>
      </c>
      <c r="U12">
        <v>0.3157638888888889</v>
      </c>
      <c r="V12">
        <v>73689</v>
      </c>
      <c r="W12">
        <v>34</v>
      </c>
      <c r="X12">
        <v>41</v>
      </c>
      <c r="Y12">
        <v>-7</v>
      </c>
      <c r="Z12">
        <v>26</v>
      </c>
      <c r="AA12">
        <v>26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806.45</v>
      </c>
      <c r="AK12">
        <v>0</v>
      </c>
      <c r="AL12">
        <v>806.45</v>
      </c>
      <c r="AM12">
        <v>0</v>
      </c>
      <c r="AN12">
        <v>0</v>
      </c>
      <c r="AO12">
        <v>0</v>
      </c>
      <c r="AQ12" t="str">
        <v>MH14LB6732</v>
      </c>
    </row>
    <row r="13" spans="1:43">
      <c r="A13">
        <v>12</v>
      </c>
      <c r="B13" s="42">
        <v>45931</v>
      </c>
      <c r="C13" t="str">
        <v>HINJEWADI</v>
      </c>
      <c r="D13" t="str">
        <v>SLK1</v>
      </c>
      <c r="E13" t="str">
        <v>SHADOWFAX TECHNOLOGIES PRIVATE LIMITED</v>
      </c>
      <c r="F13" t="str">
        <v>MH14LB6732</v>
      </c>
      <c r="G13" t="str">
        <v>ACE</v>
      </c>
      <c r="H13" t="str">
        <v>CNG</v>
      </c>
      <c r="I13">
        <v>4</v>
      </c>
      <c r="J13">
        <v>8</v>
      </c>
      <c r="K13">
        <v>25000</v>
      </c>
      <c r="L13">
        <v>1000</v>
      </c>
      <c r="M13">
        <v>55</v>
      </c>
      <c r="N13">
        <v>31</v>
      </c>
      <c r="O13" t="str">
        <v>PUN01 NC Cluster 199</v>
      </c>
      <c r="P13">
        <v>0</v>
      </c>
      <c r="Q13">
        <v>5.5555555555555552E-2</v>
      </c>
      <c r="R13">
        <v>0.18310185185185188</v>
      </c>
      <c r="S13">
        <v>51629</v>
      </c>
      <c r="T13">
        <v>0.3168287037037037</v>
      </c>
      <c r="U13">
        <v>0.31706018518518519</v>
      </c>
      <c r="V13">
        <v>51659</v>
      </c>
      <c r="W13">
        <v>12</v>
      </c>
      <c r="X13">
        <v>12</v>
      </c>
      <c r="Y13">
        <v>0</v>
      </c>
      <c r="Z13">
        <v>30</v>
      </c>
      <c r="AA13">
        <v>30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806.45</v>
      </c>
      <c r="AK13">
        <v>0</v>
      </c>
      <c r="AL13">
        <v>806.45</v>
      </c>
      <c r="AM13">
        <v>0</v>
      </c>
      <c r="AN13">
        <v>0</v>
      </c>
      <c r="AO13">
        <v>0</v>
      </c>
      <c r="AQ13" t="str">
        <v>MH14LB6751</v>
      </c>
    </row>
    <row r="14" spans="1:43">
      <c r="A14">
        <v>13</v>
      </c>
      <c r="B14" s="42">
        <v>45931</v>
      </c>
      <c r="C14" t="str">
        <v>HINJEWADI</v>
      </c>
      <c r="D14" t="str">
        <v>SLK1</v>
      </c>
      <c r="E14" t="str">
        <v>SHADOWFAX TECHNOLOGIES PRIVATE LIMITED</v>
      </c>
      <c r="F14" t="str">
        <v>MH14LB6751</v>
      </c>
      <c r="G14" t="str">
        <v>ACE</v>
      </c>
      <c r="H14" t="str">
        <v>CNG</v>
      </c>
      <c r="I14">
        <v>4</v>
      </c>
      <c r="J14">
        <v>8</v>
      </c>
      <c r="K14">
        <v>25000</v>
      </c>
      <c r="L14">
        <v>1000</v>
      </c>
      <c r="M14">
        <v>55</v>
      </c>
      <c r="N14">
        <v>31</v>
      </c>
      <c r="O14" t="str">
        <v>PUN01 NC Cluster 38</v>
      </c>
      <c r="P14">
        <v>0</v>
      </c>
      <c r="Q14">
        <v>5.4166666666666669E-2</v>
      </c>
      <c r="R14">
        <v>0.18400462962962963</v>
      </c>
      <c r="S14">
        <v>82338</v>
      </c>
      <c r="T14">
        <v>0.28467592592592594</v>
      </c>
      <c r="U14">
        <v>0.28531250000000002</v>
      </c>
      <c r="V14">
        <v>82351</v>
      </c>
      <c r="W14">
        <v>55</v>
      </c>
      <c r="X14">
        <v>50</v>
      </c>
      <c r="Y14">
        <v>5</v>
      </c>
      <c r="Z14">
        <v>13</v>
      </c>
      <c r="AA14">
        <v>13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806.45</v>
      </c>
      <c r="AK14">
        <v>0</v>
      </c>
      <c r="AL14">
        <v>806.45</v>
      </c>
      <c r="AM14">
        <v>0</v>
      </c>
      <c r="AN14">
        <v>0</v>
      </c>
      <c r="AO14">
        <v>0</v>
      </c>
      <c r="AQ14" t="str">
        <v>MH14LL5974</v>
      </c>
    </row>
    <row r="15" spans="1:43">
      <c r="A15">
        <v>14</v>
      </c>
      <c r="B15" s="42">
        <v>45931</v>
      </c>
      <c r="C15" t="str">
        <v>HINJEWADI</v>
      </c>
      <c r="D15" t="str">
        <v>SLK1</v>
      </c>
      <c r="E15" t="str">
        <v>SHADOWFAX TECHNOLOGIES PRIVATE LIMITED</v>
      </c>
      <c r="F15" t="str">
        <v>MH14LL5974</v>
      </c>
      <c r="G15" t="str">
        <v>ACE</v>
      </c>
      <c r="H15" t="str">
        <v>CNG</v>
      </c>
      <c r="I15">
        <v>4</v>
      </c>
      <c r="J15">
        <v>8</v>
      </c>
      <c r="K15">
        <v>25000</v>
      </c>
      <c r="L15">
        <v>1000</v>
      </c>
      <c r="M15">
        <v>55</v>
      </c>
      <c r="N15">
        <v>31</v>
      </c>
      <c r="O15" t="str">
        <v>PUN01 NC Cluster 107</v>
      </c>
      <c r="P15">
        <v>0</v>
      </c>
      <c r="Q15">
        <v>9.2361111111111116E-2</v>
      </c>
      <c r="R15">
        <v>0.19210648148148146</v>
      </c>
      <c r="S15">
        <v>35814</v>
      </c>
      <c r="T15">
        <v>0.30258101851851854</v>
      </c>
      <c r="U15">
        <v>0.30268518518518517</v>
      </c>
      <c r="V15">
        <v>35841</v>
      </c>
      <c r="W15">
        <v>48</v>
      </c>
      <c r="X15">
        <v>48</v>
      </c>
      <c r="Y15">
        <v>0</v>
      </c>
      <c r="Z15">
        <v>27</v>
      </c>
      <c r="AA15">
        <v>27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806.45</v>
      </c>
      <c r="AK15">
        <v>0</v>
      </c>
      <c r="AL15">
        <v>806.45</v>
      </c>
      <c r="AM15">
        <v>0</v>
      </c>
      <c r="AN15">
        <v>0</v>
      </c>
      <c r="AO15">
        <v>0</v>
      </c>
      <c r="AQ15" t="str">
        <v>MH14LL6836</v>
      </c>
    </row>
    <row r="16" spans="1:43">
      <c r="A16">
        <v>15</v>
      </c>
      <c r="B16" s="42">
        <v>45931</v>
      </c>
      <c r="C16" t="str">
        <v>HINJEWADI</v>
      </c>
      <c r="D16" t="str">
        <v>SLK1</v>
      </c>
      <c r="E16" t="str">
        <v>SHADOWFAX TECHNOLOGIES PRIVATE LIMITED</v>
      </c>
      <c r="F16" t="str">
        <v>MH14LL6836</v>
      </c>
      <c r="G16" t="str">
        <v>ACE</v>
      </c>
      <c r="H16" t="str">
        <v>CNG</v>
      </c>
      <c r="I16">
        <v>6</v>
      </c>
      <c r="J16">
        <v>8</v>
      </c>
      <c r="K16">
        <v>33000</v>
      </c>
      <c r="L16">
        <v>2000</v>
      </c>
      <c r="M16">
        <v>55</v>
      </c>
      <c r="N16">
        <v>31</v>
      </c>
      <c r="O16" t="str">
        <v>PUN01 NC Cluster 303</v>
      </c>
      <c r="P16">
        <v>0</v>
      </c>
      <c r="Q16">
        <v>5.4166666666666669E-2</v>
      </c>
      <c r="R16">
        <v>0.1875</v>
      </c>
      <c r="S16">
        <v>31563</v>
      </c>
      <c r="T16">
        <v>0.33157407407407408</v>
      </c>
      <c r="U16">
        <v>0.33174768518518521</v>
      </c>
      <c r="V16">
        <v>31632</v>
      </c>
      <c r="W16">
        <v>30</v>
      </c>
      <c r="X16">
        <v>30</v>
      </c>
      <c r="Y16">
        <v>0</v>
      </c>
      <c r="Z16">
        <v>69</v>
      </c>
      <c r="AA16">
        <v>69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1064.52</v>
      </c>
      <c r="AK16">
        <v>0</v>
      </c>
      <c r="AL16">
        <v>1064.52</v>
      </c>
      <c r="AM16">
        <v>0</v>
      </c>
      <c r="AN16">
        <v>0</v>
      </c>
      <c r="AO16">
        <v>0</v>
      </c>
      <c r="AQ16" t="str">
        <v>MH14LX6360</v>
      </c>
    </row>
    <row r="17" spans="1:43">
      <c r="A17">
        <v>16</v>
      </c>
      <c r="B17" s="42">
        <v>45931</v>
      </c>
      <c r="C17" t="str">
        <v>HINJEWADI</v>
      </c>
      <c r="D17" t="str">
        <v>SLK1</v>
      </c>
      <c r="E17" t="str">
        <v>SHADOWFAX TECHNOLOGIES PRIVATE LIMITED</v>
      </c>
      <c r="F17" t="str">
        <v>MH14LX6360</v>
      </c>
      <c r="G17" t="str">
        <v>ACE</v>
      </c>
      <c r="H17" t="str">
        <v>CNG</v>
      </c>
      <c r="I17">
        <v>4</v>
      </c>
      <c r="J17">
        <v>8</v>
      </c>
      <c r="K17">
        <v>25000</v>
      </c>
      <c r="L17">
        <v>1000</v>
      </c>
      <c r="M17">
        <v>55</v>
      </c>
      <c r="N17">
        <v>31</v>
      </c>
      <c r="O17" t="str">
        <v>PUN01 NC Cluster 37</v>
      </c>
      <c r="P17">
        <v>0</v>
      </c>
      <c r="Q17">
        <v>5.347222222222222E-2</v>
      </c>
      <c r="R17">
        <v>0.18909722222222222</v>
      </c>
      <c r="S17">
        <v>36931</v>
      </c>
      <c r="T17">
        <v>0.37230324074074073</v>
      </c>
      <c r="U17">
        <v>0.37259259259259259</v>
      </c>
      <c r="V17">
        <v>36940</v>
      </c>
      <c r="W17">
        <v>45</v>
      </c>
      <c r="X17">
        <v>33</v>
      </c>
      <c r="Y17">
        <v>12</v>
      </c>
      <c r="Z17">
        <v>9</v>
      </c>
      <c r="AA17">
        <v>9</v>
      </c>
      <c r="AB17">
        <v>0</v>
      </c>
      <c r="AC17">
        <v>0</v>
      </c>
      <c r="AD17">
        <v>1</v>
      </c>
      <c r="AE17">
        <v>150</v>
      </c>
      <c r="AF17">
        <v>0</v>
      </c>
      <c r="AG17">
        <v>0</v>
      </c>
      <c r="AH17">
        <v>0</v>
      </c>
      <c r="AI17">
        <v>0</v>
      </c>
      <c r="AJ17">
        <v>956.45</v>
      </c>
      <c r="AK17">
        <v>0</v>
      </c>
      <c r="AL17">
        <v>956.45</v>
      </c>
      <c r="AM17">
        <v>0</v>
      </c>
      <c r="AN17">
        <v>0</v>
      </c>
      <c r="AO17">
        <v>0</v>
      </c>
      <c r="AQ17" t="str">
        <v>MH14MH4582</v>
      </c>
    </row>
    <row r="18" spans="1:43">
      <c r="A18">
        <v>17</v>
      </c>
      <c r="B18" s="42">
        <v>45931</v>
      </c>
      <c r="C18" t="str">
        <v>HINJEWADI</v>
      </c>
      <c r="D18" t="str">
        <v>SLK1</v>
      </c>
      <c r="E18" t="str">
        <v>SHADOWFAX TECHNOLOGIES PRIVATE LIMITED</v>
      </c>
      <c r="F18" t="str">
        <v>MH14MH4582</v>
      </c>
      <c r="G18" t="str">
        <v>ACE</v>
      </c>
      <c r="H18" t="str">
        <v>CNG</v>
      </c>
      <c r="I18">
        <v>4</v>
      </c>
      <c r="J18">
        <v>8</v>
      </c>
      <c r="K18">
        <v>25000</v>
      </c>
      <c r="L18">
        <v>1000</v>
      </c>
      <c r="M18">
        <v>55</v>
      </c>
      <c r="N18">
        <v>31</v>
      </c>
      <c r="O18" t="str">
        <v>PUN01 NC Cluster 206</v>
      </c>
      <c r="P18">
        <v>0</v>
      </c>
      <c r="Q18">
        <v>5.486111111111111E-2</v>
      </c>
      <c r="R18">
        <v>0.18379629629629632</v>
      </c>
      <c r="S18">
        <v>5599</v>
      </c>
      <c r="T18">
        <v>0.30700231481481483</v>
      </c>
      <c r="U18">
        <v>0.30708333333333332</v>
      </c>
      <c r="V18">
        <v>5615</v>
      </c>
      <c r="W18">
        <v>50</v>
      </c>
      <c r="X18">
        <v>33</v>
      </c>
      <c r="Y18">
        <v>17</v>
      </c>
      <c r="Z18">
        <v>16</v>
      </c>
      <c r="AA18">
        <v>16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806.45</v>
      </c>
      <c r="AK18">
        <v>0</v>
      </c>
      <c r="AL18">
        <v>806.45</v>
      </c>
      <c r="AM18">
        <v>0</v>
      </c>
      <c r="AN18">
        <v>0</v>
      </c>
      <c r="AO18">
        <v>0</v>
      </c>
      <c r="AQ18" t="str">
        <v>MH14MH6374</v>
      </c>
    </row>
    <row r="19" spans="1:43">
      <c r="A19">
        <v>18</v>
      </c>
      <c r="B19" s="42">
        <v>45931</v>
      </c>
      <c r="C19" t="str">
        <v>HINJEWADI</v>
      </c>
      <c r="D19" t="str">
        <v>SLK1</v>
      </c>
      <c r="E19" t="str">
        <v>SHADOWFAX TECHNOLOGIES PRIVATE LIMITED</v>
      </c>
      <c r="F19" t="str">
        <v>MH14MH6374</v>
      </c>
      <c r="G19" t="str">
        <v>ACE</v>
      </c>
      <c r="H19" t="str">
        <v>CNG</v>
      </c>
      <c r="I19">
        <v>4</v>
      </c>
      <c r="J19">
        <v>8</v>
      </c>
      <c r="K19">
        <v>25000</v>
      </c>
      <c r="L19">
        <v>1000</v>
      </c>
      <c r="M19">
        <v>55</v>
      </c>
      <c r="N19">
        <v>31</v>
      </c>
      <c r="O19" t="str">
        <v>PUN01 NC Cluster 201</v>
      </c>
      <c r="P19">
        <v>0</v>
      </c>
      <c r="Q19">
        <v>5.486111111111111E-2</v>
      </c>
      <c r="R19">
        <v>0.18333333333333335</v>
      </c>
      <c r="S19">
        <v>6287</v>
      </c>
      <c r="T19">
        <v>0.33907407407407408</v>
      </c>
      <c r="U19">
        <v>0.33916666666666667</v>
      </c>
      <c r="V19">
        <v>6321</v>
      </c>
      <c r="W19">
        <v>36</v>
      </c>
      <c r="X19">
        <v>36</v>
      </c>
      <c r="Y19">
        <v>0</v>
      </c>
      <c r="Z19">
        <v>34</v>
      </c>
      <c r="AA19">
        <v>34</v>
      </c>
      <c r="AB19">
        <v>0</v>
      </c>
      <c r="AC19">
        <v>0</v>
      </c>
      <c r="AD19">
        <v>1</v>
      </c>
      <c r="AE19">
        <v>150</v>
      </c>
      <c r="AF19">
        <v>0</v>
      </c>
      <c r="AG19">
        <v>0</v>
      </c>
      <c r="AH19">
        <v>0</v>
      </c>
      <c r="AI19">
        <v>0</v>
      </c>
      <c r="AJ19">
        <v>956.45</v>
      </c>
      <c r="AK19">
        <v>0</v>
      </c>
      <c r="AL19">
        <v>956.45</v>
      </c>
      <c r="AM19">
        <v>0</v>
      </c>
      <c r="AN19">
        <v>0</v>
      </c>
      <c r="AO19">
        <v>0</v>
      </c>
      <c r="AQ19" t="str">
        <v>MH14MH8276</v>
      </c>
    </row>
    <row r="20" spans="1:43">
      <c r="A20">
        <v>19</v>
      </c>
      <c r="B20" s="42">
        <v>45931</v>
      </c>
      <c r="C20" t="str">
        <v>HINJEWADI</v>
      </c>
      <c r="D20" t="str">
        <v>SLK1</v>
      </c>
      <c r="E20" t="str">
        <v>SHADOWFAX TECHNOLOGIES PRIVATE LIMITED</v>
      </c>
      <c r="F20" t="str">
        <v>MH14MH8276</v>
      </c>
      <c r="G20" t="str">
        <v>ACE</v>
      </c>
      <c r="H20" t="str">
        <v>CNG</v>
      </c>
      <c r="I20">
        <v>4</v>
      </c>
      <c r="J20">
        <v>8</v>
      </c>
      <c r="K20">
        <v>25000</v>
      </c>
      <c r="L20">
        <v>1000</v>
      </c>
      <c r="M20">
        <v>55</v>
      </c>
      <c r="N20">
        <v>31</v>
      </c>
      <c r="O20" t="str">
        <v>PUN01 NC Cluster 36</v>
      </c>
      <c r="P20">
        <v>0</v>
      </c>
      <c r="Q20">
        <v>5.347222222222222E-2</v>
      </c>
      <c r="R20">
        <v>0.18733796296296298</v>
      </c>
      <c r="S20">
        <v>3157</v>
      </c>
      <c r="T20">
        <v>0.3740856481481481</v>
      </c>
      <c r="U20">
        <v>0.37428240740740742</v>
      </c>
      <c r="V20">
        <v>3181</v>
      </c>
      <c r="W20">
        <v>40</v>
      </c>
      <c r="X20">
        <v>40</v>
      </c>
      <c r="Y20">
        <v>0</v>
      </c>
      <c r="Z20">
        <v>24</v>
      </c>
      <c r="AA20">
        <v>24</v>
      </c>
      <c r="AB20">
        <v>0</v>
      </c>
      <c r="AC20">
        <v>0</v>
      </c>
      <c r="AD20">
        <v>1</v>
      </c>
      <c r="AE20">
        <v>150</v>
      </c>
      <c r="AF20">
        <v>0</v>
      </c>
      <c r="AG20">
        <v>0</v>
      </c>
      <c r="AH20">
        <v>0</v>
      </c>
      <c r="AI20">
        <v>0</v>
      </c>
      <c r="AJ20">
        <v>956.45</v>
      </c>
      <c r="AK20">
        <v>0</v>
      </c>
      <c r="AL20">
        <v>956.45</v>
      </c>
      <c r="AM20">
        <v>0</v>
      </c>
      <c r="AN20">
        <v>0</v>
      </c>
      <c r="AO20">
        <v>0</v>
      </c>
      <c r="AQ20" t="str">
        <v>MH14LL4513</v>
      </c>
    </row>
    <row r="21" spans="1:43">
      <c r="A21">
        <v>20</v>
      </c>
      <c r="B21" s="42">
        <v>45931</v>
      </c>
      <c r="C21" t="str">
        <v>HINJEWADI</v>
      </c>
      <c r="D21" t="str">
        <v>SLK1</v>
      </c>
      <c r="E21" t="str">
        <v>SHADOWFAX TECHNOLOGIES PRIVATE LIMITED</v>
      </c>
      <c r="F21" t="str">
        <v>MH14LL4513</v>
      </c>
      <c r="G21" t="str">
        <v>BOLERO</v>
      </c>
      <c r="H21" t="str">
        <v>DIESEL</v>
      </c>
      <c r="I21">
        <v>4</v>
      </c>
      <c r="J21">
        <v>10</v>
      </c>
      <c r="K21">
        <v>29000</v>
      </c>
      <c r="L21">
        <v>1000</v>
      </c>
      <c r="M21">
        <v>55</v>
      </c>
      <c r="N21">
        <v>31</v>
      </c>
      <c r="O21" t="str">
        <v>PUN01 NC Cluster 3</v>
      </c>
      <c r="P21">
        <v>0</v>
      </c>
      <c r="Q21">
        <v>0.12569444444444444</v>
      </c>
      <c r="R21">
        <v>0.18986111111111112</v>
      </c>
      <c r="S21">
        <v>32133</v>
      </c>
      <c r="T21">
        <v>0.28300925925925924</v>
      </c>
      <c r="U21">
        <v>0.283287037037037</v>
      </c>
      <c r="V21">
        <v>32143</v>
      </c>
      <c r="W21">
        <v>34</v>
      </c>
      <c r="X21">
        <v>34</v>
      </c>
      <c r="Y21">
        <v>0</v>
      </c>
      <c r="Z21">
        <v>10</v>
      </c>
      <c r="AA21">
        <v>10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935.48</v>
      </c>
      <c r="AK21">
        <v>0</v>
      </c>
      <c r="AL21">
        <v>935.48</v>
      </c>
      <c r="AM21">
        <v>0</v>
      </c>
      <c r="AN21">
        <v>0</v>
      </c>
      <c r="AO21">
        <v>0</v>
      </c>
      <c r="AQ21" t="str">
        <v>MH14LX4839</v>
      </c>
    </row>
    <row r="22" spans="1:43">
      <c r="A22">
        <v>21</v>
      </c>
      <c r="B22" s="42">
        <v>45931</v>
      </c>
      <c r="C22" t="str">
        <v>HINJEWADI</v>
      </c>
      <c r="D22" t="str">
        <v>SLK1</v>
      </c>
      <c r="E22" t="str">
        <v>SHADOWFAX TECHNOLOGIES PRIVATE LIMITED</v>
      </c>
      <c r="F22" t="str">
        <v>MH14LX4839</v>
      </c>
      <c r="G22" t="str">
        <v>BOLERO</v>
      </c>
      <c r="H22" t="str">
        <v>DIESEL</v>
      </c>
      <c r="I22">
        <v>4</v>
      </c>
      <c r="J22">
        <v>10</v>
      </c>
      <c r="K22">
        <v>29000</v>
      </c>
      <c r="L22">
        <v>1000</v>
      </c>
      <c r="M22">
        <v>55</v>
      </c>
      <c r="N22">
        <v>31</v>
      </c>
      <c r="O22" t="str">
        <v>PUN01 NC Cluster 100</v>
      </c>
      <c r="P22">
        <v>0</v>
      </c>
      <c r="Q22">
        <v>6.3888888888888884E-2</v>
      </c>
      <c r="R22">
        <v>0.18196759259259257</v>
      </c>
      <c r="S22">
        <v>37550</v>
      </c>
      <c r="T22">
        <v>0.32427083333333334</v>
      </c>
      <c r="U22">
        <v>0.32442129629629629</v>
      </c>
      <c r="V22">
        <v>37575</v>
      </c>
      <c r="W22">
        <v>54</v>
      </c>
      <c r="X22">
        <v>54</v>
      </c>
      <c r="Y22">
        <v>0</v>
      </c>
      <c r="Z22">
        <v>25</v>
      </c>
      <c r="AA22">
        <v>25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935.48</v>
      </c>
      <c r="AK22">
        <v>0</v>
      </c>
      <c r="AL22">
        <v>935.48</v>
      </c>
      <c r="AM22">
        <v>0</v>
      </c>
      <c r="AN22">
        <v>0</v>
      </c>
      <c r="AO22">
        <v>0</v>
      </c>
      <c r="AQ22" t="str">
        <v>MH14MH7322</v>
      </c>
    </row>
    <row r="23" spans="1:43">
      <c r="A23">
        <v>22</v>
      </c>
      <c r="B23" s="42">
        <v>45931</v>
      </c>
      <c r="C23" t="str">
        <v>HINJEWADI</v>
      </c>
      <c r="D23" t="str">
        <v>SLK1</v>
      </c>
      <c r="E23" t="str">
        <v>SHADOWFAX TECHNOLOGIES PRIVATE LIMITED</v>
      </c>
      <c r="F23" t="str">
        <v>MH14MH7322</v>
      </c>
      <c r="G23" t="str">
        <v>BOLERO</v>
      </c>
      <c r="H23" t="str">
        <v>DIESEL</v>
      </c>
      <c r="I23">
        <v>4</v>
      </c>
      <c r="J23">
        <v>10</v>
      </c>
      <c r="K23">
        <v>29000</v>
      </c>
      <c r="L23">
        <v>1000</v>
      </c>
      <c r="M23">
        <v>55</v>
      </c>
      <c r="N23">
        <v>31</v>
      </c>
      <c r="O23" t="str">
        <v>PUN01 NC Cluster 128</v>
      </c>
      <c r="P23">
        <v>0</v>
      </c>
      <c r="Q23">
        <v>0.10277777777777779</v>
      </c>
      <c r="R23">
        <v>0.1882175925925926</v>
      </c>
      <c r="S23">
        <v>2366</v>
      </c>
      <c r="T23">
        <v>0.4524305555555555</v>
      </c>
      <c r="U23">
        <v>0.45253472222222224</v>
      </c>
      <c r="V23">
        <v>2411</v>
      </c>
      <c r="W23">
        <v>40</v>
      </c>
      <c r="X23">
        <v>40</v>
      </c>
      <c r="Y23">
        <v>0</v>
      </c>
      <c r="Z23">
        <v>45</v>
      </c>
      <c r="AA23">
        <v>45</v>
      </c>
      <c r="AB23">
        <v>0</v>
      </c>
      <c r="AC23">
        <v>0</v>
      </c>
      <c r="AD23">
        <v>3</v>
      </c>
      <c r="AE23">
        <v>450</v>
      </c>
      <c r="AF23">
        <v>0</v>
      </c>
      <c r="AG23">
        <v>0</v>
      </c>
      <c r="AH23">
        <v>0</v>
      </c>
      <c r="AI23">
        <v>0</v>
      </c>
      <c r="AJ23">
        <v>1385.48</v>
      </c>
      <c r="AK23">
        <v>0</v>
      </c>
      <c r="AL23">
        <v>1385.48</v>
      </c>
      <c r="AM23">
        <v>0</v>
      </c>
      <c r="AN23">
        <v>0</v>
      </c>
      <c r="AO23">
        <v>0</v>
      </c>
      <c r="AQ23" t="str">
        <v>MH16CD7321</v>
      </c>
    </row>
    <row r="24" spans="1:43">
      <c r="A24">
        <v>23</v>
      </c>
      <c r="B24" s="42">
        <v>45931</v>
      </c>
      <c r="C24" t="str">
        <v>HINJEWADI</v>
      </c>
      <c r="D24" t="str">
        <v>SLK1</v>
      </c>
      <c r="E24" t="str">
        <v>SHADOWFAX TECHNOLOGIES PRIVATE LIMITED</v>
      </c>
      <c r="F24" t="str">
        <v>MH16CD7321</v>
      </c>
      <c r="G24" t="str">
        <v>BOLERO</v>
      </c>
      <c r="H24" t="str">
        <v>DIESEL</v>
      </c>
      <c r="I24">
        <v>4</v>
      </c>
      <c r="J24">
        <v>10</v>
      </c>
      <c r="K24">
        <v>29000</v>
      </c>
      <c r="L24">
        <v>1000</v>
      </c>
      <c r="M24">
        <v>55</v>
      </c>
      <c r="N24">
        <v>31</v>
      </c>
      <c r="O24" t="str">
        <v>PUN01 NC Cluster 135</v>
      </c>
      <c r="P24">
        <v>0</v>
      </c>
      <c r="Q24">
        <v>5.9027777777777783E-2</v>
      </c>
      <c r="R24">
        <v>0.19133101851851853</v>
      </c>
      <c r="S24">
        <v>138529</v>
      </c>
      <c r="T24">
        <v>0.29281249999999998</v>
      </c>
      <c r="U24">
        <v>0.29296296296296298</v>
      </c>
      <c r="V24">
        <v>138559</v>
      </c>
      <c r="W24">
        <v>47</v>
      </c>
      <c r="X24">
        <v>47</v>
      </c>
      <c r="Y24">
        <v>0</v>
      </c>
      <c r="Z24">
        <v>30</v>
      </c>
      <c r="AA24">
        <v>30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935.48</v>
      </c>
      <c r="AK24">
        <v>0</v>
      </c>
      <c r="AL24">
        <v>935.48</v>
      </c>
      <c r="AM24">
        <v>0</v>
      </c>
      <c r="AN24">
        <v>0</v>
      </c>
      <c r="AO24">
        <v>0</v>
      </c>
      <c r="AQ24" t="str">
        <v>MH14KA2871</v>
      </c>
    </row>
    <row r="25" spans="1:43">
      <c r="A25">
        <v>24</v>
      </c>
      <c r="B25" s="42">
        <v>45932</v>
      </c>
      <c r="C25" t="str">
        <v>HINJEWADI</v>
      </c>
      <c r="D25" t="str">
        <v>SLK1</v>
      </c>
      <c r="E25" t="str">
        <v>SHADOWFAX TECHNOLOGIES PRIVATE LIMITED</v>
      </c>
      <c r="F25" t="str">
        <v>MH03AH8989</v>
      </c>
      <c r="G25" t="str">
        <v>ACE</v>
      </c>
      <c r="H25" t="str">
        <v>CNG</v>
      </c>
      <c r="I25">
        <v>4</v>
      </c>
      <c r="J25">
        <v>8</v>
      </c>
      <c r="K25">
        <v>25000</v>
      </c>
      <c r="L25">
        <v>1000</v>
      </c>
      <c r="M25">
        <v>55</v>
      </c>
      <c r="N25">
        <v>31</v>
      </c>
      <c r="O25" t="str">
        <v>PUN01 NC Cluster 1</v>
      </c>
      <c r="P25">
        <v>0</v>
      </c>
      <c r="Q25">
        <v>5.4166666666666669E-2</v>
      </c>
      <c r="R25">
        <v>0.1799537037037037</v>
      </c>
      <c r="S25">
        <v>55356</v>
      </c>
      <c r="T25">
        <v>0.28342592592592591</v>
      </c>
      <c r="U25">
        <v>0.28377314814814814</v>
      </c>
      <c r="V25">
        <v>55363</v>
      </c>
      <c r="W25">
        <v>49</v>
      </c>
      <c r="X25">
        <v>49</v>
      </c>
      <c r="Y25">
        <v>0</v>
      </c>
      <c r="Z25">
        <v>7</v>
      </c>
      <c r="AA25">
        <v>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806.45</v>
      </c>
      <c r="AK25">
        <v>0</v>
      </c>
      <c r="AL25">
        <v>806.45</v>
      </c>
      <c r="AM25">
        <v>0</v>
      </c>
      <c r="AN25">
        <v>0</v>
      </c>
      <c r="AO25">
        <v>0</v>
      </c>
      <c r="AQ25" t="str">
        <v>MH14KA6730</v>
      </c>
    </row>
    <row r="26" spans="1:43">
      <c r="A26">
        <v>25</v>
      </c>
      <c r="B26" s="42">
        <v>45932</v>
      </c>
      <c r="C26" t="str">
        <v>HINJEWADI</v>
      </c>
      <c r="D26" t="str">
        <v>SLK1</v>
      </c>
      <c r="E26" t="str">
        <v>SHADOWFAX TECHNOLOGIES PRIVATE LIMITED</v>
      </c>
      <c r="F26" t="str">
        <v>MH12UM3063</v>
      </c>
      <c r="G26" t="str">
        <v>ACE</v>
      </c>
      <c r="H26" t="str">
        <v>CNG</v>
      </c>
      <c r="I26">
        <v>6</v>
      </c>
      <c r="J26">
        <v>8</v>
      </c>
      <c r="K26">
        <v>33000</v>
      </c>
      <c r="L26">
        <v>2000</v>
      </c>
      <c r="M26">
        <v>55</v>
      </c>
      <c r="N26">
        <v>31</v>
      </c>
      <c r="O26" t="str">
        <v>PUN01 NC Cluster 230</v>
      </c>
      <c r="P26">
        <v>0</v>
      </c>
      <c r="Q26">
        <v>7.3611111111111113E-2</v>
      </c>
      <c r="R26">
        <v>0.18557870370370369</v>
      </c>
      <c r="S26">
        <v>98245</v>
      </c>
      <c r="T26">
        <v>0</v>
      </c>
      <c r="U26">
        <v>0</v>
      </c>
      <c r="V26">
        <v>98298</v>
      </c>
      <c r="W26">
        <v>0</v>
      </c>
      <c r="X26">
        <v>59</v>
      </c>
      <c r="Y26">
        <v>-59</v>
      </c>
      <c r="Z26">
        <v>53</v>
      </c>
      <c r="AA26">
        <v>53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1064.52</v>
      </c>
      <c r="AK26">
        <v>0</v>
      </c>
      <c r="AL26">
        <v>1064.52</v>
      </c>
      <c r="AM26">
        <v>0</v>
      </c>
      <c r="AN26">
        <v>0</v>
      </c>
      <c r="AO26">
        <v>0</v>
      </c>
      <c r="AQ26" t="str">
        <v>MH14KQ0279</v>
      </c>
    </row>
    <row r="27" spans="1:43">
      <c r="A27">
        <v>26</v>
      </c>
      <c r="B27" s="42">
        <v>45932</v>
      </c>
      <c r="C27" t="str">
        <v>HINJEWADI</v>
      </c>
      <c r="D27" t="str">
        <v>SLK1</v>
      </c>
      <c r="E27" t="str">
        <v>SHADOWFAX TECHNOLOGIES PRIVATE LIMITED</v>
      </c>
      <c r="F27" t="str">
        <v>MH12VF3782</v>
      </c>
      <c r="G27" t="str">
        <v>ACE</v>
      </c>
      <c r="H27" t="str">
        <v>CNG</v>
      </c>
      <c r="I27">
        <v>4</v>
      </c>
      <c r="J27">
        <v>8</v>
      </c>
      <c r="K27">
        <v>25000</v>
      </c>
      <c r="L27">
        <v>1000</v>
      </c>
      <c r="M27">
        <v>55</v>
      </c>
      <c r="N27">
        <v>31</v>
      </c>
      <c r="O27" t="str">
        <v>PUN01 Cluster 155</v>
      </c>
      <c r="P27">
        <v>0</v>
      </c>
      <c r="Q27">
        <v>0.13263888888888889</v>
      </c>
      <c r="R27">
        <v>0.18780092592592593</v>
      </c>
      <c r="S27">
        <v>83367</v>
      </c>
      <c r="T27">
        <v>0.32288194444444446</v>
      </c>
      <c r="U27">
        <v>0.32299768518518518</v>
      </c>
      <c r="V27">
        <v>83400</v>
      </c>
      <c r="W27">
        <v>65</v>
      </c>
      <c r="X27">
        <v>65</v>
      </c>
      <c r="Y27">
        <v>0</v>
      </c>
      <c r="Z27">
        <v>33</v>
      </c>
      <c r="AA27">
        <v>33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806.45</v>
      </c>
      <c r="AK27">
        <v>0</v>
      </c>
      <c r="AL27">
        <v>806.45</v>
      </c>
      <c r="AM27">
        <v>0</v>
      </c>
      <c r="AN27">
        <v>0</v>
      </c>
      <c r="AO27">
        <v>0</v>
      </c>
      <c r="AQ27" t="str">
        <v>MH20GC8804</v>
      </c>
    </row>
    <row r="28" spans="1:43">
      <c r="A28">
        <v>27</v>
      </c>
      <c r="B28" s="42">
        <v>45932</v>
      </c>
      <c r="C28" t="str">
        <v>HINJEWADI</v>
      </c>
      <c r="D28" t="str">
        <v>SLK1</v>
      </c>
      <c r="E28" t="str">
        <v>SHADOWFAX TECHNOLOGIES PRIVATE LIMITED</v>
      </c>
      <c r="F28" t="str">
        <v>MH12XM2801</v>
      </c>
      <c r="G28" t="str">
        <v>ACE</v>
      </c>
      <c r="H28" t="str">
        <v>CNG</v>
      </c>
      <c r="I28">
        <v>4</v>
      </c>
      <c r="J28">
        <v>8</v>
      </c>
      <c r="K28">
        <v>25000</v>
      </c>
      <c r="L28">
        <v>1000</v>
      </c>
      <c r="M28">
        <v>55</v>
      </c>
      <c r="N28">
        <v>31</v>
      </c>
      <c r="O28" t="str">
        <v>PUN01 NC Cluster 17</v>
      </c>
      <c r="P28">
        <v>0</v>
      </c>
      <c r="Q28">
        <v>5.486111111111111E-2</v>
      </c>
      <c r="R28">
        <v>0.18217592592592591</v>
      </c>
      <c r="S28">
        <v>11005</v>
      </c>
      <c r="T28">
        <v>0.3390393518518518</v>
      </c>
      <c r="U28">
        <v>0.33912037037037041</v>
      </c>
      <c r="V28">
        <v>11026</v>
      </c>
      <c r="W28">
        <v>42</v>
      </c>
      <c r="X28">
        <v>42</v>
      </c>
      <c r="Y28">
        <v>0</v>
      </c>
      <c r="Z28">
        <v>21</v>
      </c>
      <c r="AA28">
        <v>21</v>
      </c>
      <c r="AB28">
        <v>0</v>
      </c>
      <c r="AC28">
        <v>0</v>
      </c>
      <c r="AD28">
        <v>1</v>
      </c>
      <c r="AE28">
        <v>150</v>
      </c>
      <c r="AF28">
        <v>0</v>
      </c>
      <c r="AG28">
        <v>0</v>
      </c>
      <c r="AH28">
        <v>0</v>
      </c>
      <c r="AI28">
        <v>0</v>
      </c>
      <c r="AJ28">
        <v>956.45</v>
      </c>
      <c r="AK28">
        <v>0</v>
      </c>
      <c r="AL28">
        <v>956.45</v>
      </c>
      <c r="AM28">
        <v>0</v>
      </c>
      <c r="AN28">
        <v>0</v>
      </c>
      <c r="AO28">
        <v>0</v>
      </c>
      <c r="AQ28" t="str">
        <v>MH14MH1873</v>
      </c>
    </row>
    <row r="29" spans="1:43">
      <c r="A29">
        <v>28</v>
      </c>
      <c r="B29" s="42">
        <v>45932</v>
      </c>
      <c r="C29" t="str">
        <v>HINJEWADI</v>
      </c>
      <c r="D29" t="str">
        <v>SLK1</v>
      </c>
      <c r="E29" t="str">
        <v>SHADOWFAX TECHNOLOGIES PRIVATE LIMITED</v>
      </c>
      <c r="F29" t="str">
        <v>MH14CP4610</v>
      </c>
      <c r="G29" t="str">
        <v>ACE</v>
      </c>
      <c r="H29" t="str">
        <v>CNG</v>
      </c>
      <c r="I29">
        <v>4</v>
      </c>
      <c r="J29">
        <v>8</v>
      </c>
      <c r="K29">
        <v>25000</v>
      </c>
      <c r="L29">
        <v>1000</v>
      </c>
      <c r="M29">
        <v>55</v>
      </c>
      <c r="N29">
        <v>31</v>
      </c>
      <c r="O29" t="str">
        <v>PUN01 NC Cluster 87</v>
      </c>
      <c r="P29">
        <v>0</v>
      </c>
      <c r="Q29">
        <v>7.1527777777777787E-2</v>
      </c>
      <c r="R29">
        <v>0.18057870370370369</v>
      </c>
      <c r="S29">
        <v>145039</v>
      </c>
      <c r="T29">
        <v>0.28725694444444444</v>
      </c>
      <c r="U29">
        <v>0.28759259259259257</v>
      </c>
      <c r="V29">
        <v>145055</v>
      </c>
      <c r="W29">
        <v>31</v>
      </c>
      <c r="X29">
        <v>31</v>
      </c>
      <c r="Y29">
        <v>0</v>
      </c>
      <c r="Z29">
        <v>16</v>
      </c>
      <c r="AA29">
        <v>16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806.45</v>
      </c>
      <c r="AK29">
        <v>0</v>
      </c>
      <c r="AL29">
        <v>806.45</v>
      </c>
      <c r="AM29">
        <v>0</v>
      </c>
      <c r="AN29">
        <v>0</v>
      </c>
      <c r="AO29">
        <v>0</v>
      </c>
      <c r="AQ29" t="str">
        <v>MH12YB3190</v>
      </c>
    </row>
    <row r="30" spans="1:43">
      <c r="A30">
        <v>29</v>
      </c>
      <c r="B30" s="42">
        <v>45932</v>
      </c>
      <c r="C30" t="str">
        <v>HINJEWADI</v>
      </c>
      <c r="D30" t="str">
        <v>SLK1</v>
      </c>
      <c r="E30" t="str">
        <v>SHADOWFAX TECHNOLOGIES PRIVATE LIMITED</v>
      </c>
      <c r="F30" t="str">
        <v>MH14KA0766</v>
      </c>
      <c r="G30" t="str">
        <v>ACE</v>
      </c>
      <c r="H30" t="str">
        <v>CNG</v>
      </c>
      <c r="I30">
        <v>4</v>
      </c>
      <c r="J30">
        <v>8</v>
      </c>
      <c r="K30">
        <v>25000</v>
      </c>
      <c r="L30">
        <v>1000</v>
      </c>
      <c r="M30">
        <v>55</v>
      </c>
      <c r="N30">
        <v>31</v>
      </c>
      <c r="O30" t="str">
        <v>PUN01 NC Cluster 127</v>
      </c>
      <c r="P30">
        <v>0</v>
      </c>
      <c r="Q30">
        <v>5.4166666666666669E-2</v>
      </c>
      <c r="R30">
        <v>0.18583333333333332</v>
      </c>
      <c r="S30">
        <v>141612</v>
      </c>
      <c r="T30">
        <v>0.29297453703703702</v>
      </c>
      <c r="U30">
        <v>0.29305555555555557</v>
      </c>
      <c r="V30">
        <v>141648</v>
      </c>
      <c r="W30">
        <v>34</v>
      </c>
      <c r="X30">
        <v>34</v>
      </c>
      <c r="Y30">
        <v>0</v>
      </c>
      <c r="Z30">
        <v>36</v>
      </c>
      <c r="AA30">
        <v>36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806.45</v>
      </c>
      <c r="AK30">
        <v>0</v>
      </c>
      <c r="AL30">
        <v>806.45</v>
      </c>
      <c r="AM30">
        <v>0</v>
      </c>
      <c r="AN30">
        <v>0</v>
      </c>
      <c r="AO30">
        <v>0</v>
      </c>
      <c r="AQ30" t="str">
        <v>MH12SF9859</v>
      </c>
    </row>
    <row r="31" spans="1:43">
      <c r="A31">
        <v>30</v>
      </c>
      <c r="B31" s="42">
        <v>45932</v>
      </c>
      <c r="C31" t="str">
        <v>HINJEWADI</v>
      </c>
      <c r="D31" t="str">
        <v>SLK1</v>
      </c>
      <c r="E31" t="str">
        <v>SHADOWFAX TECHNOLOGIES PRIVATE LIMITED</v>
      </c>
      <c r="F31" t="str">
        <v>MH14KA1228</v>
      </c>
      <c r="G31" t="str">
        <v>ACE</v>
      </c>
      <c r="H31" t="str">
        <v>CNG</v>
      </c>
      <c r="I31">
        <v>4</v>
      </c>
      <c r="J31">
        <v>8</v>
      </c>
      <c r="K31">
        <v>25000</v>
      </c>
      <c r="L31">
        <v>1000</v>
      </c>
      <c r="M31">
        <v>55</v>
      </c>
      <c r="N31">
        <v>31</v>
      </c>
      <c r="O31" t="str">
        <v>PUN01 NC Cluster 24</v>
      </c>
      <c r="P31">
        <v>0</v>
      </c>
      <c r="Q31">
        <v>0.13194444444444445</v>
      </c>
      <c r="R31">
        <v>0.19234953703703703</v>
      </c>
      <c r="S31">
        <v>158086</v>
      </c>
      <c r="T31">
        <v>0.34310185185185182</v>
      </c>
      <c r="U31">
        <v>0.34325231481481483</v>
      </c>
      <c r="V31">
        <v>158116</v>
      </c>
      <c r="W31">
        <v>39</v>
      </c>
      <c r="X31">
        <v>39</v>
      </c>
      <c r="Y31">
        <v>0</v>
      </c>
      <c r="Z31">
        <v>30</v>
      </c>
      <c r="AA31">
        <v>30</v>
      </c>
      <c r="AB31">
        <v>0</v>
      </c>
      <c r="AC31">
        <v>0</v>
      </c>
      <c r="AD31">
        <v>1</v>
      </c>
      <c r="AE31">
        <v>150</v>
      </c>
      <c r="AF31">
        <v>0</v>
      </c>
      <c r="AG31">
        <v>0</v>
      </c>
      <c r="AH31">
        <v>0</v>
      </c>
      <c r="AI31">
        <v>0</v>
      </c>
      <c r="AJ31">
        <v>956.45</v>
      </c>
      <c r="AK31">
        <v>0</v>
      </c>
      <c r="AL31">
        <v>956.45</v>
      </c>
      <c r="AM31">
        <v>0</v>
      </c>
      <c r="AN31">
        <v>0</v>
      </c>
      <c r="AO31">
        <v>0</v>
      </c>
      <c r="AQ31" t="str">
        <v>MH12WX6236</v>
      </c>
    </row>
    <row r="32" spans="1:43">
      <c r="A32">
        <v>31</v>
      </c>
      <c r="B32" s="42">
        <v>45932</v>
      </c>
      <c r="C32" t="str">
        <v>HINJEWADI</v>
      </c>
      <c r="D32" t="str">
        <v>SLK1</v>
      </c>
      <c r="E32" t="str">
        <v>SHADOWFAX TECHNOLOGIES PRIVATE LIMITED</v>
      </c>
      <c r="F32" t="str">
        <v>MH14KA1873</v>
      </c>
      <c r="G32" t="str">
        <v>ACE</v>
      </c>
      <c r="H32" t="str">
        <v>CNG</v>
      </c>
      <c r="I32">
        <v>4</v>
      </c>
      <c r="J32">
        <v>8</v>
      </c>
      <c r="K32">
        <v>25000</v>
      </c>
      <c r="L32">
        <v>1000</v>
      </c>
      <c r="M32">
        <v>55</v>
      </c>
      <c r="N32">
        <v>31</v>
      </c>
      <c r="O32" t="str">
        <v>PUN01 NC Cluster 42</v>
      </c>
      <c r="P32">
        <v>0</v>
      </c>
      <c r="Q32">
        <v>6.458333333333334E-2</v>
      </c>
      <c r="R32">
        <v>0.18440972222222221</v>
      </c>
      <c r="S32">
        <v>111961</v>
      </c>
      <c r="T32">
        <v>0.30873842592592593</v>
      </c>
      <c r="U32">
        <v>0.30927083333333333</v>
      </c>
      <c r="V32">
        <v>111984</v>
      </c>
      <c r="W32">
        <v>42</v>
      </c>
      <c r="X32">
        <v>42</v>
      </c>
      <c r="Y32">
        <v>0</v>
      </c>
      <c r="Z32">
        <v>23</v>
      </c>
      <c r="AA32">
        <v>23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806.45</v>
      </c>
      <c r="AK32">
        <v>0</v>
      </c>
      <c r="AL32">
        <v>806.45</v>
      </c>
      <c r="AM32">
        <v>0</v>
      </c>
      <c r="AN32">
        <v>0</v>
      </c>
      <c r="AO32">
        <v>0</v>
      </c>
      <c r="AQ32" t="str">
        <v>MH14LX4840</v>
      </c>
    </row>
    <row r="33" spans="1:43">
      <c r="A33">
        <v>32</v>
      </c>
      <c r="B33" s="42">
        <v>45932</v>
      </c>
      <c r="C33" t="str">
        <v>HINJEWADI</v>
      </c>
      <c r="D33" t="str">
        <v>SLK1</v>
      </c>
      <c r="E33" t="str">
        <v>SHADOWFAX TECHNOLOGIES PRIVATE LIMITED</v>
      </c>
      <c r="F33" t="str">
        <v>MH14KA2871</v>
      </c>
      <c r="G33" t="str">
        <v>ACE</v>
      </c>
      <c r="H33" t="str">
        <v>CNG</v>
      </c>
      <c r="I33">
        <v>4</v>
      </c>
      <c r="J33">
        <v>8</v>
      </c>
      <c r="K33">
        <v>25000</v>
      </c>
      <c r="L33">
        <v>1000</v>
      </c>
      <c r="M33">
        <v>55</v>
      </c>
      <c r="N33">
        <v>31</v>
      </c>
      <c r="O33" t="str">
        <v>PUN01 NC Cluster 26</v>
      </c>
      <c r="P33">
        <v>0</v>
      </c>
      <c r="Q33">
        <v>0.14166666666666666</v>
      </c>
      <c r="R33">
        <v>0.19012731481481482</v>
      </c>
      <c r="S33">
        <v>76451</v>
      </c>
      <c r="T33">
        <v>0.31829861111111107</v>
      </c>
      <c r="U33">
        <v>0.31839120370370372</v>
      </c>
      <c r="V33">
        <v>76480</v>
      </c>
      <c r="W33">
        <v>30</v>
      </c>
      <c r="X33">
        <v>30</v>
      </c>
      <c r="Y33">
        <v>0</v>
      </c>
      <c r="Z33">
        <v>29</v>
      </c>
      <c r="AA33">
        <v>29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806.45</v>
      </c>
      <c r="AK33">
        <v>0</v>
      </c>
      <c r="AL33">
        <v>806.45</v>
      </c>
      <c r="AM33">
        <v>0</v>
      </c>
      <c r="AN33">
        <v>0</v>
      </c>
      <c r="AO33">
        <v>0</v>
      </c>
      <c r="AQ33" t="str">
        <v>MH14LX1921</v>
      </c>
    </row>
    <row r="34" spans="1:43">
      <c r="A34">
        <v>33</v>
      </c>
      <c r="B34" s="42">
        <v>45932</v>
      </c>
      <c r="C34" t="str">
        <v>HINJEWADI</v>
      </c>
      <c r="D34" t="str">
        <v>SLK1</v>
      </c>
      <c r="E34" t="str">
        <v>SHADOWFAX TECHNOLOGIES PRIVATE LIMITED</v>
      </c>
      <c r="F34" t="str">
        <v>MH14KA6513</v>
      </c>
      <c r="G34" t="str">
        <v>ACE</v>
      </c>
      <c r="H34" t="str">
        <v>CNG</v>
      </c>
      <c r="I34">
        <v>6</v>
      </c>
      <c r="J34">
        <v>8</v>
      </c>
      <c r="K34">
        <v>33000</v>
      </c>
      <c r="L34">
        <v>2000</v>
      </c>
      <c r="M34">
        <v>55</v>
      </c>
      <c r="N34">
        <v>31</v>
      </c>
      <c r="O34" t="str">
        <v>PUN01 NC Cluster 299</v>
      </c>
      <c r="P34">
        <v>0</v>
      </c>
      <c r="Q34">
        <v>7.5694444444444439E-2</v>
      </c>
      <c r="R34">
        <v>0.1864699074074074</v>
      </c>
      <c r="S34">
        <v>46874</v>
      </c>
      <c r="T34">
        <v>0.49322916666666666</v>
      </c>
      <c r="U34">
        <v>0.49335648148148148</v>
      </c>
      <c r="V34">
        <v>46951</v>
      </c>
      <c r="W34">
        <v>29</v>
      </c>
      <c r="X34">
        <v>34</v>
      </c>
      <c r="Y34">
        <v>-5</v>
      </c>
      <c r="Z34">
        <v>77</v>
      </c>
      <c r="AA34">
        <v>77</v>
      </c>
      <c r="AB34">
        <v>0</v>
      </c>
      <c r="AC34">
        <v>0</v>
      </c>
      <c r="AD34">
        <v>3</v>
      </c>
      <c r="AE34">
        <v>450</v>
      </c>
      <c r="AF34">
        <v>0</v>
      </c>
      <c r="AG34">
        <v>0</v>
      </c>
      <c r="AH34">
        <v>0</v>
      </c>
      <c r="AI34">
        <v>0</v>
      </c>
      <c r="AJ34">
        <v>1514.52</v>
      </c>
      <c r="AK34">
        <v>0</v>
      </c>
      <c r="AL34">
        <v>1514.52</v>
      </c>
      <c r="AM34">
        <v>0</v>
      </c>
      <c r="AN34">
        <v>0</v>
      </c>
      <c r="AO34">
        <v>0</v>
      </c>
      <c r="AQ34" t="str">
        <v>MH14EM3160</v>
      </c>
    </row>
    <row r="35" spans="1:43">
      <c r="A35">
        <v>34</v>
      </c>
      <c r="B35" s="42">
        <v>45932</v>
      </c>
      <c r="C35" t="str">
        <v>HINJEWADI</v>
      </c>
      <c r="D35" t="str">
        <v>SLK1</v>
      </c>
      <c r="E35" t="str">
        <v>SHADOWFAX TECHNOLOGIES PRIVATE LIMITED</v>
      </c>
      <c r="F35" t="str">
        <v>MH14KA6730</v>
      </c>
      <c r="G35" t="str">
        <v>ACE</v>
      </c>
      <c r="H35" t="str">
        <v>CNG</v>
      </c>
      <c r="I35">
        <v>4</v>
      </c>
      <c r="J35">
        <v>8</v>
      </c>
      <c r="K35">
        <v>25000</v>
      </c>
      <c r="L35">
        <v>1000</v>
      </c>
      <c r="M35">
        <v>55</v>
      </c>
      <c r="N35">
        <v>31</v>
      </c>
      <c r="O35" t="str">
        <v>PUN01 NC Cluster 200</v>
      </c>
      <c r="P35">
        <v>0</v>
      </c>
      <c r="Q35">
        <v>5.486111111111111E-2</v>
      </c>
      <c r="R35">
        <v>0.18406250000000002</v>
      </c>
      <c r="S35">
        <v>86184</v>
      </c>
      <c r="T35">
        <v>0.29203703703703704</v>
      </c>
      <c r="U35">
        <v>0.29219907407407408</v>
      </c>
      <c r="V35">
        <v>86206</v>
      </c>
      <c r="W35">
        <v>62</v>
      </c>
      <c r="X35">
        <v>62</v>
      </c>
      <c r="Y35">
        <v>0</v>
      </c>
      <c r="Z35">
        <v>22</v>
      </c>
      <c r="AA35">
        <v>22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806.45</v>
      </c>
      <c r="AK35">
        <v>0</v>
      </c>
      <c r="AL35">
        <v>806.45</v>
      </c>
      <c r="AM35">
        <v>0</v>
      </c>
      <c r="AN35">
        <v>0</v>
      </c>
      <c r="AO35">
        <v>0</v>
      </c>
      <c r="AQ35" t="str">
        <v>MH14KA5782</v>
      </c>
    </row>
    <row r="36" spans="1:43">
      <c r="A36">
        <v>35</v>
      </c>
      <c r="B36" s="42">
        <v>45932</v>
      </c>
      <c r="C36" t="str">
        <v>HINJEWADI</v>
      </c>
      <c r="D36" t="str">
        <v>SLK1</v>
      </c>
      <c r="E36" t="str">
        <v>SHADOWFAX TECHNOLOGIES PRIVATE LIMITED</v>
      </c>
      <c r="F36" t="str">
        <v>MH14KQ0279</v>
      </c>
      <c r="G36" t="str">
        <v>ACE</v>
      </c>
      <c r="H36" t="str">
        <v>CNG</v>
      </c>
      <c r="I36">
        <v>4</v>
      </c>
      <c r="J36">
        <v>8</v>
      </c>
      <c r="K36">
        <v>25000</v>
      </c>
      <c r="L36">
        <v>1000</v>
      </c>
      <c r="M36">
        <v>55</v>
      </c>
      <c r="N36">
        <v>31</v>
      </c>
      <c r="O36" t="str">
        <v>PUN01 NC Cluster 199</v>
      </c>
      <c r="P36">
        <v>0</v>
      </c>
      <c r="Q36">
        <v>0.11458333333333333</v>
      </c>
      <c r="R36">
        <v>0.18113425925925927</v>
      </c>
      <c r="S36">
        <v>117250</v>
      </c>
      <c r="T36">
        <v>0</v>
      </c>
      <c r="U36">
        <v>0</v>
      </c>
      <c r="V36">
        <v>117250</v>
      </c>
      <c r="W36">
        <v>0</v>
      </c>
      <c r="X36">
        <v>14</v>
      </c>
      <c r="Y36">
        <v>-14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806.45</v>
      </c>
      <c r="AK36">
        <v>0</v>
      </c>
      <c r="AL36">
        <v>806.45</v>
      </c>
      <c r="AM36">
        <v>0</v>
      </c>
      <c r="AN36">
        <v>0</v>
      </c>
      <c r="AO36">
        <v>0</v>
      </c>
      <c r="AQ36" t="str">
        <v>MH14LB5906</v>
      </c>
    </row>
    <row r="37" spans="1:43">
      <c r="A37">
        <v>36</v>
      </c>
      <c r="B37" s="42">
        <v>45932</v>
      </c>
      <c r="C37" t="str">
        <v>HINJEWADI</v>
      </c>
      <c r="D37" t="str">
        <v>SLK1</v>
      </c>
      <c r="E37" t="str">
        <v>SHADOWFAX TECHNOLOGIES PRIVATE LIMITED</v>
      </c>
      <c r="F37" t="str">
        <v>MH14KQ4401</v>
      </c>
      <c r="G37" t="str">
        <v>ACE</v>
      </c>
      <c r="H37" t="str">
        <v>CNG</v>
      </c>
      <c r="I37">
        <v>4</v>
      </c>
      <c r="J37">
        <v>8</v>
      </c>
      <c r="K37">
        <v>25000</v>
      </c>
      <c r="L37">
        <v>1000</v>
      </c>
      <c r="M37">
        <v>55</v>
      </c>
      <c r="N37">
        <v>31</v>
      </c>
      <c r="O37" t="str">
        <v>PUN01 NC Cluster 19</v>
      </c>
      <c r="P37">
        <v>0</v>
      </c>
      <c r="Q37">
        <v>0.12291666666666667</v>
      </c>
      <c r="R37">
        <v>0.18751157407407407</v>
      </c>
      <c r="S37">
        <v>73917</v>
      </c>
      <c r="T37">
        <v>0.35043981481481484</v>
      </c>
      <c r="U37">
        <v>0.35053240740740743</v>
      </c>
      <c r="V37">
        <v>73939</v>
      </c>
      <c r="W37">
        <v>29</v>
      </c>
      <c r="X37">
        <v>24</v>
      </c>
      <c r="Y37">
        <v>5</v>
      </c>
      <c r="Z37">
        <v>22</v>
      </c>
      <c r="AA37">
        <v>22</v>
      </c>
      <c r="AB37">
        <v>0</v>
      </c>
      <c r="AC37">
        <v>0</v>
      </c>
      <c r="AD37">
        <v>1</v>
      </c>
      <c r="AE37">
        <v>150</v>
      </c>
      <c r="AF37">
        <v>0</v>
      </c>
      <c r="AG37">
        <v>0</v>
      </c>
      <c r="AH37">
        <v>0</v>
      </c>
      <c r="AI37">
        <v>0</v>
      </c>
      <c r="AJ37">
        <v>956.45</v>
      </c>
      <c r="AK37">
        <v>0</v>
      </c>
      <c r="AL37">
        <v>956.45</v>
      </c>
      <c r="AM37">
        <v>0</v>
      </c>
      <c r="AN37">
        <v>0</v>
      </c>
      <c r="AO37">
        <v>0</v>
      </c>
      <c r="AQ37" t="str">
        <v>MH14JL3308</v>
      </c>
    </row>
    <row r="38" spans="1:43">
      <c r="A38">
        <v>37</v>
      </c>
      <c r="B38" s="42">
        <v>45932</v>
      </c>
      <c r="C38" t="str">
        <v>HINJEWADI</v>
      </c>
      <c r="D38" t="str">
        <v>SLK1</v>
      </c>
      <c r="E38" t="str">
        <v>SHADOWFAX TECHNOLOGIES PRIVATE LIMITED</v>
      </c>
      <c r="F38" t="str">
        <v>MH14LB6751</v>
      </c>
      <c r="G38" t="str">
        <v>ACE</v>
      </c>
      <c r="H38" t="str">
        <v>CNG</v>
      </c>
      <c r="I38">
        <v>4</v>
      </c>
      <c r="J38">
        <v>8</v>
      </c>
      <c r="K38">
        <v>25000</v>
      </c>
      <c r="L38">
        <v>1000</v>
      </c>
      <c r="M38">
        <v>55</v>
      </c>
      <c r="N38">
        <v>31</v>
      </c>
      <c r="O38" t="str">
        <v>PUN01 NC Cluster 43</v>
      </c>
      <c r="P38">
        <v>0</v>
      </c>
      <c r="Q38">
        <v>5.486111111111111E-2</v>
      </c>
      <c r="R38">
        <v>0.18038194444444444</v>
      </c>
      <c r="S38">
        <v>82445</v>
      </c>
      <c r="T38">
        <v>0.29368055555555556</v>
      </c>
      <c r="U38">
        <v>0.29375000000000001</v>
      </c>
      <c r="V38">
        <v>82460</v>
      </c>
      <c r="W38">
        <v>52</v>
      </c>
      <c r="X38">
        <v>52</v>
      </c>
      <c r="Y38">
        <v>0</v>
      </c>
      <c r="Z38">
        <v>15</v>
      </c>
      <c r="AA38">
        <v>15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806.45</v>
      </c>
      <c r="AK38">
        <v>0</v>
      </c>
      <c r="AL38">
        <v>806.45</v>
      </c>
      <c r="AM38">
        <v>0</v>
      </c>
      <c r="AN38">
        <v>0</v>
      </c>
      <c r="AO38">
        <v>0</v>
      </c>
      <c r="AQ38" t="str">
        <v>MH14LB4598</v>
      </c>
    </row>
    <row r="39" spans="1:43">
      <c r="A39">
        <v>38</v>
      </c>
      <c r="B39" s="42">
        <v>45932</v>
      </c>
      <c r="C39" t="str">
        <v>HINJEWADI</v>
      </c>
      <c r="D39" t="str">
        <v>SLK1</v>
      </c>
      <c r="E39" t="str">
        <v>SHADOWFAX TECHNOLOGIES PRIVATE LIMITED</v>
      </c>
      <c r="F39" t="str">
        <v>MH14LL5974</v>
      </c>
      <c r="G39" t="str">
        <v>ACE</v>
      </c>
      <c r="H39" t="str">
        <v>CNG</v>
      </c>
      <c r="I39">
        <v>4</v>
      </c>
      <c r="J39">
        <v>8</v>
      </c>
      <c r="K39">
        <v>25000</v>
      </c>
      <c r="L39">
        <v>1000</v>
      </c>
      <c r="M39">
        <v>55</v>
      </c>
      <c r="N39">
        <v>31</v>
      </c>
      <c r="O39" t="str">
        <v>PUN01 NC Cluster 125</v>
      </c>
      <c r="P39">
        <v>0</v>
      </c>
      <c r="Q39">
        <v>9.4444444444444442E-2</v>
      </c>
      <c r="R39">
        <v>0.19068287037037038</v>
      </c>
      <c r="S39">
        <v>35899</v>
      </c>
      <c r="T39">
        <v>0.32373842592592594</v>
      </c>
      <c r="U39">
        <v>0.32437500000000002</v>
      </c>
      <c r="V39">
        <v>35928</v>
      </c>
      <c r="W39">
        <v>35</v>
      </c>
      <c r="X39">
        <v>35</v>
      </c>
      <c r="Y39">
        <v>0</v>
      </c>
      <c r="Z39">
        <v>29</v>
      </c>
      <c r="AA39">
        <v>29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806.45</v>
      </c>
      <c r="AK39">
        <v>0</v>
      </c>
      <c r="AL39">
        <v>806.45</v>
      </c>
      <c r="AM39">
        <v>0</v>
      </c>
      <c r="AN39">
        <v>0</v>
      </c>
      <c r="AO39">
        <v>0</v>
      </c>
      <c r="AQ39" t="str">
        <v>MH12UM0925</v>
      </c>
    </row>
    <row r="40" spans="1:43">
      <c r="A40">
        <v>39</v>
      </c>
      <c r="B40" s="42">
        <v>45932</v>
      </c>
      <c r="C40" t="str">
        <v>HINJEWADI</v>
      </c>
      <c r="D40" t="str">
        <v>SLK1</v>
      </c>
      <c r="E40" t="str">
        <v>SHADOWFAX TECHNOLOGIES PRIVATE LIMITED</v>
      </c>
      <c r="F40" t="str">
        <v>MH14LL6836</v>
      </c>
      <c r="G40" t="str">
        <v>ACE</v>
      </c>
      <c r="H40" t="str">
        <v>CNG</v>
      </c>
      <c r="I40">
        <v>6</v>
      </c>
      <c r="J40">
        <v>8</v>
      </c>
      <c r="K40">
        <v>33000</v>
      </c>
      <c r="L40">
        <v>2000</v>
      </c>
      <c r="M40">
        <v>55</v>
      </c>
      <c r="N40">
        <v>31</v>
      </c>
      <c r="O40" t="str">
        <v>PUN01 NC Cluster 303</v>
      </c>
      <c r="P40">
        <v>0</v>
      </c>
      <c r="Q40">
        <v>5.347222222222222E-2</v>
      </c>
      <c r="R40">
        <v>0.18753472222222223</v>
      </c>
      <c r="S40">
        <v>31676</v>
      </c>
      <c r="T40">
        <v>0.30896990740740743</v>
      </c>
      <c r="U40">
        <v>0.30905092592592592</v>
      </c>
      <c r="V40">
        <v>31744</v>
      </c>
      <c r="W40">
        <v>27</v>
      </c>
      <c r="X40">
        <v>27</v>
      </c>
      <c r="Y40">
        <v>0</v>
      </c>
      <c r="Z40">
        <v>68</v>
      </c>
      <c r="AA40">
        <v>68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1064.52</v>
      </c>
      <c r="AK40">
        <v>0</v>
      </c>
      <c r="AL40">
        <v>1064.52</v>
      </c>
      <c r="AM40">
        <v>0</v>
      </c>
      <c r="AN40">
        <v>0</v>
      </c>
      <c r="AO40">
        <v>0</v>
      </c>
      <c r="AQ40" t="str">
        <v>MH14MH2559</v>
      </c>
    </row>
    <row r="41" spans="1:43">
      <c r="A41">
        <v>40</v>
      </c>
      <c r="B41" s="42">
        <v>45932</v>
      </c>
      <c r="C41" t="str">
        <v>HINJEWADI</v>
      </c>
      <c r="D41" t="str">
        <v>SLK1</v>
      </c>
      <c r="E41" t="str">
        <v>SHADOWFAX TECHNOLOGIES PRIVATE LIMITED</v>
      </c>
      <c r="F41" t="str">
        <v>MH14LX6360</v>
      </c>
      <c r="G41" t="str">
        <v>ACE</v>
      </c>
      <c r="H41" t="str">
        <v>CNG</v>
      </c>
      <c r="I41">
        <v>4</v>
      </c>
      <c r="J41">
        <v>8</v>
      </c>
      <c r="K41">
        <v>25000</v>
      </c>
      <c r="L41">
        <v>1000</v>
      </c>
      <c r="M41">
        <v>55</v>
      </c>
      <c r="N41">
        <v>31</v>
      </c>
      <c r="O41" t="str">
        <v>PUN01 NC Cluster 39</v>
      </c>
      <c r="P41">
        <v>0</v>
      </c>
      <c r="Q41">
        <v>5.486111111111111E-2</v>
      </c>
      <c r="R41">
        <v>0.18309027777777778</v>
      </c>
      <c r="S41">
        <v>37052</v>
      </c>
      <c r="T41">
        <v>0.31612268518518521</v>
      </c>
      <c r="U41">
        <v>0.31618055555555552</v>
      </c>
      <c r="V41">
        <v>37066</v>
      </c>
      <c r="W41">
        <v>46</v>
      </c>
      <c r="X41">
        <v>46</v>
      </c>
      <c r="Y41">
        <v>0</v>
      </c>
      <c r="Z41">
        <v>14</v>
      </c>
      <c r="AA41">
        <v>14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806.45</v>
      </c>
      <c r="AK41">
        <v>0</v>
      </c>
      <c r="AL41">
        <v>806.45</v>
      </c>
      <c r="AM41">
        <v>0</v>
      </c>
      <c r="AN41">
        <v>0</v>
      </c>
      <c r="AO41">
        <v>0</v>
      </c>
      <c r="AQ41" t="str">
        <v>MH14LB2427</v>
      </c>
    </row>
    <row r="42" spans="1:43">
      <c r="A42">
        <v>41</v>
      </c>
      <c r="B42" s="42">
        <v>45932</v>
      </c>
      <c r="C42" t="str">
        <v>HINJEWADI</v>
      </c>
      <c r="D42" t="str">
        <v>SLK1</v>
      </c>
      <c r="E42" t="str">
        <v>SHADOWFAX TECHNOLOGIES PRIVATE LIMITED</v>
      </c>
      <c r="F42" t="str">
        <v>MH14MH6374</v>
      </c>
      <c r="G42" t="str">
        <v>ACE</v>
      </c>
      <c r="H42" t="str">
        <v>CNG</v>
      </c>
      <c r="I42">
        <v>4</v>
      </c>
      <c r="J42">
        <v>8</v>
      </c>
      <c r="K42">
        <v>25000</v>
      </c>
      <c r="L42">
        <v>1000</v>
      </c>
      <c r="M42">
        <v>55</v>
      </c>
      <c r="N42">
        <v>31</v>
      </c>
      <c r="O42" t="str">
        <v>PUN01 NC Cluster 201</v>
      </c>
      <c r="P42">
        <v>0</v>
      </c>
      <c r="Q42">
        <v>5.486111111111111E-2</v>
      </c>
      <c r="R42">
        <v>0.18324074074074073</v>
      </c>
      <c r="S42">
        <v>6363</v>
      </c>
      <c r="T42">
        <v>0.32874999999999999</v>
      </c>
      <c r="U42">
        <v>0.32883101851851854</v>
      </c>
      <c r="V42">
        <v>6396</v>
      </c>
      <c r="W42">
        <v>33</v>
      </c>
      <c r="X42">
        <v>33</v>
      </c>
      <c r="Y42">
        <v>0</v>
      </c>
      <c r="Z42">
        <v>33</v>
      </c>
      <c r="AA42">
        <v>33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806.45</v>
      </c>
      <c r="AK42">
        <v>0</v>
      </c>
      <c r="AL42">
        <v>806.45</v>
      </c>
      <c r="AM42">
        <v>0</v>
      </c>
      <c r="AN42">
        <v>0</v>
      </c>
      <c r="AO42">
        <v>0</v>
      </c>
      <c r="AQ42" t="str">
        <v>MH12YQ2365</v>
      </c>
    </row>
    <row r="43" spans="1:43">
      <c r="A43">
        <v>42</v>
      </c>
      <c r="B43" s="42">
        <v>45932</v>
      </c>
      <c r="C43" t="str">
        <v>HINJEWADI</v>
      </c>
      <c r="D43" t="str">
        <v>SLK1</v>
      </c>
      <c r="E43" t="str">
        <v>SHADOWFAX TECHNOLOGIES PRIVATE LIMITED</v>
      </c>
      <c r="F43" t="str">
        <v>MH14MH8276</v>
      </c>
      <c r="G43" t="str">
        <v>ACE</v>
      </c>
      <c r="H43" t="str">
        <v>CNG</v>
      </c>
      <c r="I43">
        <v>4</v>
      </c>
      <c r="J43">
        <v>8</v>
      </c>
      <c r="K43">
        <v>25000</v>
      </c>
      <c r="L43">
        <v>1000</v>
      </c>
      <c r="M43">
        <v>55</v>
      </c>
      <c r="N43">
        <v>31</v>
      </c>
      <c r="O43" t="str">
        <v>PUN01 NC Cluster 37</v>
      </c>
      <c r="P43">
        <v>0</v>
      </c>
      <c r="Q43">
        <v>6.5277777777777782E-2</v>
      </c>
      <c r="R43">
        <v>0.18162037037037038</v>
      </c>
      <c r="S43">
        <v>3350</v>
      </c>
      <c r="T43">
        <v>0.31695601851851851</v>
      </c>
      <c r="U43">
        <v>0.31702546296296297</v>
      </c>
      <c r="V43">
        <v>3368</v>
      </c>
      <c r="W43">
        <v>68</v>
      </c>
      <c r="X43">
        <v>68</v>
      </c>
      <c r="Y43">
        <v>0</v>
      </c>
      <c r="Z43">
        <v>18</v>
      </c>
      <c r="AA43">
        <v>18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806.45</v>
      </c>
      <c r="AK43">
        <v>0</v>
      </c>
      <c r="AL43">
        <v>806.45</v>
      </c>
      <c r="AM43">
        <v>0</v>
      </c>
      <c r="AN43">
        <v>0</v>
      </c>
      <c r="AO43">
        <v>0</v>
      </c>
      <c r="AQ43" t="str">
        <v>MH14KA5875</v>
      </c>
    </row>
    <row r="44" spans="1:43">
      <c r="A44">
        <v>43</v>
      </c>
      <c r="B44" s="42">
        <v>45932</v>
      </c>
      <c r="C44" t="str">
        <v>HINJEWADI</v>
      </c>
      <c r="D44" t="str">
        <v>SLK1</v>
      </c>
      <c r="E44" t="str">
        <v>SHADOWFAX TECHNOLOGIES PRIVATE LIMITED</v>
      </c>
      <c r="F44" t="str">
        <v>MH20GC8804</v>
      </c>
      <c r="G44" t="str">
        <v>ACE</v>
      </c>
      <c r="H44" t="str">
        <v>CNG</v>
      </c>
      <c r="I44">
        <v>4</v>
      </c>
      <c r="J44">
        <v>8</v>
      </c>
      <c r="K44">
        <v>25000</v>
      </c>
      <c r="L44">
        <v>1000</v>
      </c>
      <c r="M44">
        <v>55</v>
      </c>
      <c r="N44">
        <v>31</v>
      </c>
      <c r="O44" t="str">
        <v>PUN01 NC Cluster 20</v>
      </c>
      <c r="P44">
        <v>0</v>
      </c>
      <c r="Q44">
        <v>6.5972222222222224E-2</v>
      </c>
      <c r="R44">
        <v>0.18304398148148149</v>
      </c>
      <c r="S44">
        <v>40439</v>
      </c>
      <c r="T44">
        <v>0.29449074074074072</v>
      </c>
      <c r="U44">
        <v>0.29461805555555559</v>
      </c>
      <c r="V44">
        <v>40463</v>
      </c>
      <c r="W44">
        <v>29</v>
      </c>
      <c r="X44">
        <v>29</v>
      </c>
      <c r="Y44">
        <v>0</v>
      </c>
      <c r="Z44">
        <v>24</v>
      </c>
      <c r="AA44">
        <v>24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806.45</v>
      </c>
      <c r="AK44">
        <v>0</v>
      </c>
      <c r="AL44">
        <v>806.45</v>
      </c>
      <c r="AM44">
        <v>0</v>
      </c>
      <c r="AN44">
        <v>0</v>
      </c>
      <c r="AO44">
        <v>0</v>
      </c>
    </row>
    <row r="45" spans="1:43">
      <c r="A45">
        <v>44</v>
      </c>
      <c r="B45" s="42">
        <v>45932</v>
      </c>
      <c r="C45" t="str">
        <v>HINJEWADI</v>
      </c>
      <c r="D45" t="str">
        <v>SLK1</v>
      </c>
      <c r="E45" t="str">
        <v>SHADOWFAX TECHNOLOGIES PRIVATE LIMITED</v>
      </c>
      <c r="F45" t="str">
        <v>MH14LL4513</v>
      </c>
      <c r="G45" t="str">
        <v>BOLERO</v>
      </c>
      <c r="H45" t="str">
        <v>DIESEL</v>
      </c>
      <c r="I45">
        <v>4</v>
      </c>
      <c r="J45">
        <v>10</v>
      </c>
      <c r="K45">
        <v>29000</v>
      </c>
      <c r="L45">
        <v>1000</v>
      </c>
      <c r="M45">
        <v>55</v>
      </c>
      <c r="N45">
        <v>31</v>
      </c>
      <c r="O45" t="str">
        <v>PUN01 NC Cluster 73</v>
      </c>
      <c r="P45">
        <v>0</v>
      </c>
      <c r="Q45">
        <v>0.12013888888888889</v>
      </c>
      <c r="R45">
        <v>0.19118055555555555</v>
      </c>
      <c r="S45">
        <v>32197</v>
      </c>
      <c r="T45">
        <v>0.31240740740740741</v>
      </c>
      <c r="U45">
        <v>0.31248842592592591</v>
      </c>
      <c r="V45">
        <v>32211</v>
      </c>
      <c r="W45">
        <v>41</v>
      </c>
      <c r="X45">
        <v>41</v>
      </c>
      <c r="Y45">
        <v>0</v>
      </c>
      <c r="Z45">
        <v>14</v>
      </c>
      <c r="AA45">
        <v>14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935.48</v>
      </c>
      <c r="AK45">
        <v>0</v>
      </c>
      <c r="AL45">
        <v>935.48</v>
      </c>
      <c r="AM45">
        <v>0</v>
      </c>
      <c r="AN45">
        <v>0</v>
      </c>
      <c r="AO45">
        <v>0</v>
      </c>
    </row>
    <row r="46" spans="1:43">
      <c r="A46">
        <v>45</v>
      </c>
      <c r="B46" s="42">
        <v>45932</v>
      </c>
      <c r="C46" t="str">
        <v>HINJEWADI</v>
      </c>
      <c r="D46" t="str">
        <v>SLK1</v>
      </c>
      <c r="E46" t="str">
        <v>SHADOWFAX TECHNOLOGIES PRIVATE LIMITED</v>
      </c>
      <c r="F46" t="str">
        <v>MH14LX4839</v>
      </c>
      <c r="G46" t="str">
        <v>BOLERO</v>
      </c>
      <c r="H46" t="str">
        <v>DIESEL</v>
      </c>
      <c r="I46">
        <v>4</v>
      </c>
      <c r="J46">
        <v>10</v>
      </c>
      <c r="K46">
        <v>29000</v>
      </c>
      <c r="L46">
        <v>1000</v>
      </c>
      <c r="M46">
        <v>55</v>
      </c>
      <c r="N46">
        <v>31</v>
      </c>
      <c r="O46" t="str">
        <v>PUN01 NC Cluster 97</v>
      </c>
      <c r="P46">
        <v>0</v>
      </c>
      <c r="Q46">
        <v>9.2361111111111116E-2</v>
      </c>
      <c r="R46">
        <v>0.19260416666666669</v>
      </c>
      <c r="S46">
        <v>37653</v>
      </c>
      <c r="T46">
        <v>0.34957175925925926</v>
      </c>
      <c r="U46">
        <v>0.34971064814814817</v>
      </c>
      <c r="V46">
        <v>37678</v>
      </c>
      <c r="W46">
        <v>43</v>
      </c>
      <c r="X46">
        <v>49</v>
      </c>
      <c r="Y46">
        <v>-6</v>
      </c>
      <c r="Z46">
        <v>25</v>
      </c>
      <c r="AA46">
        <v>25</v>
      </c>
      <c r="AB46">
        <v>0</v>
      </c>
      <c r="AC46">
        <v>0</v>
      </c>
      <c r="AD46">
        <v>1</v>
      </c>
      <c r="AE46">
        <v>150</v>
      </c>
      <c r="AF46">
        <v>0</v>
      </c>
      <c r="AG46">
        <v>0</v>
      </c>
      <c r="AH46">
        <v>0</v>
      </c>
      <c r="AI46">
        <v>0</v>
      </c>
      <c r="AJ46">
        <v>1085.48</v>
      </c>
      <c r="AK46">
        <v>0</v>
      </c>
      <c r="AL46">
        <v>1085.48</v>
      </c>
      <c r="AM46">
        <v>0</v>
      </c>
      <c r="AN46">
        <v>0</v>
      </c>
      <c r="AO46">
        <v>0</v>
      </c>
    </row>
    <row r="47" spans="1:43">
      <c r="A47">
        <v>46</v>
      </c>
      <c r="B47" s="42">
        <v>45932</v>
      </c>
      <c r="C47" t="str">
        <v>HINJEWADI</v>
      </c>
      <c r="D47" t="str">
        <v>SLK1</v>
      </c>
      <c r="E47" t="str">
        <v>SHADOWFAX TECHNOLOGIES PRIVATE LIMITED</v>
      </c>
      <c r="F47" t="str">
        <v>MH14MH7322</v>
      </c>
      <c r="G47" t="str">
        <v>BOLERO</v>
      </c>
      <c r="H47" t="str">
        <v>DIESEL</v>
      </c>
      <c r="I47">
        <v>4</v>
      </c>
      <c r="J47">
        <v>10</v>
      </c>
      <c r="K47">
        <v>29000</v>
      </c>
      <c r="L47">
        <v>1000</v>
      </c>
      <c r="M47">
        <v>55</v>
      </c>
      <c r="N47">
        <v>31</v>
      </c>
      <c r="O47" t="str">
        <v>PUN01 NC Cluster 130</v>
      </c>
      <c r="P47">
        <v>0</v>
      </c>
      <c r="Q47">
        <v>0.10555555555555556</v>
      </c>
      <c r="R47">
        <v>0.19219907407407408</v>
      </c>
      <c r="S47">
        <v>2432</v>
      </c>
      <c r="T47">
        <v>0.33417824074074076</v>
      </c>
      <c r="U47">
        <v>0.33427083333333335</v>
      </c>
      <c r="V47">
        <v>2465</v>
      </c>
      <c r="W47">
        <v>44</v>
      </c>
      <c r="X47">
        <v>44</v>
      </c>
      <c r="Y47">
        <v>0</v>
      </c>
      <c r="Z47">
        <v>33</v>
      </c>
      <c r="AA47">
        <v>33</v>
      </c>
      <c r="AB47">
        <v>0</v>
      </c>
      <c r="AC47">
        <v>0</v>
      </c>
      <c r="AD47">
        <v>1</v>
      </c>
      <c r="AE47">
        <v>150</v>
      </c>
      <c r="AF47">
        <v>0</v>
      </c>
      <c r="AG47">
        <v>0</v>
      </c>
      <c r="AH47">
        <v>0</v>
      </c>
      <c r="AI47">
        <v>0</v>
      </c>
      <c r="AJ47">
        <v>1085.48</v>
      </c>
      <c r="AK47">
        <v>0</v>
      </c>
      <c r="AL47">
        <v>1085.48</v>
      </c>
      <c r="AM47">
        <v>0</v>
      </c>
      <c r="AN47">
        <v>0</v>
      </c>
      <c r="AO47">
        <v>0</v>
      </c>
    </row>
    <row r="48" spans="1:43">
      <c r="A48">
        <v>47</v>
      </c>
      <c r="B48" s="42">
        <v>45932</v>
      </c>
      <c r="C48" t="str">
        <v>HINJEWADI</v>
      </c>
      <c r="D48" t="str">
        <v>SLK1</v>
      </c>
      <c r="E48" t="str">
        <v>SHADOWFAX TECHNOLOGIES PRIVATE LIMITED</v>
      </c>
      <c r="F48" t="str">
        <v>MH16CD7321</v>
      </c>
      <c r="G48" t="str">
        <v>BOLERO</v>
      </c>
      <c r="H48" t="str">
        <v>DIESEL</v>
      </c>
      <c r="I48">
        <v>4</v>
      </c>
      <c r="J48">
        <v>10</v>
      </c>
      <c r="K48">
        <v>29000</v>
      </c>
      <c r="L48">
        <v>1000</v>
      </c>
      <c r="M48">
        <v>55</v>
      </c>
      <c r="N48">
        <v>31</v>
      </c>
      <c r="O48" t="str">
        <v>PUN01 NC Cluster 8</v>
      </c>
      <c r="P48">
        <v>0</v>
      </c>
      <c r="Q48">
        <v>5.486111111111111E-2</v>
      </c>
      <c r="R48">
        <v>0.1804513888888889</v>
      </c>
      <c r="S48">
        <v>138590</v>
      </c>
      <c r="T48">
        <v>0.30057870370370371</v>
      </c>
      <c r="U48">
        <v>0.30327546296296298</v>
      </c>
      <c r="V48">
        <v>138602</v>
      </c>
      <c r="W48">
        <v>69</v>
      </c>
      <c r="X48">
        <v>69</v>
      </c>
      <c r="Y48">
        <v>0</v>
      </c>
      <c r="Z48">
        <v>12</v>
      </c>
      <c r="AA48">
        <v>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935.48</v>
      </c>
      <c r="AK48">
        <v>0</v>
      </c>
      <c r="AL48">
        <v>935.48</v>
      </c>
      <c r="AM48">
        <v>0</v>
      </c>
      <c r="AN48">
        <v>0</v>
      </c>
      <c r="AO48">
        <v>0</v>
      </c>
    </row>
    <row r="49" spans="1:41">
      <c r="A49">
        <v>48</v>
      </c>
      <c r="B49" s="42">
        <v>45933</v>
      </c>
      <c r="C49" t="str">
        <v>HINJEWADI</v>
      </c>
      <c r="D49" t="str">
        <v>SLK1</v>
      </c>
      <c r="E49" t="str">
        <v>SHADOWFAX TECHNOLOGIES PRIVATE LIMITED</v>
      </c>
      <c r="F49" t="str">
        <v>MH03AH8989</v>
      </c>
      <c r="G49" t="str">
        <v>ACE</v>
      </c>
      <c r="H49" t="str">
        <v>CNG</v>
      </c>
      <c r="I49">
        <v>4</v>
      </c>
      <c r="J49">
        <v>8</v>
      </c>
      <c r="K49">
        <v>25000</v>
      </c>
      <c r="L49">
        <v>1000</v>
      </c>
      <c r="M49">
        <v>55</v>
      </c>
      <c r="N49">
        <v>31</v>
      </c>
      <c r="O49" t="str">
        <v>PUN01 NC Cluster 1</v>
      </c>
      <c r="P49">
        <v>0</v>
      </c>
      <c r="Q49">
        <v>4.9999999999999996E-2</v>
      </c>
      <c r="R49">
        <v>0.16380787037037037</v>
      </c>
      <c r="S49">
        <v>55412</v>
      </c>
      <c r="T49">
        <v>0.29768518518518522</v>
      </c>
      <c r="U49">
        <v>0.29782407407407407</v>
      </c>
      <c r="V49">
        <v>55419</v>
      </c>
      <c r="W49">
        <v>40</v>
      </c>
      <c r="X49">
        <v>40</v>
      </c>
      <c r="Y49">
        <v>0</v>
      </c>
      <c r="Z49">
        <v>7</v>
      </c>
      <c r="AA49">
        <v>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806.45</v>
      </c>
      <c r="AK49">
        <v>0</v>
      </c>
      <c r="AL49">
        <v>806.45</v>
      </c>
      <c r="AM49">
        <v>0</v>
      </c>
      <c r="AN49">
        <v>0</v>
      </c>
      <c r="AO49">
        <v>0</v>
      </c>
    </row>
    <row r="50" spans="1:41">
      <c r="A50">
        <v>49</v>
      </c>
      <c r="B50" s="42">
        <v>45933</v>
      </c>
      <c r="C50" t="str">
        <v>HINJEWADI</v>
      </c>
      <c r="D50" t="str">
        <v>SLK1</v>
      </c>
      <c r="E50" t="str">
        <v>SHADOWFAX TECHNOLOGIES PRIVATE LIMITED</v>
      </c>
      <c r="F50" t="str">
        <v>MH12RN4983</v>
      </c>
      <c r="G50" t="str">
        <v>ACE</v>
      </c>
      <c r="H50" t="str">
        <v>CNG</v>
      </c>
      <c r="I50">
        <v>4</v>
      </c>
      <c r="J50">
        <v>8</v>
      </c>
      <c r="K50">
        <v>25000</v>
      </c>
      <c r="L50">
        <v>1000</v>
      </c>
      <c r="M50">
        <v>55</v>
      </c>
      <c r="N50">
        <v>31</v>
      </c>
      <c r="O50" t="str">
        <v>PUN01 NC Cluster 67</v>
      </c>
      <c r="P50">
        <v>0</v>
      </c>
      <c r="Q50">
        <v>0.14861111111111111</v>
      </c>
      <c r="R50">
        <v>0.19292824074074075</v>
      </c>
      <c r="S50">
        <v>190887</v>
      </c>
      <c r="T50">
        <v>0.32774305555555555</v>
      </c>
      <c r="U50">
        <v>0.32796296296296296</v>
      </c>
      <c r="V50">
        <v>190907</v>
      </c>
      <c r="W50">
        <v>25</v>
      </c>
      <c r="X50">
        <v>25</v>
      </c>
      <c r="Y50">
        <v>0</v>
      </c>
      <c r="Z50">
        <v>20</v>
      </c>
      <c r="AA50">
        <v>20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806.45</v>
      </c>
      <c r="AK50">
        <v>0</v>
      </c>
      <c r="AL50">
        <v>806.45</v>
      </c>
      <c r="AM50">
        <v>0</v>
      </c>
      <c r="AN50">
        <v>0</v>
      </c>
      <c r="AO50">
        <v>0</v>
      </c>
    </row>
    <row r="51" spans="1:41">
      <c r="A51">
        <v>50</v>
      </c>
      <c r="B51" s="42">
        <v>45933</v>
      </c>
      <c r="C51" t="str">
        <v>HINJEWADI</v>
      </c>
      <c r="D51" t="str">
        <v>SLK1</v>
      </c>
      <c r="E51" t="str">
        <v>SHADOWFAX TECHNOLOGIES PRIVATE LIMITED</v>
      </c>
      <c r="F51" t="str">
        <v>MH12UM3063</v>
      </c>
      <c r="G51" t="str">
        <v>ACE</v>
      </c>
      <c r="H51" t="str">
        <v>CNG</v>
      </c>
      <c r="I51">
        <v>6</v>
      </c>
      <c r="J51">
        <v>8</v>
      </c>
      <c r="K51">
        <v>33000</v>
      </c>
      <c r="L51">
        <v>2000</v>
      </c>
      <c r="M51">
        <v>55</v>
      </c>
      <c r="N51">
        <v>31</v>
      </c>
      <c r="O51" t="str">
        <v>PUN01 NC Cluster 229</v>
      </c>
      <c r="P51">
        <v>0</v>
      </c>
      <c r="Q51">
        <v>4.6527777777777779E-2</v>
      </c>
      <c r="R51">
        <v>0.16195601851851851</v>
      </c>
      <c r="S51">
        <v>98334</v>
      </c>
      <c r="T51">
        <v>0.31700231481481483</v>
      </c>
      <c r="U51">
        <v>0.31714120370370369</v>
      </c>
      <c r="V51">
        <v>98383</v>
      </c>
      <c r="W51">
        <v>54</v>
      </c>
      <c r="X51">
        <v>54</v>
      </c>
      <c r="Y51">
        <v>0</v>
      </c>
      <c r="Z51">
        <v>49</v>
      </c>
      <c r="AA51">
        <v>49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1064.52</v>
      </c>
      <c r="AK51">
        <v>0</v>
      </c>
      <c r="AL51">
        <v>1064.52</v>
      </c>
      <c r="AM51">
        <v>0</v>
      </c>
      <c r="AN51">
        <v>0</v>
      </c>
      <c r="AO51">
        <v>0</v>
      </c>
    </row>
    <row r="52" spans="1:41">
      <c r="A52">
        <v>51</v>
      </c>
      <c r="B52" s="42">
        <v>45933</v>
      </c>
      <c r="C52" t="str">
        <v>HINJEWADI</v>
      </c>
      <c r="D52" t="str">
        <v>SLK1</v>
      </c>
      <c r="E52" t="str">
        <v>SHADOWFAX TECHNOLOGIES PRIVATE LIMITED</v>
      </c>
      <c r="F52" t="str">
        <v>MH12XM2801</v>
      </c>
      <c r="G52" t="str">
        <v>ACE</v>
      </c>
      <c r="H52" t="str">
        <v>CNG</v>
      </c>
      <c r="I52">
        <v>4</v>
      </c>
      <c r="J52">
        <v>8</v>
      </c>
      <c r="K52">
        <v>25000</v>
      </c>
      <c r="L52">
        <v>1000</v>
      </c>
      <c r="M52">
        <v>55</v>
      </c>
      <c r="N52">
        <v>31</v>
      </c>
      <c r="O52" t="str">
        <v>PUN01 NC Cluster 15</v>
      </c>
      <c r="P52">
        <v>0</v>
      </c>
      <c r="Q52">
        <v>0.11944444444444445</v>
      </c>
      <c r="R52">
        <v>0.1685763888888889</v>
      </c>
      <c r="S52">
        <v>11045</v>
      </c>
      <c r="T52">
        <v>0.34614583333333332</v>
      </c>
      <c r="U52">
        <v>0.34622685185185187</v>
      </c>
      <c r="V52">
        <v>11064</v>
      </c>
      <c r="W52">
        <v>42</v>
      </c>
      <c r="X52">
        <v>42</v>
      </c>
      <c r="Y52">
        <v>0</v>
      </c>
      <c r="Z52">
        <v>19</v>
      </c>
      <c r="AA52">
        <v>19</v>
      </c>
      <c r="AB52">
        <v>0</v>
      </c>
      <c r="AC52">
        <v>0</v>
      </c>
      <c r="AD52">
        <v>1</v>
      </c>
      <c r="AE52">
        <v>150</v>
      </c>
      <c r="AF52">
        <v>0</v>
      </c>
      <c r="AG52">
        <v>0</v>
      </c>
      <c r="AH52">
        <v>0</v>
      </c>
      <c r="AI52">
        <v>0</v>
      </c>
      <c r="AJ52">
        <v>956.45</v>
      </c>
      <c r="AK52">
        <v>0</v>
      </c>
      <c r="AL52">
        <v>956.45</v>
      </c>
      <c r="AM52">
        <v>0</v>
      </c>
      <c r="AN52">
        <v>0</v>
      </c>
      <c r="AO52">
        <v>0</v>
      </c>
    </row>
    <row r="53" spans="1:41">
      <c r="A53">
        <v>52</v>
      </c>
      <c r="B53" s="42">
        <v>45933</v>
      </c>
      <c r="C53" t="str">
        <v>HINJEWADI</v>
      </c>
      <c r="D53" t="str">
        <v>SLK1</v>
      </c>
      <c r="E53" t="str">
        <v>SHADOWFAX TECHNOLOGIES PRIVATE LIMITED</v>
      </c>
      <c r="F53" t="str">
        <v>MH14CP4610</v>
      </c>
      <c r="G53" t="str">
        <v>ACE</v>
      </c>
      <c r="H53" t="str">
        <v>CNG</v>
      </c>
      <c r="I53">
        <v>4</v>
      </c>
      <c r="J53">
        <v>8</v>
      </c>
      <c r="K53">
        <v>25000</v>
      </c>
      <c r="L53">
        <v>1000</v>
      </c>
      <c r="M53">
        <v>55</v>
      </c>
      <c r="N53">
        <v>31</v>
      </c>
      <c r="O53" t="str">
        <v>PUN01 NC Cluster 87</v>
      </c>
      <c r="P53">
        <v>0</v>
      </c>
      <c r="Q53">
        <v>4.7916666666666663E-2</v>
      </c>
      <c r="R53">
        <v>0.16407407407407407</v>
      </c>
      <c r="S53">
        <v>145060</v>
      </c>
      <c r="T53">
        <v>0.35412037037037036</v>
      </c>
      <c r="U53">
        <v>0.35422453703703699</v>
      </c>
      <c r="V53">
        <v>145083</v>
      </c>
      <c r="W53">
        <v>27</v>
      </c>
      <c r="X53">
        <v>27</v>
      </c>
      <c r="Y53">
        <v>0</v>
      </c>
      <c r="Z53">
        <v>23</v>
      </c>
      <c r="AA53">
        <v>23</v>
      </c>
      <c r="AB53">
        <v>0</v>
      </c>
      <c r="AC53">
        <v>0</v>
      </c>
      <c r="AD53">
        <v>1</v>
      </c>
      <c r="AE53">
        <v>150</v>
      </c>
      <c r="AF53">
        <v>0</v>
      </c>
      <c r="AG53">
        <v>0</v>
      </c>
      <c r="AH53">
        <v>0</v>
      </c>
      <c r="AI53">
        <v>0</v>
      </c>
      <c r="AJ53">
        <v>956.45</v>
      </c>
      <c r="AK53">
        <v>0</v>
      </c>
      <c r="AL53">
        <v>956.45</v>
      </c>
      <c r="AM53">
        <v>0</v>
      </c>
      <c r="AN53">
        <v>0</v>
      </c>
      <c r="AO53">
        <v>0</v>
      </c>
    </row>
    <row r="54" spans="1:41">
      <c r="A54">
        <v>53</v>
      </c>
      <c r="B54" s="42">
        <v>45933</v>
      </c>
      <c r="C54" t="str">
        <v>HINJEWADI</v>
      </c>
      <c r="D54" t="str">
        <v>SLK1</v>
      </c>
      <c r="E54" t="str">
        <v>SHADOWFAX TECHNOLOGIES PRIVATE LIMITED</v>
      </c>
      <c r="F54" t="str">
        <v>MH14KA0766</v>
      </c>
      <c r="G54" t="str">
        <v>ACE</v>
      </c>
      <c r="H54" t="str">
        <v>CNG</v>
      </c>
      <c r="I54">
        <v>4</v>
      </c>
      <c r="J54">
        <v>8</v>
      </c>
      <c r="K54">
        <v>25000</v>
      </c>
      <c r="L54">
        <v>1000</v>
      </c>
      <c r="M54">
        <v>55</v>
      </c>
      <c r="N54">
        <v>31</v>
      </c>
      <c r="O54" t="str">
        <v>PUN01 NC Cluster 10</v>
      </c>
      <c r="P54">
        <v>0</v>
      </c>
      <c r="Q54">
        <v>8.6111111111111124E-2</v>
      </c>
      <c r="R54">
        <v>0.15936342592592592</v>
      </c>
      <c r="S54">
        <v>141752</v>
      </c>
      <c r="T54">
        <v>0.31307870370370372</v>
      </c>
      <c r="U54">
        <v>0.31315972222222221</v>
      </c>
      <c r="V54">
        <v>141785</v>
      </c>
      <c r="W54">
        <v>49</v>
      </c>
      <c r="X54">
        <v>49</v>
      </c>
      <c r="Y54">
        <v>0</v>
      </c>
      <c r="Z54">
        <v>33</v>
      </c>
      <c r="AA54">
        <v>33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806.45</v>
      </c>
      <c r="AK54">
        <v>0</v>
      </c>
      <c r="AL54">
        <v>806.45</v>
      </c>
      <c r="AM54">
        <v>0</v>
      </c>
      <c r="AN54">
        <v>0</v>
      </c>
      <c r="AO54">
        <v>0</v>
      </c>
    </row>
    <row r="55" spans="1:41">
      <c r="A55">
        <v>54</v>
      </c>
      <c r="B55" s="42">
        <v>45933</v>
      </c>
      <c r="C55" t="str">
        <v>HINJEWADI</v>
      </c>
      <c r="D55" t="str">
        <v>SLK1</v>
      </c>
      <c r="E55" t="str">
        <v>SHADOWFAX TECHNOLOGIES PRIVATE LIMITED</v>
      </c>
      <c r="F55" t="str">
        <v>MH14KA1228</v>
      </c>
      <c r="G55" t="str">
        <v>ACE</v>
      </c>
      <c r="H55" t="str">
        <v>CNG</v>
      </c>
      <c r="I55">
        <v>4</v>
      </c>
      <c r="J55">
        <v>8</v>
      </c>
      <c r="K55">
        <v>25000</v>
      </c>
      <c r="L55">
        <v>1000</v>
      </c>
      <c r="M55">
        <v>55</v>
      </c>
      <c r="N55">
        <v>31</v>
      </c>
      <c r="O55" t="str">
        <v>PUN01 NC Cluster 113</v>
      </c>
      <c r="P55">
        <v>0</v>
      </c>
      <c r="Q55">
        <v>0.14305555555555557</v>
      </c>
      <c r="R55">
        <v>0.19399305555555557</v>
      </c>
      <c r="S55">
        <v>158167</v>
      </c>
      <c r="T55">
        <v>0.30781249999999999</v>
      </c>
      <c r="U55">
        <v>0.30791666666666667</v>
      </c>
      <c r="V55">
        <v>158197</v>
      </c>
      <c r="W55">
        <v>0</v>
      </c>
      <c r="X55">
        <v>0</v>
      </c>
      <c r="Y55">
        <v>0</v>
      </c>
      <c r="Z55">
        <v>30</v>
      </c>
      <c r="AA55">
        <v>30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806.45</v>
      </c>
      <c r="AK55">
        <v>0</v>
      </c>
      <c r="AL55">
        <v>806.45</v>
      </c>
      <c r="AM55">
        <v>0</v>
      </c>
      <c r="AN55">
        <v>0</v>
      </c>
      <c r="AO55">
        <v>0</v>
      </c>
    </row>
    <row r="56" spans="1:41">
      <c r="A56">
        <v>55</v>
      </c>
      <c r="B56" s="42">
        <v>45933</v>
      </c>
      <c r="C56" t="str">
        <v>HINJEWADI</v>
      </c>
      <c r="D56" t="str">
        <v>SLK1</v>
      </c>
      <c r="E56" t="str">
        <v>SHADOWFAX TECHNOLOGIES PRIVATE LIMITED</v>
      </c>
      <c r="F56" t="str">
        <v>MH14KA6513</v>
      </c>
      <c r="G56" t="str">
        <v>ACE</v>
      </c>
      <c r="H56" t="str">
        <v>CNG</v>
      </c>
      <c r="I56">
        <v>6</v>
      </c>
      <c r="J56">
        <v>8</v>
      </c>
      <c r="K56">
        <v>33000</v>
      </c>
      <c r="L56">
        <v>2000</v>
      </c>
      <c r="M56">
        <v>55</v>
      </c>
      <c r="N56">
        <v>31</v>
      </c>
      <c r="O56" t="str">
        <v>PUN01 NC Cluster 299</v>
      </c>
      <c r="P56">
        <v>0</v>
      </c>
      <c r="Q56">
        <v>4.7916666666666663E-2</v>
      </c>
      <c r="R56">
        <v>0.18909722222222222</v>
      </c>
      <c r="S56">
        <v>46989</v>
      </c>
      <c r="T56">
        <v>0.40869212962962959</v>
      </c>
      <c r="U56">
        <v>0.40908564814814818</v>
      </c>
      <c r="V56">
        <v>47061</v>
      </c>
      <c r="W56">
        <v>15</v>
      </c>
      <c r="X56">
        <v>15</v>
      </c>
      <c r="Y56">
        <v>0</v>
      </c>
      <c r="Z56">
        <v>72</v>
      </c>
      <c r="AA56">
        <v>72</v>
      </c>
      <c r="AB56">
        <v>0</v>
      </c>
      <c r="AC56">
        <v>0</v>
      </c>
      <c r="AD56">
        <v>1</v>
      </c>
      <c r="AE56">
        <v>150</v>
      </c>
      <c r="AF56">
        <v>0</v>
      </c>
      <c r="AG56">
        <v>0</v>
      </c>
      <c r="AH56">
        <v>0</v>
      </c>
      <c r="AI56">
        <v>0</v>
      </c>
      <c r="AJ56">
        <v>1214.52</v>
      </c>
      <c r="AK56">
        <v>0</v>
      </c>
      <c r="AL56">
        <v>1214.52</v>
      </c>
      <c r="AM56">
        <v>0</v>
      </c>
      <c r="AN56">
        <v>0</v>
      </c>
      <c r="AO56">
        <v>0</v>
      </c>
    </row>
    <row r="57" spans="1:41">
      <c r="A57">
        <v>56</v>
      </c>
      <c r="B57" s="42">
        <v>45933</v>
      </c>
      <c r="C57" t="str">
        <v>HINJEWADI</v>
      </c>
      <c r="D57" t="str">
        <v>SLK1</v>
      </c>
      <c r="E57" t="str">
        <v>SHADOWFAX TECHNOLOGIES PRIVATE LIMITED</v>
      </c>
      <c r="F57" t="str">
        <v>MH14KA6730</v>
      </c>
      <c r="G57" t="str">
        <v>ACE</v>
      </c>
      <c r="H57" t="str">
        <v>CNG</v>
      </c>
      <c r="I57">
        <v>4</v>
      </c>
      <c r="J57">
        <v>8</v>
      </c>
      <c r="K57">
        <v>25000</v>
      </c>
      <c r="L57">
        <v>1000</v>
      </c>
      <c r="M57">
        <v>55</v>
      </c>
      <c r="N57">
        <v>31</v>
      </c>
      <c r="O57" t="str">
        <v>PUN01 NC Cluster 6</v>
      </c>
      <c r="P57">
        <v>0</v>
      </c>
      <c r="Q57">
        <v>5.2083333333333336E-2</v>
      </c>
      <c r="R57">
        <v>0.17723379629629629</v>
      </c>
      <c r="S57">
        <v>86283</v>
      </c>
      <c r="T57">
        <v>0.31216435185185182</v>
      </c>
      <c r="U57">
        <v>0.31287037037037035</v>
      </c>
      <c r="V57">
        <v>86297</v>
      </c>
      <c r="W57">
        <v>22</v>
      </c>
      <c r="X57">
        <v>22</v>
      </c>
      <c r="Y57">
        <v>0</v>
      </c>
      <c r="Z57">
        <v>14</v>
      </c>
      <c r="AA57">
        <v>14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806.45</v>
      </c>
      <c r="AK57">
        <v>0</v>
      </c>
      <c r="AL57">
        <v>806.45</v>
      </c>
      <c r="AM57">
        <v>0</v>
      </c>
      <c r="AN57">
        <v>0</v>
      </c>
      <c r="AO57">
        <v>0</v>
      </c>
    </row>
    <row r="58" spans="1:41">
      <c r="A58">
        <v>57</v>
      </c>
      <c r="B58" s="42">
        <v>45933</v>
      </c>
      <c r="C58" t="str">
        <v>HINJEWADI</v>
      </c>
      <c r="D58" t="str">
        <v>SLK1</v>
      </c>
      <c r="E58" t="str">
        <v>SHADOWFAX TECHNOLOGIES PRIVATE LIMITED</v>
      </c>
      <c r="F58" t="str">
        <v>MH14KQ0279</v>
      </c>
      <c r="G58" t="str">
        <v>ACE</v>
      </c>
      <c r="H58" t="str">
        <v>CNG</v>
      </c>
      <c r="I58">
        <v>4</v>
      </c>
      <c r="J58">
        <v>8</v>
      </c>
      <c r="K58">
        <v>25000</v>
      </c>
      <c r="L58">
        <v>1000</v>
      </c>
      <c r="M58">
        <v>55</v>
      </c>
      <c r="N58">
        <v>31</v>
      </c>
      <c r="O58" t="str">
        <v>PUN01 NC Cluster 199</v>
      </c>
      <c r="P58">
        <v>0</v>
      </c>
      <c r="Q58">
        <v>9.7222222222222224E-2</v>
      </c>
      <c r="R58">
        <v>0.16809027777777777</v>
      </c>
      <c r="S58">
        <v>117291</v>
      </c>
      <c r="T58">
        <v>0.31105324074074076</v>
      </c>
      <c r="U58">
        <v>0.31116898148148148</v>
      </c>
      <c r="V58">
        <v>117315</v>
      </c>
      <c r="W58">
        <v>14</v>
      </c>
      <c r="X58">
        <v>14</v>
      </c>
      <c r="Y58">
        <v>0</v>
      </c>
      <c r="Z58">
        <v>24</v>
      </c>
      <c r="AA58">
        <v>24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806.45</v>
      </c>
      <c r="AK58">
        <v>0</v>
      </c>
      <c r="AL58">
        <v>806.45</v>
      </c>
      <c r="AM58">
        <v>0</v>
      </c>
      <c r="AN58">
        <v>0</v>
      </c>
      <c r="AO58">
        <v>0</v>
      </c>
    </row>
    <row r="59" spans="1:41">
      <c r="A59">
        <v>58</v>
      </c>
      <c r="B59" s="42">
        <v>45933</v>
      </c>
      <c r="C59" t="str">
        <v>HINJEWADI</v>
      </c>
      <c r="D59" t="str">
        <v>SLK1</v>
      </c>
      <c r="E59" t="str">
        <v>SHADOWFAX TECHNOLOGIES PRIVATE LIMITED</v>
      </c>
      <c r="F59" t="str">
        <v>MH14LB6751</v>
      </c>
      <c r="G59" t="str">
        <v>ACE</v>
      </c>
      <c r="H59" t="str">
        <v>CNG</v>
      </c>
      <c r="I59">
        <v>4</v>
      </c>
      <c r="J59">
        <v>8</v>
      </c>
      <c r="K59">
        <v>25000</v>
      </c>
      <c r="L59">
        <v>1000</v>
      </c>
      <c r="M59">
        <v>55</v>
      </c>
      <c r="N59">
        <v>31</v>
      </c>
      <c r="O59" t="str">
        <v>PUN01 NC Cluster 3</v>
      </c>
      <c r="P59">
        <v>0</v>
      </c>
      <c r="Q59">
        <v>5.1388888888888894E-2</v>
      </c>
      <c r="R59">
        <v>0.16782407407407407</v>
      </c>
      <c r="S59">
        <v>82553</v>
      </c>
      <c r="T59">
        <v>0.33004629629629628</v>
      </c>
      <c r="U59">
        <v>0.33013888888888893</v>
      </c>
      <c r="V59">
        <v>82563</v>
      </c>
      <c r="W59">
        <v>59</v>
      </c>
      <c r="X59">
        <v>35</v>
      </c>
      <c r="Y59">
        <v>24</v>
      </c>
      <c r="Z59">
        <v>10</v>
      </c>
      <c r="AA59">
        <v>10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806.45</v>
      </c>
      <c r="AK59">
        <v>0</v>
      </c>
      <c r="AL59">
        <v>806.45</v>
      </c>
      <c r="AM59">
        <v>0</v>
      </c>
      <c r="AN59">
        <v>0</v>
      </c>
      <c r="AO59">
        <v>0</v>
      </c>
    </row>
    <row r="60" spans="1:41">
      <c r="A60">
        <v>59</v>
      </c>
      <c r="B60" s="42">
        <v>45933</v>
      </c>
      <c r="C60" t="str">
        <v>HINJEWADI</v>
      </c>
      <c r="D60" t="str">
        <v>SLK1</v>
      </c>
      <c r="E60" t="str">
        <v>SHADOWFAX TECHNOLOGIES PRIVATE LIMITED</v>
      </c>
      <c r="F60" t="str">
        <v>MH14LL5974</v>
      </c>
      <c r="G60" t="str">
        <v>ACE</v>
      </c>
      <c r="H60" t="str">
        <v>CNG</v>
      </c>
      <c r="I60">
        <v>4</v>
      </c>
      <c r="J60">
        <v>8</v>
      </c>
      <c r="K60">
        <v>25000</v>
      </c>
      <c r="L60">
        <v>1000</v>
      </c>
      <c r="M60">
        <v>55</v>
      </c>
      <c r="N60">
        <v>31</v>
      </c>
      <c r="O60" t="str">
        <v>PUN01 NC Cluster 125</v>
      </c>
      <c r="P60">
        <v>0</v>
      </c>
      <c r="Q60">
        <v>9.7222222222222224E-2</v>
      </c>
      <c r="R60">
        <v>0.19344907407407408</v>
      </c>
      <c r="S60">
        <v>35973</v>
      </c>
      <c r="T60">
        <v>0.31887731481481479</v>
      </c>
      <c r="U60">
        <v>0.32041666666666663</v>
      </c>
      <c r="V60">
        <v>36005</v>
      </c>
      <c r="W60">
        <v>35</v>
      </c>
      <c r="X60">
        <v>35</v>
      </c>
      <c r="Y60">
        <v>0</v>
      </c>
      <c r="Z60">
        <v>32</v>
      </c>
      <c r="AA60">
        <v>32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806.45</v>
      </c>
      <c r="AK60">
        <v>0</v>
      </c>
      <c r="AL60">
        <v>806.45</v>
      </c>
      <c r="AM60">
        <v>0</v>
      </c>
      <c r="AN60">
        <v>0</v>
      </c>
      <c r="AO60">
        <v>0</v>
      </c>
    </row>
    <row r="61" spans="1:41">
      <c r="A61">
        <v>60</v>
      </c>
      <c r="B61" s="42">
        <v>45933</v>
      </c>
      <c r="C61" t="str">
        <v>HINJEWADI</v>
      </c>
      <c r="D61" t="str">
        <v>SLK1</v>
      </c>
      <c r="E61" t="str">
        <v>SHADOWFAX TECHNOLOGIES PRIVATE LIMITED</v>
      </c>
      <c r="F61" t="str">
        <v>MH14LX6360</v>
      </c>
      <c r="G61" t="str">
        <v>ACE</v>
      </c>
      <c r="H61" t="str">
        <v>CNG</v>
      </c>
      <c r="I61">
        <v>4</v>
      </c>
      <c r="J61">
        <v>8</v>
      </c>
      <c r="K61">
        <v>25000</v>
      </c>
      <c r="L61">
        <v>1000</v>
      </c>
      <c r="M61">
        <v>55</v>
      </c>
      <c r="N61">
        <v>31</v>
      </c>
      <c r="O61" t="str">
        <v>PUN01 NC Cluster 36</v>
      </c>
      <c r="P61">
        <v>0</v>
      </c>
      <c r="Q61">
        <v>5.1388888888888894E-2</v>
      </c>
      <c r="R61">
        <v>0.16679398148148147</v>
      </c>
      <c r="S61">
        <v>37141</v>
      </c>
      <c r="T61">
        <v>0.30896990740740743</v>
      </c>
      <c r="U61">
        <v>0.30903935185185188</v>
      </c>
      <c r="V61">
        <v>37159</v>
      </c>
      <c r="W61">
        <v>59</v>
      </c>
      <c r="X61">
        <v>59</v>
      </c>
      <c r="Y61">
        <v>0</v>
      </c>
      <c r="Z61">
        <v>18</v>
      </c>
      <c r="AA61">
        <v>18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806.45</v>
      </c>
      <c r="AK61">
        <v>0</v>
      </c>
      <c r="AL61">
        <v>806.45</v>
      </c>
      <c r="AM61">
        <v>0</v>
      </c>
      <c r="AN61">
        <v>0</v>
      </c>
      <c r="AO61">
        <v>0</v>
      </c>
    </row>
    <row r="62" spans="1:41">
      <c r="A62">
        <v>61</v>
      </c>
      <c r="B62" s="42">
        <v>45933</v>
      </c>
      <c r="C62" t="str">
        <v>HINJEWADI</v>
      </c>
      <c r="D62" t="str">
        <v>SLK1</v>
      </c>
      <c r="E62" t="str">
        <v>SHADOWFAX TECHNOLOGIES PRIVATE LIMITED</v>
      </c>
      <c r="F62" t="str">
        <v>MH14MH6374</v>
      </c>
      <c r="G62" t="str">
        <v>ACE</v>
      </c>
      <c r="H62" t="str">
        <v>CNG</v>
      </c>
      <c r="I62">
        <v>4</v>
      </c>
      <c r="J62">
        <v>8</v>
      </c>
      <c r="K62">
        <v>25000</v>
      </c>
      <c r="L62">
        <v>1000</v>
      </c>
      <c r="M62">
        <v>55</v>
      </c>
      <c r="N62">
        <v>31</v>
      </c>
      <c r="O62" t="str">
        <v>PUN01 NC Cluster 211</v>
      </c>
      <c r="P62">
        <v>0</v>
      </c>
      <c r="Q62">
        <v>5.2083333333333336E-2</v>
      </c>
      <c r="R62">
        <v>0.16633101851851853</v>
      </c>
      <c r="S62">
        <v>6435</v>
      </c>
      <c r="T62">
        <v>0.32393518518518521</v>
      </c>
      <c r="U62">
        <v>0.32400462962962967</v>
      </c>
      <c r="V62">
        <v>6467</v>
      </c>
      <c r="W62">
        <v>42</v>
      </c>
      <c r="X62">
        <v>42</v>
      </c>
      <c r="Y62">
        <v>0</v>
      </c>
      <c r="Z62">
        <v>32</v>
      </c>
      <c r="AA62">
        <v>32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806.45</v>
      </c>
      <c r="AK62">
        <v>0</v>
      </c>
      <c r="AL62">
        <v>806.45</v>
      </c>
      <c r="AM62">
        <v>0</v>
      </c>
      <c r="AN62">
        <v>0</v>
      </c>
      <c r="AO62">
        <v>0</v>
      </c>
    </row>
    <row r="63" spans="1:41">
      <c r="A63">
        <v>62</v>
      </c>
      <c r="B63" s="42">
        <v>45933</v>
      </c>
      <c r="C63" t="str">
        <v>HINJEWADI</v>
      </c>
      <c r="D63" t="str">
        <v>SLK1</v>
      </c>
      <c r="E63" t="str">
        <v>SHADOWFAX TECHNOLOGIES PRIVATE LIMITED</v>
      </c>
      <c r="F63" t="str">
        <v>MH14MH8276</v>
      </c>
      <c r="G63" t="str">
        <v>ACE</v>
      </c>
      <c r="H63" t="str">
        <v>CNG</v>
      </c>
      <c r="I63">
        <v>4</v>
      </c>
      <c r="J63">
        <v>8</v>
      </c>
      <c r="K63">
        <v>25000</v>
      </c>
      <c r="L63">
        <v>1000</v>
      </c>
      <c r="M63">
        <v>55</v>
      </c>
      <c r="N63">
        <v>31</v>
      </c>
      <c r="O63" t="str">
        <v>PUN01 NC Cluster 60</v>
      </c>
      <c r="P63">
        <v>0</v>
      </c>
      <c r="Q63">
        <v>5.0694444444444452E-2</v>
      </c>
      <c r="R63">
        <v>0.16722222222222224</v>
      </c>
      <c r="S63">
        <v>3388</v>
      </c>
      <c r="T63">
        <v>0.32481481481481483</v>
      </c>
      <c r="U63">
        <v>0.32490740740740742</v>
      </c>
      <c r="V63">
        <v>3424</v>
      </c>
      <c r="W63">
        <v>23</v>
      </c>
      <c r="X63">
        <v>23</v>
      </c>
      <c r="Y63">
        <v>0</v>
      </c>
      <c r="Z63">
        <v>36</v>
      </c>
      <c r="AA63">
        <v>36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806.45</v>
      </c>
      <c r="AK63">
        <v>0</v>
      </c>
      <c r="AL63">
        <v>806.45</v>
      </c>
      <c r="AM63">
        <v>0</v>
      </c>
      <c r="AN63">
        <v>0</v>
      </c>
      <c r="AO63">
        <v>0</v>
      </c>
    </row>
    <row r="64" spans="1:41">
      <c r="A64">
        <v>63</v>
      </c>
      <c r="B64" s="42">
        <v>45933</v>
      </c>
      <c r="C64" t="str">
        <v>HINJEWADI</v>
      </c>
      <c r="D64" t="str">
        <v>SLK1</v>
      </c>
      <c r="E64" t="str">
        <v>SHADOWFAX TECHNOLOGIES PRIVATE LIMITED</v>
      </c>
      <c r="F64" t="str">
        <v>MH14LX4839</v>
      </c>
      <c r="G64" t="str">
        <v>BOLERO</v>
      </c>
      <c r="H64" t="str">
        <v>DIESEL</v>
      </c>
      <c r="I64">
        <v>4</v>
      </c>
      <c r="J64">
        <v>10</v>
      </c>
      <c r="K64">
        <v>29000</v>
      </c>
      <c r="L64">
        <v>1000</v>
      </c>
      <c r="M64">
        <v>55</v>
      </c>
      <c r="N64">
        <v>31</v>
      </c>
      <c r="O64" t="str">
        <v>PUN01 NC Cluster 296</v>
      </c>
      <c r="P64">
        <v>0</v>
      </c>
      <c r="Q64">
        <v>5.2777777777777778E-2</v>
      </c>
      <c r="R64">
        <v>0.18841435185185185</v>
      </c>
      <c r="S64">
        <v>37745</v>
      </c>
      <c r="T64">
        <v>0.40098379629629632</v>
      </c>
      <c r="U64">
        <v>0.40168981481481486</v>
      </c>
      <c r="V64">
        <v>37780</v>
      </c>
      <c r="W64">
        <v>30</v>
      </c>
      <c r="X64">
        <v>30</v>
      </c>
      <c r="Y64">
        <v>0</v>
      </c>
      <c r="Z64">
        <v>35</v>
      </c>
      <c r="AA64">
        <v>35</v>
      </c>
      <c r="AB64">
        <v>0</v>
      </c>
      <c r="AC64">
        <v>0</v>
      </c>
      <c r="AD64">
        <v>2</v>
      </c>
      <c r="AE64">
        <v>300</v>
      </c>
      <c r="AF64">
        <v>0</v>
      </c>
      <c r="AG64">
        <v>0</v>
      </c>
      <c r="AH64">
        <v>0</v>
      </c>
      <c r="AI64">
        <v>0</v>
      </c>
      <c r="AJ64">
        <v>1235.48</v>
      </c>
      <c r="AK64">
        <v>0</v>
      </c>
      <c r="AL64">
        <v>1235.48</v>
      </c>
      <c r="AM64">
        <v>0</v>
      </c>
      <c r="AN64">
        <v>0</v>
      </c>
      <c r="AO64">
        <v>0</v>
      </c>
    </row>
    <row r="65" spans="1:41">
      <c r="A65">
        <v>64</v>
      </c>
      <c r="B65" s="42">
        <v>45933</v>
      </c>
      <c r="C65" t="str">
        <v>HINJEWADI</v>
      </c>
      <c r="D65" t="str">
        <v>SLK1</v>
      </c>
      <c r="E65" t="str">
        <v>SHADOWFAX TECHNOLOGIES PRIVATE LIMITED</v>
      </c>
      <c r="F65" t="str">
        <v>MH14MH1873</v>
      </c>
      <c r="G65" t="str">
        <v>BOLERO</v>
      </c>
      <c r="H65" t="str">
        <v>DIESEL</v>
      </c>
      <c r="I65">
        <v>4</v>
      </c>
      <c r="J65">
        <v>10</v>
      </c>
      <c r="K65">
        <v>29000</v>
      </c>
      <c r="L65">
        <v>1000</v>
      </c>
      <c r="M65">
        <v>55</v>
      </c>
      <c r="N65">
        <v>31</v>
      </c>
      <c r="O65" t="str">
        <v>PUN01 NC Cluster 40</v>
      </c>
      <c r="P65">
        <v>0</v>
      </c>
      <c r="Q65">
        <v>5.0694444444444452E-2</v>
      </c>
      <c r="R65">
        <v>0.16744212962962965</v>
      </c>
      <c r="S65">
        <v>17329</v>
      </c>
      <c r="T65">
        <v>0</v>
      </c>
      <c r="U65">
        <v>0</v>
      </c>
      <c r="V65">
        <v>17329</v>
      </c>
      <c r="W65">
        <v>0</v>
      </c>
      <c r="X65">
        <v>63</v>
      </c>
      <c r="Y65">
        <v>-63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935.48</v>
      </c>
      <c r="AK65">
        <v>0</v>
      </c>
      <c r="AL65">
        <v>935.48</v>
      </c>
      <c r="AM65">
        <v>0</v>
      </c>
      <c r="AN65">
        <v>0</v>
      </c>
      <c r="AO65">
        <v>0</v>
      </c>
    </row>
    <row r="66" spans="1:41">
      <c r="A66">
        <v>65</v>
      </c>
      <c r="B66" s="42">
        <v>45933</v>
      </c>
      <c r="C66" t="str">
        <v>HINJEWADI</v>
      </c>
      <c r="D66" t="str">
        <v>SLK1</v>
      </c>
      <c r="E66" t="str">
        <v>SHADOWFAX TECHNOLOGIES PRIVATE LIMITED</v>
      </c>
      <c r="F66" t="str">
        <v>MH14MH7322</v>
      </c>
      <c r="G66" t="str">
        <v>BOLERO</v>
      </c>
      <c r="H66" t="str">
        <v>DIESEL</v>
      </c>
      <c r="I66">
        <v>4</v>
      </c>
      <c r="J66">
        <v>10</v>
      </c>
      <c r="K66">
        <v>29000</v>
      </c>
      <c r="L66">
        <v>1000</v>
      </c>
      <c r="M66">
        <v>55</v>
      </c>
      <c r="N66">
        <v>31</v>
      </c>
      <c r="O66" t="str">
        <v>PUN01 NC Cluster 128</v>
      </c>
      <c r="P66">
        <v>0</v>
      </c>
      <c r="Q66">
        <v>9.7222222222222224E-2</v>
      </c>
      <c r="R66">
        <v>0.18986111111111112</v>
      </c>
      <c r="S66">
        <v>2562</v>
      </c>
      <c r="T66">
        <v>0.32722222222222225</v>
      </c>
      <c r="U66">
        <v>0.32754629629629628</v>
      </c>
      <c r="V66">
        <v>2606</v>
      </c>
      <c r="W66">
        <v>55</v>
      </c>
      <c r="X66">
        <v>55</v>
      </c>
      <c r="Y66">
        <v>0</v>
      </c>
      <c r="Z66">
        <v>44</v>
      </c>
      <c r="AA66">
        <v>44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935.48</v>
      </c>
      <c r="AK66">
        <v>0</v>
      </c>
      <c r="AL66">
        <v>935.48</v>
      </c>
      <c r="AM66">
        <v>0</v>
      </c>
      <c r="AN66">
        <v>0</v>
      </c>
      <c r="AO66">
        <v>0</v>
      </c>
    </row>
    <row r="67" spans="1:41">
      <c r="A67">
        <v>66</v>
      </c>
      <c r="B67" s="42">
        <v>45934</v>
      </c>
      <c r="C67" t="str">
        <v>HINJEWADI</v>
      </c>
      <c r="D67" t="str">
        <v>SLK1</v>
      </c>
      <c r="E67" t="str">
        <v>SHADOWFAX TECHNOLOGIES PRIVATE LIMITED</v>
      </c>
      <c r="F67" t="str">
        <v>MH03AH8989</v>
      </c>
      <c r="G67" t="str">
        <v>ACE</v>
      </c>
      <c r="H67" t="str">
        <v>CNG</v>
      </c>
      <c r="I67">
        <v>4</v>
      </c>
      <c r="J67">
        <v>8</v>
      </c>
      <c r="K67">
        <v>25000</v>
      </c>
      <c r="L67">
        <v>1000</v>
      </c>
      <c r="M67">
        <v>55</v>
      </c>
      <c r="N67">
        <v>31</v>
      </c>
      <c r="O67" t="str">
        <v>PUN01 NC Cluster 1</v>
      </c>
      <c r="P67">
        <v>0</v>
      </c>
      <c r="Q67">
        <v>4.1666666666666664E-2</v>
      </c>
      <c r="R67">
        <v>0.17112268518518517</v>
      </c>
      <c r="S67">
        <v>55517</v>
      </c>
      <c r="T67">
        <v>0.28423611111111108</v>
      </c>
      <c r="U67">
        <v>0.28438657407407408</v>
      </c>
      <c r="V67">
        <v>55523</v>
      </c>
      <c r="W67">
        <v>49</v>
      </c>
      <c r="X67">
        <v>49</v>
      </c>
      <c r="Y67">
        <v>0</v>
      </c>
      <c r="Z67">
        <v>6</v>
      </c>
      <c r="AA67">
        <v>6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806.45</v>
      </c>
      <c r="AK67">
        <v>0</v>
      </c>
      <c r="AL67">
        <v>806.45</v>
      </c>
      <c r="AM67">
        <v>0</v>
      </c>
      <c r="AN67">
        <v>0</v>
      </c>
      <c r="AO67">
        <v>0</v>
      </c>
    </row>
    <row r="68" spans="1:41">
      <c r="A68">
        <v>67</v>
      </c>
      <c r="B68" s="42">
        <v>45934</v>
      </c>
      <c r="C68" t="str">
        <v>HINJEWADI</v>
      </c>
      <c r="D68" t="str">
        <v>SLK1</v>
      </c>
      <c r="E68" t="str">
        <v>SHADOWFAX TECHNOLOGIES PRIVATE LIMITED</v>
      </c>
      <c r="F68" t="str">
        <v>MH12RN4983</v>
      </c>
      <c r="G68" t="str">
        <v>ACE</v>
      </c>
      <c r="H68" t="str">
        <v>CNG</v>
      </c>
      <c r="I68">
        <v>4</v>
      </c>
      <c r="J68">
        <v>8</v>
      </c>
      <c r="K68">
        <v>25000</v>
      </c>
      <c r="L68">
        <v>1000</v>
      </c>
      <c r="M68">
        <v>55</v>
      </c>
      <c r="N68">
        <v>31</v>
      </c>
      <c r="O68" t="str">
        <v>PUN01 NC Cluster 1</v>
      </c>
      <c r="P68">
        <v>0</v>
      </c>
      <c r="Q68">
        <v>0.13958333333333334</v>
      </c>
      <c r="R68">
        <v>0.30238425925925927</v>
      </c>
      <c r="S68">
        <v>190953</v>
      </c>
      <c r="T68">
        <v>0.30355324074074075</v>
      </c>
      <c r="U68">
        <v>0.30454861111111114</v>
      </c>
      <c r="V68">
        <v>190953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806.45</v>
      </c>
      <c r="AK68">
        <v>0</v>
      </c>
      <c r="AL68">
        <v>806.45</v>
      </c>
      <c r="AM68">
        <v>0</v>
      </c>
      <c r="AN68">
        <v>0</v>
      </c>
      <c r="AO68">
        <v>0</v>
      </c>
    </row>
    <row r="69" spans="1:41">
      <c r="A69">
        <v>68</v>
      </c>
      <c r="B69" s="42">
        <v>45934</v>
      </c>
      <c r="C69" t="str">
        <v>HINJEWADI</v>
      </c>
      <c r="D69" t="str">
        <v>SLK1</v>
      </c>
      <c r="E69" t="str">
        <v>SHADOWFAX TECHNOLOGIES PRIVATE LIMITED</v>
      </c>
      <c r="F69" t="str">
        <v>MH12UM3063</v>
      </c>
      <c r="G69" t="str">
        <v>ACE</v>
      </c>
      <c r="H69" t="str">
        <v>CNG</v>
      </c>
      <c r="I69">
        <v>6</v>
      </c>
      <c r="J69">
        <v>8</v>
      </c>
      <c r="K69">
        <v>33000</v>
      </c>
      <c r="L69">
        <v>2000</v>
      </c>
      <c r="M69">
        <v>55</v>
      </c>
      <c r="N69">
        <v>31</v>
      </c>
      <c r="O69" t="str">
        <v>PUN01 NC Cluster 229</v>
      </c>
      <c r="P69">
        <v>0</v>
      </c>
      <c r="Q69">
        <v>7.6388888888888895E-2</v>
      </c>
      <c r="R69">
        <v>0.17130787037037035</v>
      </c>
      <c r="S69">
        <v>98477</v>
      </c>
      <c r="T69">
        <v>0.32824074074074078</v>
      </c>
      <c r="U69">
        <v>0.32831018518518518</v>
      </c>
      <c r="V69">
        <v>98530</v>
      </c>
      <c r="W69">
        <v>56</v>
      </c>
      <c r="X69">
        <v>55</v>
      </c>
      <c r="Y69">
        <v>1</v>
      </c>
      <c r="Z69">
        <v>53</v>
      </c>
      <c r="AA69">
        <v>53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1064.52</v>
      </c>
      <c r="AK69">
        <v>0</v>
      </c>
      <c r="AL69">
        <v>1064.52</v>
      </c>
      <c r="AM69">
        <v>0</v>
      </c>
      <c r="AN69">
        <v>0</v>
      </c>
      <c r="AO69">
        <v>0</v>
      </c>
    </row>
    <row r="70" spans="1:41">
      <c r="A70">
        <v>69</v>
      </c>
      <c r="B70" s="42">
        <v>45934</v>
      </c>
      <c r="C70" t="str">
        <v>HINJEWADI</v>
      </c>
      <c r="D70" t="str">
        <v>SLK1</v>
      </c>
      <c r="E70" t="str">
        <v>SHADOWFAX TECHNOLOGIES PRIVATE LIMITED</v>
      </c>
      <c r="F70" t="str">
        <v>MH12VF3782</v>
      </c>
      <c r="G70" t="str">
        <v>ACE</v>
      </c>
      <c r="H70" t="str">
        <v>CNG</v>
      </c>
      <c r="I70">
        <v>4</v>
      </c>
      <c r="J70">
        <v>8</v>
      </c>
      <c r="K70">
        <v>25000</v>
      </c>
      <c r="L70">
        <v>1000</v>
      </c>
      <c r="M70">
        <v>55</v>
      </c>
      <c r="N70">
        <v>31</v>
      </c>
      <c r="O70" t="str">
        <v>PUN01 NC Cluster 124</v>
      </c>
      <c r="P70">
        <v>0</v>
      </c>
      <c r="Q70">
        <v>0.12152777777777778</v>
      </c>
      <c r="R70">
        <v>0.15636574074074075</v>
      </c>
      <c r="S70">
        <v>83410</v>
      </c>
      <c r="T70">
        <v>0.31059027777777776</v>
      </c>
      <c r="U70">
        <v>0.3106828703703704</v>
      </c>
      <c r="V70">
        <v>83438</v>
      </c>
      <c r="W70">
        <v>28</v>
      </c>
      <c r="X70">
        <v>28</v>
      </c>
      <c r="Y70">
        <v>0</v>
      </c>
      <c r="Z70">
        <v>28</v>
      </c>
      <c r="AA70">
        <v>28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806.45</v>
      </c>
      <c r="AK70">
        <v>0</v>
      </c>
      <c r="AL70">
        <v>806.45</v>
      </c>
      <c r="AM70">
        <v>0</v>
      </c>
      <c r="AN70">
        <v>0</v>
      </c>
      <c r="AO70">
        <v>0</v>
      </c>
    </row>
    <row r="71" spans="1:41">
      <c r="A71">
        <v>70</v>
      </c>
      <c r="B71" s="42">
        <v>45934</v>
      </c>
      <c r="C71" t="str">
        <v>HINJEWADI</v>
      </c>
      <c r="D71" t="str">
        <v>SLK1</v>
      </c>
      <c r="E71" t="str">
        <v>SHADOWFAX TECHNOLOGIES PRIVATE LIMITED</v>
      </c>
      <c r="F71" t="str">
        <v>MH12XM2801</v>
      </c>
      <c r="G71" t="str">
        <v>ACE</v>
      </c>
      <c r="H71" t="str">
        <v>CNG</v>
      </c>
      <c r="I71">
        <v>4</v>
      </c>
      <c r="J71">
        <v>8</v>
      </c>
      <c r="K71">
        <v>25000</v>
      </c>
      <c r="L71">
        <v>1000</v>
      </c>
      <c r="M71">
        <v>55</v>
      </c>
      <c r="N71">
        <v>31</v>
      </c>
      <c r="O71" t="str">
        <v>PUN01 NC Cluster 209</v>
      </c>
      <c r="P71">
        <v>0</v>
      </c>
      <c r="Q71">
        <v>0.1173611111111111</v>
      </c>
      <c r="R71">
        <v>0.16490740740740742</v>
      </c>
      <c r="S71">
        <v>11125</v>
      </c>
      <c r="T71">
        <v>0.31178240740740742</v>
      </c>
      <c r="U71">
        <v>0.31186342592592592</v>
      </c>
      <c r="V71">
        <v>11168</v>
      </c>
      <c r="W71">
        <v>28</v>
      </c>
      <c r="X71">
        <v>28</v>
      </c>
      <c r="Y71">
        <v>0</v>
      </c>
      <c r="Z71">
        <v>43</v>
      </c>
      <c r="AA71">
        <v>43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806.45</v>
      </c>
      <c r="AK71">
        <v>0</v>
      </c>
      <c r="AL71">
        <v>806.45</v>
      </c>
      <c r="AM71">
        <v>0</v>
      </c>
      <c r="AN71">
        <v>0</v>
      </c>
      <c r="AO71">
        <v>0</v>
      </c>
    </row>
    <row r="72" spans="1:41">
      <c r="A72">
        <v>71</v>
      </c>
      <c r="B72" s="42">
        <v>45934</v>
      </c>
      <c r="C72" t="str">
        <v>HINJEWADI</v>
      </c>
      <c r="D72" t="str">
        <v>SLK1</v>
      </c>
      <c r="E72" t="str">
        <v>SHADOWFAX TECHNOLOGIES PRIVATE LIMITED</v>
      </c>
      <c r="F72" t="str">
        <v>MH12YB3190</v>
      </c>
      <c r="G72" t="str">
        <v>ACE</v>
      </c>
      <c r="H72" t="str">
        <v>CNG</v>
      </c>
      <c r="I72">
        <v>4</v>
      </c>
      <c r="J72">
        <v>8</v>
      </c>
      <c r="K72">
        <v>25000</v>
      </c>
      <c r="L72">
        <v>1000</v>
      </c>
      <c r="M72">
        <v>55</v>
      </c>
      <c r="N72">
        <v>31</v>
      </c>
      <c r="O72" t="str">
        <v>PUN01 NC Cluster 17</v>
      </c>
      <c r="P72">
        <v>0</v>
      </c>
      <c r="Q72">
        <v>0.12083333333333333</v>
      </c>
      <c r="R72">
        <v>0.16512731481481482</v>
      </c>
      <c r="S72">
        <v>13797</v>
      </c>
      <c r="T72">
        <v>0.33649305555555559</v>
      </c>
      <c r="U72">
        <v>0.33657407407407408</v>
      </c>
      <c r="V72">
        <v>13814</v>
      </c>
      <c r="W72">
        <v>34</v>
      </c>
      <c r="X72">
        <v>34</v>
      </c>
      <c r="Y72">
        <v>0</v>
      </c>
      <c r="Z72">
        <v>17</v>
      </c>
      <c r="AA72">
        <v>17</v>
      </c>
      <c r="AB72">
        <v>0</v>
      </c>
      <c r="AC72">
        <v>0</v>
      </c>
      <c r="AD72">
        <v>1</v>
      </c>
      <c r="AE72">
        <v>150</v>
      </c>
      <c r="AF72">
        <v>0</v>
      </c>
      <c r="AG72">
        <v>0</v>
      </c>
      <c r="AH72">
        <v>0</v>
      </c>
      <c r="AI72">
        <v>0</v>
      </c>
      <c r="AJ72">
        <v>956.45</v>
      </c>
      <c r="AK72">
        <v>0</v>
      </c>
      <c r="AL72">
        <v>956.45</v>
      </c>
      <c r="AM72">
        <v>0</v>
      </c>
      <c r="AN72">
        <v>0</v>
      </c>
      <c r="AO72">
        <v>0</v>
      </c>
    </row>
    <row r="73" spans="1:41">
      <c r="A73">
        <v>72</v>
      </c>
      <c r="B73" s="42">
        <v>45934</v>
      </c>
      <c r="C73" t="str">
        <v>HINJEWADI</v>
      </c>
      <c r="D73" t="str">
        <v>SLK1</v>
      </c>
      <c r="E73" t="str">
        <v>SHADOWFAX TECHNOLOGIES PRIVATE LIMITED</v>
      </c>
      <c r="F73" t="str">
        <v>MH14CP4610</v>
      </c>
      <c r="G73" t="str">
        <v>ACE</v>
      </c>
      <c r="H73" t="str">
        <v>CNG</v>
      </c>
      <c r="I73">
        <v>4</v>
      </c>
      <c r="J73">
        <v>8</v>
      </c>
      <c r="K73">
        <v>25000</v>
      </c>
      <c r="L73">
        <v>1000</v>
      </c>
      <c r="M73">
        <v>55</v>
      </c>
      <c r="N73">
        <v>31</v>
      </c>
      <c r="O73" t="str">
        <v>PUN01 NC Cluster 87</v>
      </c>
      <c r="P73">
        <v>0</v>
      </c>
      <c r="Q73">
        <v>5.2083333333333336E-2</v>
      </c>
      <c r="R73">
        <v>0.1637962962962963</v>
      </c>
      <c r="S73">
        <v>145088</v>
      </c>
      <c r="T73">
        <v>0.29244212962962962</v>
      </c>
      <c r="U73">
        <v>0.29252314814814812</v>
      </c>
      <c r="V73">
        <v>145104</v>
      </c>
      <c r="W73">
        <v>28</v>
      </c>
      <c r="X73">
        <v>28</v>
      </c>
      <c r="Y73">
        <v>0</v>
      </c>
      <c r="Z73">
        <v>16</v>
      </c>
      <c r="AA73">
        <v>16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806.45</v>
      </c>
      <c r="AK73">
        <v>0</v>
      </c>
      <c r="AL73">
        <v>806.45</v>
      </c>
      <c r="AM73">
        <v>0</v>
      </c>
      <c r="AN73">
        <v>0</v>
      </c>
      <c r="AO73">
        <v>0</v>
      </c>
    </row>
    <row r="74" spans="1:41">
      <c r="A74">
        <v>73</v>
      </c>
      <c r="B74" s="42">
        <v>45934</v>
      </c>
      <c r="C74" t="str">
        <v>HINJEWADI</v>
      </c>
      <c r="D74" t="str">
        <v>SLK1</v>
      </c>
      <c r="E74" t="str">
        <v>SHADOWFAX TECHNOLOGIES PRIVATE LIMITED</v>
      </c>
      <c r="F74" t="str">
        <v>MH14KA0766</v>
      </c>
      <c r="G74" t="str">
        <v>ACE</v>
      </c>
      <c r="H74" t="str">
        <v>CNG</v>
      </c>
      <c r="I74">
        <v>4</v>
      </c>
      <c r="J74">
        <v>8</v>
      </c>
      <c r="K74">
        <v>25000</v>
      </c>
      <c r="L74">
        <v>1000</v>
      </c>
      <c r="M74">
        <v>55</v>
      </c>
      <c r="N74">
        <v>31</v>
      </c>
      <c r="O74" t="str">
        <v>PUN01 NC Cluster 11</v>
      </c>
      <c r="P74">
        <v>0</v>
      </c>
      <c r="Q74">
        <v>6.3194444444444442E-2</v>
      </c>
      <c r="R74">
        <v>0.16988425925925923</v>
      </c>
      <c r="S74">
        <v>141903</v>
      </c>
      <c r="T74">
        <v>0.33829861111111109</v>
      </c>
      <c r="U74">
        <v>0.33839120370370374</v>
      </c>
      <c r="V74">
        <v>141920</v>
      </c>
      <c r="W74">
        <v>49</v>
      </c>
      <c r="X74">
        <v>49</v>
      </c>
      <c r="Y74">
        <v>0</v>
      </c>
      <c r="Z74">
        <v>17</v>
      </c>
      <c r="AA74">
        <v>17</v>
      </c>
      <c r="AB74">
        <v>0</v>
      </c>
      <c r="AC74">
        <v>0</v>
      </c>
      <c r="AD74">
        <v>1</v>
      </c>
      <c r="AE74">
        <v>150</v>
      </c>
      <c r="AF74">
        <v>0</v>
      </c>
      <c r="AG74">
        <v>0</v>
      </c>
      <c r="AH74">
        <v>0</v>
      </c>
      <c r="AI74">
        <v>0</v>
      </c>
      <c r="AJ74">
        <v>956.45</v>
      </c>
      <c r="AK74">
        <v>0</v>
      </c>
      <c r="AL74">
        <v>956.45</v>
      </c>
      <c r="AM74">
        <v>0</v>
      </c>
      <c r="AN74">
        <v>0</v>
      </c>
      <c r="AO74">
        <v>0</v>
      </c>
    </row>
    <row r="75" spans="1:41">
      <c r="A75">
        <v>74</v>
      </c>
      <c r="B75" s="42">
        <v>45934</v>
      </c>
      <c r="C75" t="str">
        <v>HINJEWADI</v>
      </c>
      <c r="D75" t="str">
        <v>SLK1</v>
      </c>
      <c r="E75" t="str">
        <v>SHADOWFAX TECHNOLOGIES PRIVATE LIMITED</v>
      </c>
      <c r="F75" t="str">
        <v>MH14KA6513</v>
      </c>
      <c r="G75" t="str">
        <v>ACE</v>
      </c>
      <c r="H75" t="str">
        <v>CNG</v>
      </c>
      <c r="I75">
        <v>6</v>
      </c>
      <c r="J75">
        <v>8</v>
      </c>
      <c r="K75">
        <v>33000</v>
      </c>
      <c r="L75">
        <v>2000</v>
      </c>
      <c r="M75">
        <v>55</v>
      </c>
      <c r="N75">
        <v>31</v>
      </c>
      <c r="O75" t="str">
        <v>PUN01 NC Cluster 299</v>
      </c>
      <c r="P75">
        <v>0</v>
      </c>
      <c r="Q75">
        <v>9.9999999999999992E-2</v>
      </c>
      <c r="R75">
        <v>0.17232638888888888</v>
      </c>
      <c r="S75">
        <v>47075</v>
      </c>
      <c r="T75">
        <v>0.35497685185185185</v>
      </c>
      <c r="U75">
        <v>0.35615740740740742</v>
      </c>
      <c r="V75">
        <v>47162</v>
      </c>
      <c r="W75">
        <v>25</v>
      </c>
      <c r="X75">
        <v>25</v>
      </c>
      <c r="Y75">
        <v>0</v>
      </c>
      <c r="Z75">
        <v>87</v>
      </c>
      <c r="AA75">
        <v>87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1064.52</v>
      </c>
      <c r="AK75">
        <v>0</v>
      </c>
      <c r="AL75">
        <v>1064.52</v>
      </c>
      <c r="AM75">
        <v>0</v>
      </c>
      <c r="AN75">
        <v>0</v>
      </c>
      <c r="AO75">
        <v>0</v>
      </c>
    </row>
    <row r="76" spans="1:41">
      <c r="A76">
        <v>75</v>
      </c>
      <c r="B76" s="42">
        <v>45934</v>
      </c>
      <c r="C76" t="str">
        <v>HINJEWADI</v>
      </c>
      <c r="D76" t="str">
        <v>SLK1</v>
      </c>
      <c r="E76" t="str">
        <v>SHADOWFAX TECHNOLOGIES PRIVATE LIMITED</v>
      </c>
      <c r="F76" t="str">
        <v>MH14KQ0279</v>
      </c>
      <c r="G76" t="str">
        <v>ACE</v>
      </c>
      <c r="H76" t="str">
        <v>CNG</v>
      </c>
      <c r="I76">
        <v>4</v>
      </c>
      <c r="J76">
        <v>8</v>
      </c>
      <c r="K76">
        <v>25000</v>
      </c>
      <c r="L76">
        <v>1000</v>
      </c>
      <c r="M76">
        <v>55</v>
      </c>
      <c r="N76">
        <v>31</v>
      </c>
      <c r="O76" t="str">
        <v>PUN01 Cluster 175</v>
      </c>
      <c r="P76">
        <v>0</v>
      </c>
      <c r="Q76">
        <v>0.13541666666666666</v>
      </c>
      <c r="R76">
        <v>0.18630787037037036</v>
      </c>
      <c r="S76">
        <v>117339</v>
      </c>
      <c r="T76">
        <v>0.29432870370370373</v>
      </c>
      <c r="U76">
        <v>0.29444444444444445</v>
      </c>
      <c r="V76">
        <v>117369</v>
      </c>
      <c r="W76">
        <v>30</v>
      </c>
      <c r="X76">
        <v>0</v>
      </c>
      <c r="Y76">
        <v>30</v>
      </c>
      <c r="Z76">
        <v>30</v>
      </c>
      <c r="AA76">
        <v>30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806.45</v>
      </c>
      <c r="AK76">
        <v>0</v>
      </c>
      <c r="AL76">
        <v>806.45</v>
      </c>
      <c r="AM76">
        <v>0</v>
      </c>
      <c r="AN76">
        <v>0</v>
      </c>
      <c r="AO76">
        <v>0</v>
      </c>
    </row>
    <row r="77" spans="1:41">
      <c r="A77">
        <v>76</v>
      </c>
      <c r="B77" s="42">
        <v>45934</v>
      </c>
      <c r="C77" t="str">
        <v>HINJEWADI</v>
      </c>
      <c r="D77" t="str">
        <v>SLK1</v>
      </c>
      <c r="E77" t="str">
        <v>SHADOWFAX TECHNOLOGIES PRIVATE LIMITED</v>
      </c>
      <c r="F77" t="str">
        <v>MH14KQ4401</v>
      </c>
      <c r="G77" t="str">
        <v>ACE</v>
      </c>
      <c r="H77" t="str">
        <v>CNG</v>
      </c>
      <c r="I77">
        <v>4</v>
      </c>
      <c r="J77">
        <v>8</v>
      </c>
      <c r="K77">
        <v>25000</v>
      </c>
      <c r="L77">
        <v>1000</v>
      </c>
      <c r="M77">
        <v>55</v>
      </c>
      <c r="N77">
        <v>31</v>
      </c>
      <c r="O77" t="str">
        <v>PUN01 NC Cluster 24</v>
      </c>
      <c r="P77">
        <v>0</v>
      </c>
      <c r="Q77">
        <v>0.1277777777777778</v>
      </c>
      <c r="R77">
        <v>0.18650462962962963</v>
      </c>
      <c r="S77">
        <v>73989</v>
      </c>
      <c r="T77">
        <v>0.33702546296296299</v>
      </c>
      <c r="U77">
        <v>0.33710648148148148</v>
      </c>
      <c r="V77">
        <v>74013</v>
      </c>
      <c r="W77">
        <v>0</v>
      </c>
      <c r="X77">
        <v>0</v>
      </c>
      <c r="Y77">
        <v>0</v>
      </c>
      <c r="Z77">
        <v>24</v>
      </c>
      <c r="AA77">
        <v>24</v>
      </c>
      <c r="AB77">
        <v>0</v>
      </c>
      <c r="AC77">
        <v>0</v>
      </c>
      <c r="AD77">
        <v>1</v>
      </c>
      <c r="AE77">
        <v>150</v>
      </c>
      <c r="AF77">
        <v>0</v>
      </c>
      <c r="AG77">
        <v>0</v>
      </c>
      <c r="AH77">
        <v>0</v>
      </c>
      <c r="AI77">
        <v>0</v>
      </c>
      <c r="AJ77">
        <v>956.45</v>
      </c>
      <c r="AK77">
        <v>0</v>
      </c>
      <c r="AL77">
        <v>956.45</v>
      </c>
      <c r="AM77">
        <v>0</v>
      </c>
      <c r="AN77">
        <v>0</v>
      </c>
      <c r="AO77">
        <v>0</v>
      </c>
    </row>
    <row r="78" spans="1:41">
      <c r="A78">
        <v>77</v>
      </c>
      <c r="B78" s="42">
        <v>45934</v>
      </c>
      <c r="C78" t="str">
        <v>HINJEWADI</v>
      </c>
      <c r="D78" t="str">
        <v>SLK1</v>
      </c>
      <c r="E78" t="str">
        <v>SHADOWFAX TECHNOLOGIES PRIVATE LIMITED</v>
      </c>
      <c r="F78" t="str">
        <v>MH14LB6732</v>
      </c>
      <c r="G78" t="str">
        <v>ACE</v>
      </c>
      <c r="H78" t="str">
        <v>CNG</v>
      </c>
      <c r="I78">
        <v>4</v>
      </c>
      <c r="J78">
        <v>8</v>
      </c>
      <c r="K78">
        <v>25000</v>
      </c>
      <c r="L78">
        <v>1000</v>
      </c>
      <c r="M78">
        <v>55</v>
      </c>
      <c r="N78">
        <v>31</v>
      </c>
      <c r="O78" t="str">
        <v>PUN01 NC Cluster 199</v>
      </c>
      <c r="P78">
        <v>0</v>
      </c>
      <c r="Q78">
        <v>4.6527777777777779E-2</v>
      </c>
      <c r="R78">
        <v>0.15991898148148148</v>
      </c>
      <c r="S78">
        <v>51816</v>
      </c>
      <c r="T78">
        <v>0.35486111111111113</v>
      </c>
      <c r="U78">
        <v>0.35559027777777774</v>
      </c>
      <c r="V78">
        <v>51849</v>
      </c>
      <c r="W78">
        <v>12</v>
      </c>
      <c r="X78">
        <v>12</v>
      </c>
      <c r="Y78">
        <v>0</v>
      </c>
      <c r="Z78">
        <v>33</v>
      </c>
      <c r="AA78">
        <v>33</v>
      </c>
      <c r="AB78">
        <v>0</v>
      </c>
      <c r="AC78">
        <v>0</v>
      </c>
      <c r="AD78">
        <v>1</v>
      </c>
      <c r="AE78">
        <v>150</v>
      </c>
      <c r="AF78">
        <v>0</v>
      </c>
      <c r="AG78">
        <v>0</v>
      </c>
      <c r="AH78">
        <v>0</v>
      </c>
      <c r="AI78">
        <v>0</v>
      </c>
      <c r="AJ78">
        <v>956.45</v>
      </c>
      <c r="AK78">
        <v>0</v>
      </c>
      <c r="AL78">
        <v>956.45</v>
      </c>
      <c r="AM78">
        <v>0</v>
      </c>
      <c r="AN78">
        <v>0</v>
      </c>
      <c r="AO78">
        <v>0</v>
      </c>
    </row>
    <row r="79" spans="1:41">
      <c r="A79">
        <v>78</v>
      </c>
      <c r="B79" s="42">
        <v>45934</v>
      </c>
      <c r="C79" t="str">
        <v>HINJEWADI</v>
      </c>
      <c r="D79" t="str">
        <v>SLK1</v>
      </c>
      <c r="E79" t="str">
        <v>SHADOWFAX TECHNOLOGIES PRIVATE LIMITED</v>
      </c>
      <c r="F79" t="str">
        <v>MH14LB6751</v>
      </c>
      <c r="G79" t="str">
        <v>ACE</v>
      </c>
      <c r="H79" t="str">
        <v>CNG</v>
      </c>
      <c r="I79">
        <v>4</v>
      </c>
      <c r="J79">
        <v>8</v>
      </c>
      <c r="K79">
        <v>25000</v>
      </c>
      <c r="L79">
        <v>1000</v>
      </c>
      <c r="M79">
        <v>55</v>
      </c>
      <c r="N79">
        <v>31</v>
      </c>
      <c r="O79" t="str">
        <v>PUN01 NC Cluster 40</v>
      </c>
      <c r="P79">
        <v>0</v>
      </c>
      <c r="Q79">
        <v>4.5138888888888888E-2</v>
      </c>
      <c r="R79">
        <v>0.15888888888888889</v>
      </c>
      <c r="S79">
        <v>82674</v>
      </c>
      <c r="T79">
        <v>0.29503472222222221</v>
      </c>
      <c r="U79">
        <v>0.29531250000000003</v>
      </c>
      <c r="V79">
        <v>82690</v>
      </c>
      <c r="W79">
        <v>58</v>
      </c>
      <c r="X79">
        <v>58</v>
      </c>
      <c r="Y79">
        <v>0</v>
      </c>
      <c r="Z79">
        <v>16</v>
      </c>
      <c r="AA79">
        <v>16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806.45</v>
      </c>
      <c r="AK79">
        <v>0</v>
      </c>
      <c r="AL79">
        <v>806.45</v>
      </c>
      <c r="AM79">
        <v>0</v>
      </c>
      <c r="AN79">
        <v>0</v>
      </c>
      <c r="AO79">
        <v>0</v>
      </c>
    </row>
    <row r="80" spans="1:41">
      <c r="A80">
        <v>79</v>
      </c>
      <c r="B80" s="42">
        <v>45934</v>
      </c>
      <c r="C80" t="str">
        <v>HINJEWADI</v>
      </c>
      <c r="D80" t="str">
        <v>SLK1</v>
      </c>
      <c r="E80" t="str">
        <v>SHADOWFAX TECHNOLOGIES PRIVATE LIMITED</v>
      </c>
      <c r="F80" t="str">
        <v>MH14LL5974</v>
      </c>
      <c r="G80" t="str">
        <v>ACE</v>
      </c>
      <c r="H80" t="str">
        <v>CNG</v>
      </c>
      <c r="I80">
        <v>4</v>
      </c>
      <c r="J80">
        <v>8</v>
      </c>
      <c r="K80">
        <v>25000</v>
      </c>
      <c r="L80">
        <v>1000</v>
      </c>
      <c r="M80">
        <v>55</v>
      </c>
      <c r="N80">
        <v>31</v>
      </c>
      <c r="O80" t="str">
        <v>PUN01 NC Cluster 18</v>
      </c>
      <c r="P80">
        <v>0</v>
      </c>
      <c r="Q80">
        <v>9.1666666666666674E-2</v>
      </c>
      <c r="R80">
        <v>0.1784259259259259</v>
      </c>
      <c r="S80">
        <v>36059</v>
      </c>
      <c r="T80">
        <v>0.29341435185185188</v>
      </c>
      <c r="U80">
        <v>0.29347222222222219</v>
      </c>
      <c r="V80">
        <v>36083</v>
      </c>
      <c r="W80">
        <v>36</v>
      </c>
      <c r="X80">
        <v>36</v>
      </c>
      <c r="Y80">
        <v>0</v>
      </c>
      <c r="Z80">
        <v>24</v>
      </c>
      <c r="AA80">
        <v>24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806.45</v>
      </c>
      <c r="AK80">
        <v>0</v>
      </c>
      <c r="AL80">
        <v>806.45</v>
      </c>
      <c r="AM80">
        <v>0</v>
      </c>
      <c r="AN80">
        <v>0</v>
      </c>
      <c r="AO80">
        <v>0</v>
      </c>
    </row>
    <row r="81" spans="1:41">
      <c r="A81">
        <v>80</v>
      </c>
      <c r="B81" s="42">
        <v>45934</v>
      </c>
      <c r="C81" t="str">
        <v>HINJEWADI</v>
      </c>
      <c r="D81" t="str">
        <v>SLK1</v>
      </c>
      <c r="E81" t="str">
        <v>SHADOWFAX TECHNOLOGIES PRIVATE LIMITED</v>
      </c>
      <c r="F81" t="str">
        <v>MH14LL6836</v>
      </c>
      <c r="G81" t="str">
        <v>ACE</v>
      </c>
      <c r="H81" t="str">
        <v>CNG</v>
      </c>
      <c r="I81">
        <v>6</v>
      </c>
      <c r="J81">
        <v>8</v>
      </c>
      <c r="K81">
        <v>33000</v>
      </c>
      <c r="L81">
        <v>2000</v>
      </c>
      <c r="M81">
        <v>55</v>
      </c>
      <c r="N81">
        <v>31</v>
      </c>
      <c r="O81" t="str">
        <v>PUN01 NC Cluster 303</v>
      </c>
      <c r="P81">
        <v>0</v>
      </c>
      <c r="Q81">
        <v>5.6944444444444443E-2</v>
      </c>
      <c r="R81">
        <v>0.17216435185185186</v>
      </c>
      <c r="S81">
        <v>31874</v>
      </c>
      <c r="T81">
        <v>0.29268518518518521</v>
      </c>
      <c r="U81">
        <v>0.29275462962962961</v>
      </c>
      <c r="V81">
        <v>31942</v>
      </c>
      <c r="W81">
        <v>29</v>
      </c>
      <c r="X81">
        <v>29</v>
      </c>
      <c r="Y81">
        <v>0</v>
      </c>
      <c r="Z81">
        <v>68</v>
      </c>
      <c r="AA81">
        <v>68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1064.52</v>
      </c>
      <c r="AK81">
        <v>0</v>
      </c>
      <c r="AL81">
        <v>1064.52</v>
      </c>
      <c r="AM81">
        <v>0</v>
      </c>
      <c r="AN81">
        <v>0</v>
      </c>
      <c r="AO81">
        <v>0</v>
      </c>
    </row>
    <row r="82" spans="1:41">
      <c r="A82">
        <v>81</v>
      </c>
      <c r="B82" s="42">
        <v>45934</v>
      </c>
      <c r="C82" t="str">
        <v>HINJEWADI</v>
      </c>
      <c r="D82" t="str">
        <v>SLK1</v>
      </c>
      <c r="E82" t="str">
        <v>SHADOWFAX TECHNOLOGIES PRIVATE LIMITED</v>
      </c>
      <c r="F82" t="str">
        <v>MH14LX6360</v>
      </c>
      <c r="G82" t="str">
        <v>ACE</v>
      </c>
      <c r="H82" t="str">
        <v>CNG</v>
      </c>
      <c r="I82">
        <v>4</v>
      </c>
      <c r="J82">
        <v>8</v>
      </c>
      <c r="K82">
        <v>25000</v>
      </c>
      <c r="L82">
        <v>1000</v>
      </c>
      <c r="M82">
        <v>55</v>
      </c>
      <c r="N82">
        <v>31</v>
      </c>
      <c r="O82" t="str">
        <v>PUN01 NC Cluster 39</v>
      </c>
      <c r="P82">
        <v>0</v>
      </c>
      <c r="Q82">
        <v>4.5833333333333337E-2</v>
      </c>
      <c r="R82">
        <v>0.15972222222222224</v>
      </c>
      <c r="S82">
        <v>37332</v>
      </c>
      <c r="T82">
        <v>0.29962962962962963</v>
      </c>
      <c r="U82">
        <v>0.29969907407407409</v>
      </c>
      <c r="V82">
        <v>37348</v>
      </c>
      <c r="W82">
        <v>50</v>
      </c>
      <c r="X82">
        <v>50</v>
      </c>
      <c r="Y82">
        <v>0</v>
      </c>
      <c r="Z82">
        <v>16</v>
      </c>
      <c r="AA82">
        <v>16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806.45</v>
      </c>
      <c r="AK82">
        <v>0</v>
      </c>
      <c r="AL82">
        <v>806.45</v>
      </c>
      <c r="AM82">
        <v>0</v>
      </c>
      <c r="AN82">
        <v>0</v>
      </c>
      <c r="AO82">
        <v>0</v>
      </c>
    </row>
    <row r="83" spans="1:41">
      <c r="A83">
        <v>82</v>
      </c>
      <c r="B83" s="42">
        <v>45934</v>
      </c>
      <c r="C83" t="str">
        <v>HINJEWADI</v>
      </c>
      <c r="D83" t="str">
        <v>SLK1</v>
      </c>
      <c r="E83" t="str">
        <v>SHADOWFAX TECHNOLOGIES PRIVATE LIMITED</v>
      </c>
      <c r="F83" t="str">
        <v>MH14MH6374</v>
      </c>
      <c r="G83" t="str">
        <v>ACE</v>
      </c>
      <c r="H83" t="str">
        <v>CNG</v>
      </c>
      <c r="I83">
        <v>4</v>
      </c>
      <c r="J83">
        <v>8</v>
      </c>
      <c r="K83">
        <v>25000</v>
      </c>
      <c r="L83">
        <v>1000</v>
      </c>
      <c r="M83">
        <v>55</v>
      </c>
      <c r="N83">
        <v>31</v>
      </c>
      <c r="O83" t="str">
        <v>PUN01 NC Cluster 201</v>
      </c>
      <c r="P83">
        <v>0</v>
      </c>
      <c r="Q83">
        <v>4.6527777777777779E-2</v>
      </c>
      <c r="R83">
        <v>0.16078703703703703</v>
      </c>
      <c r="S83">
        <v>6503</v>
      </c>
      <c r="T83">
        <v>0.30685185185185188</v>
      </c>
      <c r="U83">
        <v>0.30694444444444441</v>
      </c>
      <c r="V83">
        <v>6527</v>
      </c>
      <c r="W83">
        <v>37</v>
      </c>
      <c r="X83">
        <v>37</v>
      </c>
      <c r="Y83">
        <v>0</v>
      </c>
      <c r="Z83">
        <v>24</v>
      </c>
      <c r="AA83">
        <v>24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806.45</v>
      </c>
      <c r="AK83">
        <v>0</v>
      </c>
      <c r="AL83">
        <v>806.45</v>
      </c>
      <c r="AM83">
        <v>0</v>
      </c>
      <c r="AN83">
        <v>0</v>
      </c>
      <c r="AO83">
        <v>0</v>
      </c>
    </row>
    <row r="84" spans="1:41">
      <c r="A84">
        <v>83</v>
      </c>
      <c r="B84" s="42">
        <v>45934</v>
      </c>
      <c r="C84" t="str">
        <v>HINJEWADI</v>
      </c>
      <c r="D84" t="str">
        <v>SLK1</v>
      </c>
      <c r="E84" t="str">
        <v>SHADOWFAX TECHNOLOGIES PRIVATE LIMITED</v>
      </c>
      <c r="F84" t="str">
        <v>MH14MH8276</v>
      </c>
      <c r="G84" t="str">
        <v>ACE</v>
      </c>
      <c r="H84" t="str">
        <v>CNG</v>
      </c>
      <c r="I84">
        <v>4</v>
      </c>
      <c r="J84">
        <v>8</v>
      </c>
      <c r="K84">
        <v>25000</v>
      </c>
      <c r="L84">
        <v>1000</v>
      </c>
      <c r="M84">
        <v>55</v>
      </c>
      <c r="N84">
        <v>31</v>
      </c>
      <c r="O84" t="str">
        <v>PUN01 NC Cluster 36</v>
      </c>
      <c r="P84">
        <v>0</v>
      </c>
      <c r="Q84">
        <v>4.5138888888888888E-2</v>
      </c>
      <c r="R84">
        <v>0.15909722222222222</v>
      </c>
      <c r="S84">
        <v>3475</v>
      </c>
      <c r="T84">
        <v>0.29982638888888891</v>
      </c>
      <c r="U84">
        <v>0.29989583333333331</v>
      </c>
      <c r="V84">
        <v>3494</v>
      </c>
      <c r="W84">
        <v>67</v>
      </c>
      <c r="X84">
        <v>67</v>
      </c>
      <c r="Y84">
        <v>0</v>
      </c>
      <c r="Z84">
        <v>19</v>
      </c>
      <c r="AA84">
        <v>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806.45</v>
      </c>
      <c r="AK84">
        <v>0</v>
      </c>
      <c r="AL84">
        <v>806.45</v>
      </c>
      <c r="AM84">
        <v>0</v>
      </c>
      <c r="AN84">
        <v>0</v>
      </c>
      <c r="AO84">
        <v>0</v>
      </c>
    </row>
    <row r="85" spans="1:41">
      <c r="A85">
        <v>84</v>
      </c>
      <c r="B85" s="42">
        <v>45934</v>
      </c>
      <c r="C85" t="str">
        <v>HINJEWADI</v>
      </c>
      <c r="D85" t="str">
        <v>SLK1</v>
      </c>
      <c r="E85" t="str">
        <v>SHADOWFAX TECHNOLOGIES PRIVATE LIMITED</v>
      </c>
      <c r="F85" t="str">
        <v>MH20GC8804</v>
      </c>
      <c r="G85" t="str">
        <v>ACE</v>
      </c>
      <c r="H85" t="str">
        <v>CNG</v>
      </c>
      <c r="I85">
        <v>4</v>
      </c>
      <c r="J85">
        <v>8</v>
      </c>
      <c r="K85">
        <v>25000</v>
      </c>
      <c r="L85">
        <v>1000</v>
      </c>
      <c r="M85">
        <v>55</v>
      </c>
      <c r="N85">
        <v>31</v>
      </c>
      <c r="O85" t="str">
        <v>PUN01 NC Cluster 127</v>
      </c>
      <c r="P85">
        <v>0</v>
      </c>
      <c r="Q85">
        <v>4.0972222222222222E-2</v>
      </c>
      <c r="R85">
        <v>0.17700231481481479</v>
      </c>
      <c r="S85">
        <v>40681</v>
      </c>
      <c r="T85">
        <v>0.28496527777777775</v>
      </c>
      <c r="U85">
        <v>0.28515046296296293</v>
      </c>
      <c r="V85">
        <v>40712</v>
      </c>
      <c r="W85">
        <v>26</v>
      </c>
      <c r="X85">
        <v>26</v>
      </c>
      <c r="Y85">
        <v>0</v>
      </c>
      <c r="Z85">
        <v>31</v>
      </c>
      <c r="AA85">
        <v>31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806.45</v>
      </c>
      <c r="AK85">
        <v>0</v>
      </c>
      <c r="AL85">
        <v>806.45</v>
      </c>
      <c r="AM85">
        <v>0</v>
      </c>
      <c r="AN85">
        <v>0</v>
      </c>
      <c r="AO85">
        <v>0</v>
      </c>
    </row>
    <row r="86" spans="1:41">
      <c r="A86">
        <v>85</v>
      </c>
      <c r="B86" s="42">
        <v>45934</v>
      </c>
      <c r="C86" t="str">
        <v>HINJEWADI</v>
      </c>
      <c r="D86" t="str">
        <v>SLK1</v>
      </c>
      <c r="E86" t="str">
        <v>SHADOWFAX TECHNOLOGIES PRIVATE LIMITED</v>
      </c>
      <c r="F86" t="str">
        <v>MH14LL4513</v>
      </c>
      <c r="G86" t="str">
        <v>BOLERO</v>
      </c>
      <c r="H86" t="str">
        <v>DIESEL</v>
      </c>
      <c r="I86">
        <v>4</v>
      </c>
      <c r="J86">
        <v>10</v>
      </c>
      <c r="K86">
        <v>29000</v>
      </c>
      <c r="L86">
        <v>1000</v>
      </c>
      <c r="M86">
        <v>55</v>
      </c>
      <c r="N86">
        <v>31</v>
      </c>
      <c r="O86" t="str">
        <v>PUN01 NC Cluster 142</v>
      </c>
      <c r="P86">
        <v>0</v>
      </c>
      <c r="Q86">
        <v>0.13263888888888889</v>
      </c>
      <c r="R86">
        <v>0.18612268518518518</v>
      </c>
      <c r="S86">
        <v>32238</v>
      </c>
      <c r="T86">
        <v>0.31497685185185187</v>
      </c>
      <c r="U86">
        <v>0.31510416666666669</v>
      </c>
      <c r="V86">
        <v>32251</v>
      </c>
      <c r="W86">
        <v>0</v>
      </c>
      <c r="X86">
        <v>0</v>
      </c>
      <c r="Y86">
        <v>0</v>
      </c>
      <c r="Z86">
        <v>13</v>
      </c>
      <c r="AA86">
        <v>13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935.48</v>
      </c>
      <c r="AK86">
        <v>0</v>
      </c>
      <c r="AL86">
        <v>935.48</v>
      </c>
      <c r="AM86">
        <v>0</v>
      </c>
      <c r="AN86">
        <v>0</v>
      </c>
      <c r="AO86">
        <v>0</v>
      </c>
    </row>
    <row r="87" spans="1:41">
      <c r="A87">
        <v>86</v>
      </c>
      <c r="B87" s="42">
        <v>45934</v>
      </c>
      <c r="C87" t="str">
        <v>HINJEWADI</v>
      </c>
      <c r="D87" t="str">
        <v>SLK1</v>
      </c>
      <c r="E87" t="str">
        <v>SHADOWFAX TECHNOLOGIES PRIVATE LIMITED</v>
      </c>
      <c r="F87" t="str">
        <v>MH14LX4839</v>
      </c>
      <c r="G87" t="str">
        <v>BOLERO</v>
      </c>
      <c r="H87" t="str">
        <v>DIESEL</v>
      </c>
      <c r="I87">
        <v>4</v>
      </c>
      <c r="J87">
        <v>10</v>
      </c>
      <c r="K87">
        <v>29000</v>
      </c>
      <c r="L87">
        <v>1000</v>
      </c>
      <c r="M87">
        <v>55</v>
      </c>
      <c r="N87">
        <v>31</v>
      </c>
      <c r="O87" t="str">
        <v>PUN01 NC Cluster 97</v>
      </c>
      <c r="P87">
        <v>0</v>
      </c>
      <c r="Q87">
        <v>5.6250000000000001E-2</v>
      </c>
      <c r="R87">
        <v>0.15589120370370371</v>
      </c>
      <c r="S87">
        <v>37847</v>
      </c>
      <c r="T87">
        <v>0.32556712962962964</v>
      </c>
      <c r="U87">
        <v>0.32571759259259259</v>
      </c>
      <c r="V87">
        <v>37877</v>
      </c>
      <c r="W87">
        <v>46</v>
      </c>
      <c r="X87">
        <v>46</v>
      </c>
      <c r="Y87">
        <v>0</v>
      </c>
      <c r="Z87">
        <v>30</v>
      </c>
      <c r="AA87">
        <v>30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935.48</v>
      </c>
      <c r="AK87">
        <v>0</v>
      </c>
      <c r="AL87">
        <v>935.48</v>
      </c>
      <c r="AM87">
        <v>0</v>
      </c>
      <c r="AN87">
        <v>0</v>
      </c>
      <c r="AO87">
        <v>0</v>
      </c>
    </row>
    <row r="88" spans="1:41">
      <c r="A88">
        <v>87</v>
      </c>
      <c r="B88" s="42">
        <v>45934</v>
      </c>
      <c r="C88" t="str">
        <v>HINJEWADI</v>
      </c>
      <c r="D88" t="str">
        <v>SLK1</v>
      </c>
      <c r="E88" t="str">
        <v>SHADOWFAX TECHNOLOGIES PRIVATE LIMITED</v>
      </c>
      <c r="F88" t="str">
        <v>MH14MH1873</v>
      </c>
      <c r="G88" t="str">
        <v>BOLERO</v>
      </c>
      <c r="H88" t="str">
        <v>DIESEL</v>
      </c>
      <c r="I88">
        <v>4</v>
      </c>
      <c r="J88">
        <v>10</v>
      </c>
      <c r="K88">
        <v>29000</v>
      </c>
      <c r="L88">
        <v>1000</v>
      </c>
      <c r="M88">
        <v>55</v>
      </c>
      <c r="N88">
        <v>31</v>
      </c>
      <c r="O88" t="str">
        <v>PUN01 NC Cluster 1</v>
      </c>
      <c r="P88">
        <v>0</v>
      </c>
      <c r="Q88">
        <v>4.7222222222222221E-2</v>
      </c>
      <c r="R88">
        <v>0.18943287037037038</v>
      </c>
      <c r="S88">
        <v>17398</v>
      </c>
      <c r="T88">
        <v>0.30892361111111111</v>
      </c>
      <c r="U88">
        <v>0.30900462962962966</v>
      </c>
      <c r="V88">
        <v>17398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935.48</v>
      </c>
      <c r="AK88">
        <v>0</v>
      </c>
      <c r="AL88">
        <v>935.48</v>
      </c>
      <c r="AM88">
        <v>0</v>
      </c>
      <c r="AN88">
        <v>0</v>
      </c>
      <c r="AO88">
        <v>0</v>
      </c>
    </row>
    <row r="89" spans="1:41">
      <c r="A89">
        <v>88</v>
      </c>
      <c r="B89" s="42">
        <v>45934</v>
      </c>
      <c r="C89" t="str">
        <v>HINJEWADI</v>
      </c>
      <c r="D89" t="str">
        <v>SLK1</v>
      </c>
      <c r="E89" t="str">
        <v>SHADOWFAX TECHNOLOGIES PRIVATE LIMITED</v>
      </c>
      <c r="F89" t="str">
        <v>MH14MH7322</v>
      </c>
      <c r="G89" t="str">
        <v>BOLERO</v>
      </c>
      <c r="H89" t="str">
        <v>DIESEL</v>
      </c>
      <c r="I89">
        <v>4</v>
      </c>
      <c r="J89">
        <v>10</v>
      </c>
      <c r="K89">
        <v>29000</v>
      </c>
      <c r="L89">
        <v>1000</v>
      </c>
      <c r="M89">
        <v>55</v>
      </c>
      <c r="N89">
        <v>31</v>
      </c>
      <c r="O89" t="str">
        <v>PUN01 NC Cluster 112</v>
      </c>
      <c r="P89">
        <v>0</v>
      </c>
      <c r="Q89">
        <v>0.11319444444444444</v>
      </c>
      <c r="R89">
        <v>0.16740740740740742</v>
      </c>
      <c r="S89">
        <v>2628</v>
      </c>
      <c r="T89">
        <v>0.31291666666666668</v>
      </c>
      <c r="U89">
        <v>0.31299768518518517</v>
      </c>
      <c r="V89">
        <v>2663</v>
      </c>
      <c r="W89">
        <v>55</v>
      </c>
      <c r="X89">
        <v>55</v>
      </c>
      <c r="Y89">
        <v>0</v>
      </c>
      <c r="Z89">
        <v>35</v>
      </c>
      <c r="AA89">
        <v>35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935.48</v>
      </c>
      <c r="AK89">
        <v>0</v>
      </c>
      <c r="AL89">
        <v>935.48</v>
      </c>
      <c r="AM89">
        <v>0</v>
      </c>
      <c r="AN89">
        <v>0</v>
      </c>
      <c r="AO89">
        <v>0</v>
      </c>
    </row>
    <row r="90" spans="1:41">
      <c r="A90">
        <v>89</v>
      </c>
      <c r="B90" s="42">
        <v>45934</v>
      </c>
      <c r="C90" t="str">
        <v>HINJEWADI</v>
      </c>
      <c r="D90" t="str">
        <v>SLK1</v>
      </c>
      <c r="E90" t="str">
        <v>SHADOWFAX TECHNOLOGIES PRIVATE LIMITED</v>
      </c>
      <c r="F90" t="str">
        <v>MH16CD7321</v>
      </c>
      <c r="G90" t="str">
        <v>BOLERO</v>
      </c>
      <c r="H90" t="str">
        <v>DIESEL</v>
      </c>
      <c r="I90">
        <v>4</v>
      </c>
      <c r="J90">
        <v>10</v>
      </c>
      <c r="K90">
        <v>29000</v>
      </c>
      <c r="L90">
        <v>1000</v>
      </c>
      <c r="M90">
        <v>55</v>
      </c>
      <c r="N90">
        <v>31</v>
      </c>
      <c r="O90" t="str">
        <v>PUN01 NC Cluster 110</v>
      </c>
      <c r="P90">
        <v>0</v>
      </c>
      <c r="Q90">
        <v>6.458333333333334E-2</v>
      </c>
      <c r="R90">
        <v>0.18089120370370371</v>
      </c>
      <c r="S90">
        <v>138670</v>
      </c>
      <c r="T90">
        <v>0.30101851851851852</v>
      </c>
      <c r="U90">
        <v>0.30113425925925924</v>
      </c>
      <c r="V90">
        <v>138703</v>
      </c>
      <c r="W90">
        <v>45</v>
      </c>
      <c r="X90">
        <v>45</v>
      </c>
      <c r="Y90">
        <v>0</v>
      </c>
      <c r="Z90">
        <v>33</v>
      </c>
      <c r="AA90">
        <v>33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935.48</v>
      </c>
      <c r="AK90">
        <v>0</v>
      </c>
      <c r="AL90">
        <v>935.48</v>
      </c>
      <c r="AM90">
        <v>0</v>
      </c>
      <c r="AN90">
        <v>0</v>
      </c>
      <c r="AO90">
        <v>0</v>
      </c>
    </row>
    <row r="91" spans="1:41">
      <c r="A91">
        <v>90</v>
      </c>
      <c r="B91" s="42">
        <v>45935</v>
      </c>
      <c r="C91" t="str">
        <v>HINJEWADI</v>
      </c>
      <c r="D91" t="str">
        <v>SLK1</v>
      </c>
      <c r="E91" t="str">
        <v>SHADOWFAX TECHNOLOGIES PRIVATE LIMITED</v>
      </c>
      <c r="F91" t="str">
        <v>MH03AH8989</v>
      </c>
      <c r="G91" t="str">
        <v>ACE</v>
      </c>
      <c r="H91" t="str">
        <v>CNG</v>
      </c>
      <c r="I91">
        <v>4</v>
      </c>
      <c r="J91">
        <v>8</v>
      </c>
      <c r="K91">
        <v>25000</v>
      </c>
      <c r="L91">
        <v>1000</v>
      </c>
      <c r="M91">
        <v>55</v>
      </c>
      <c r="N91">
        <v>31</v>
      </c>
      <c r="O91" t="str">
        <v>PUN01 NC Cluster 1</v>
      </c>
      <c r="P91">
        <v>0</v>
      </c>
      <c r="Q91">
        <v>5.347222222222222E-2</v>
      </c>
      <c r="R91">
        <v>0.18109953703703704</v>
      </c>
      <c r="S91">
        <v>55601</v>
      </c>
      <c r="T91">
        <v>0.29944444444444446</v>
      </c>
      <c r="U91">
        <v>0.29957175925925927</v>
      </c>
      <c r="V91">
        <v>55607</v>
      </c>
      <c r="W91">
        <v>53</v>
      </c>
      <c r="X91">
        <v>53</v>
      </c>
      <c r="Y91">
        <v>0</v>
      </c>
      <c r="Z91">
        <v>6</v>
      </c>
      <c r="AA91">
        <v>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806.45</v>
      </c>
      <c r="AK91">
        <v>0</v>
      </c>
      <c r="AL91">
        <v>806.45</v>
      </c>
      <c r="AM91">
        <v>0</v>
      </c>
      <c r="AN91">
        <v>0</v>
      </c>
      <c r="AO91">
        <v>0</v>
      </c>
    </row>
    <row r="92" spans="1:41">
      <c r="A92">
        <v>91</v>
      </c>
      <c r="B92" s="42">
        <v>45935</v>
      </c>
      <c r="C92" t="str">
        <v>HINJEWADI</v>
      </c>
      <c r="D92" t="str">
        <v>SLK1</v>
      </c>
      <c r="E92" t="str">
        <v>SHADOWFAX TECHNOLOGIES PRIVATE LIMITED</v>
      </c>
      <c r="F92" t="str">
        <v>MH12RN4983</v>
      </c>
      <c r="G92" t="str">
        <v>ACE</v>
      </c>
      <c r="H92" t="str">
        <v>CNG</v>
      </c>
      <c r="I92">
        <v>4</v>
      </c>
      <c r="J92">
        <v>8</v>
      </c>
      <c r="K92">
        <v>25000</v>
      </c>
      <c r="L92">
        <v>1000</v>
      </c>
      <c r="M92">
        <v>55</v>
      </c>
      <c r="N92">
        <v>31</v>
      </c>
      <c r="O92" t="str">
        <v>PUN01 NC Cluster 2</v>
      </c>
      <c r="P92">
        <v>0</v>
      </c>
      <c r="Q92">
        <v>0.13958333333333334</v>
      </c>
      <c r="R92">
        <v>0.32650462962962962</v>
      </c>
      <c r="S92">
        <v>190984</v>
      </c>
      <c r="T92">
        <v>0.32662037037037034</v>
      </c>
      <c r="U92">
        <v>0.32671296296296298</v>
      </c>
      <c r="V92">
        <v>190984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806.45</v>
      </c>
      <c r="AK92">
        <v>0</v>
      </c>
      <c r="AL92">
        <v>806.45</v>
      </c>
      <c r="AM92">
        <v>0</v>
      </c>
      <c r="AN92">
        <v>0</v>
      </c>
      <c r="AO92">
        <v>0</v>
      </c>
    </row>
    <row r="93" spans="1:41">
      <c r="A93">
        <v>92</v>
      </c>
      <c r="B93" s="42">
        <v>45935</v>
      </c>
      <c r="C93" t="str">
        <v>HINJEWADI</v>
      </c>
      <c r="D93" t="str">
        <v>SLK1</v>
      </c>
      <c r="E93" t="str">
        <v>SHADOWFAX TECHNOLOGIES PRIVATE LIMITED</v>
      </c>
      <c r="F93" t="str">
        <v>MH12UM3063</v>
      </c>
      <c r="G93" t="str">
        <v>ACE</v>
      </c>
      <c r="H93" t="str">
        <v>CNG</v>
      </c>
      <c r="I93">
        <v>6</v>
      </c>
      <c r="J93">
        <v>8</v>
      </c>
      <c r="K93">
        <v>33000</v>
      </c>
      <c r="L93">
        <v>2000</v>
      </c>
      <c r="M93">
        <v>55</v>
      </c>
      <c r="N93">
        <v>31</v>
      </c>
      <c r="O93" t="str">
        <v>PUN01 NC Cluster 230</v>
      </c>
      <c r="P93">
        <v>0</v>
      </c>
      <c r="Q93">
        <v>7.0833333333333331E-2</v>
      </c>
      <c r="R93">
        <v>0.17898148148148149</v>
      </c>
      <c r="S93">
        <v>98619</v>
      </c>
      <c r="T93">
        <v>0.35533564814814816</v>
      </c>
      <c r="U93">
        <v>0.35546296296296293</v>
      </c>
      <c r="V93">
        <v>98677</v>
      </c>
      <c r="W93">
        <v>51</v>
      </c>
      <c r="X93">
        <v>51</v>
      </c>
      <c r="Y93">
        <v>0</v>
      </c>
      <c r="Z93">
        <v>58</v>
      </c>
      <c r="AA93">
        <v>58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1064.52</v>
      </c>
      <c r="AK93">
        <v>0</v>
      </c>
      <c r="AL93">
        <v>1064.52</v>
      </c>
      <c r="AM93">
        <v>0</v>
      </c>
      <c r="AN93">
        <v>0</v>
      </c>
      <c r="AO93">
        <v>0</v>
      </c>
    </row>
    <row r="94" spans="1:41">
      <c r="A94">
        <v>93</v>
      </c>
      <c r="B94" s="42">
        <v>45935</v>
      </c>
      <c r="C94" t="str">
        <v>HINJEWADI</v>
      </c>
      <c r="D94" t="str">
        <v>SLK1</v>
      </c>
      <c r="E94" t="str">
        <v>SHADOWFAX TECHNOLOGIES PRIVATE LIMITED</v>
      </c>
      <c r="F94" t="str">
        <v>MH12XM2801</v>
      </c>
      <c r="G94" t="str">
        <v>ACE</v>
      </c>
      <c r="H94" t="str">
        <v>CNG</v>
      </c>
      <c r="I94">
        <v>4</v>
      </c>
      <c r="J94">
        <v>8</v>
      </c>
      <c r="K94">
        <v>25000</v>
      </c>
      <c r="L94">
        <v>1000</v>
      </c>
      <c r="M94">
        <v>55</v>
      </c>
      <c r="N94">
        <v>31</v>
      </c>
      <c r="O94" t="str">
        <v>PUN01 NC Cluster 1</v>
      </c>
      <c r="P94">
        <v>0</v>
      </c>
      <c r="Q94">
        <v>0.14097222222222222</v>
      </c>
      <c r="R94">
        <v>0.32537037037037037</v>
      </c>
      <c r="S94">
        <v>11269</v>
      </c>
      <c r="T94">
        <v>0.32546296296296295</v>
      </c>
      <c r="U94">
        <v>0.32622685185185185</v>
      </c>
      <c r="V94">
        <v>11269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806.45</v>
      </c>
      <c r="AK94">
        <v>0</v>
      </c>
      <c r="AL94">
        <v>806.45</v>
      </c>
      <c r="AM94">
        <v>0</v>
      </c>
      <c r="AN94">
        <v>0</v>
      </c>
      <c r="AO94">
        <v>0</v>
      </c>
    </row>
    <row r="95" spans="1:41">
      <c r="A95">
        <v>94</v>
      </c>
      <c r="B95" s="42">
        <v>45935</v>
      </c>
      <c r="C95" t="str">
        <v>HINJEWADI</v>
      </c>
      <c r="D95" t="str">
        <v>SLK1</v>
      </c>
      <c r="E95" t="str">
        <v>SHADOWFAX TECHNOLOGIES PRIVATE LIMITED</v>
      </c>
      <c r="F95" t="str">
        <v>MH12YB3190</v>
      </c>
      <c r="G95" t="str">
        <v>ACE</v>
      </c>
      <c r="H95" t="str">
        <v>CNG</v>
      </c>
      <c r="I95">
        <v>4</v>
      </c>
      <c r="J95">
        <v>8</v>
      </c>
      <c r="K95">
        <v>25000</v>
      </c>
      <c r="L95">
        <v>1000</v>
      </c>
      <c r="M95">
        <v>55</v>
      </c>
      <c r="N95">
        <v>31</v>
      </c>
      <c r="O95" t="str">
        <v>PUN01 NC Cluster 99</v>
      </c>
      <c r="P95">
        <v>0</v>
      </c>
      <c r="Q95">
        <v>0.12708333333333333</v>
      </c>
      <c r="R95">
        <v>0.18836805555555555</v>
      </c>
      <c r="S95">
        <v>13932</v>
      </c>
      <c r="T95">
        <v>0.41319444444444442</v>
      </c>
      <c r="U95">
        <v>0.41350694444444441</v>
      </c>
      <c r="V95">
        <v>13965</v>
      </c>
      <c r="W95">
        <v>30</v>
      </c>
      <c r="X95">
        <v>0</v>
      </c>
      <c r="Y95">
        <v>30</v>
      </c>
      <c r="Z95">
        <v>33</v>
      </c>
      <c r="AA95">
        <v>33</v>
      </c>
      <c r="AB95">
        <v>0</v>
      </c>
      <c r="AC95">
        <v>0</v>
      </c>
      <c r="AD95">
        <v>2</v>
      </c>
      <c r="AE95">
        <v>300</v>
      </c>
      <c r="AF95">
        <v>0</v>
      </c>
      <c r="AG95">
        <v>0</v>
      </c>
      <c r="AH95">
        <v>0</v>
      </c>
      <c r="AI95">
        <v>0</v>
      </c>
      <c r="AJ95">
        <v>1106.45</v>
      </c>
      <c r="AK95">
        <v>0</v>
      </c>
      <c r="AL95">
        <v>1106.45</v>
      </c>
      <c r="AM95">
        <v>0</v>
      </c>
      <c r="AN95">
        <v>0</v>
      </c>
      <c r="AO95">
        <v>0</v>
      </c>
    </row>
    <row r="96" spans="1:41">
      <c r="A96">
        <v>95</v>
      </c>
      <c r="B96" s="42">
        <v>45935</v>
      </c>
      <c r="C96" t="str">
        <v>HINJEWADI</v>
      </c>
      <c r="D96" t="str">
        <v>SLK1</v>
      </c>
      <c r="E96" t="str">
        <v>SHADOWFAX TECHNOLOGIES PRIVATE LIMITED</v>
      </c>
      <c r="F96" t="str">
        <v>MH14CP4610</v>
      </c>
      <c r="G96" t="str">
        <v>ACE</v>
      </c>
      <c r="H96" t="str">
        <v>CNG</v>
      </c>
      <c r="I96">
        <v>4</v>
      </c>
      <c r="J96">
        <v>8</v>
      </c>
      <c r="K96">
        <v>25000</v>
      </c>
      <c r="L96">
        <v>1000</v>
      </c>
      <c r="M96">
        <v>55</v>
      </c>
      <c r="N96">
        <v>31</v>
      </c>
      <c r="O96" t="str">
        <v>PUN01 NC Cluster 87</v>
      </c>
      <c r="P96">
        <v>0</v>
      </c>
      <c r="Q96">
        <v>4.9305555555555554E-2</v>
      </c>
      <c r="R96">
        <v>0.17795138888888887</v>
      </c>
      <c r="S96">
        <v>145125</v>
      </c>
      <c r="T96">
        <v>0.30277777777777776</v>
      </c>
      <c r="U96">
        <v>0.3028703703703704</v>
      </c>
      <c r="V96">
        <v>145142</v>
      </c>
      <c r="W96">
        <v>31</v>
      </c>
      <c r="X96">
        <v>31</v>
      </c>
      <c r="Y96">
        <v>0</v>
      </c>
      <c r="Z96">
        <v>17</v>
      </c>
      <c r="AA96">
        <v>17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806.45</v>
      </c>
      <c r="AK96">
        <v>0</v>
      </c>
      <c r="AL96">
        <v>806.45</v>
      </c>
      <c r="AM96">
        <v>0</v>
      </c>
      <c r="AN96">
        <v>0</v>
      </c>
      <c r="AO96">
        <v>0</v>
      </c>
    </row>
    <row r="97" spans="1:41">
      <c r="A97">
        <v>96</v>
      </c>
      <c r="B97" s="42">
        <v>45935</v>
      </c>
      <c r="C97" t="str">
        <v>HINJEWADI</v>
      </c>
      <c r="D97" t="str">
        <v>SLK1</v>
      </c>
      <c r="E97" t="str">
        <v>SHADOWFAX TECHNOLOGIES PRIVATE LIMITED</v>
      </c>
      <c r="F97" t="str">
        <v>MH14KA0766</v>
      </c>
      <c r="G97" t="str">
        <v>ACE</v>
      </c>
      <c r="H97" t="str">
        <v>CNG</v>
      </c>
      <c r="I97">
        <v>4</v>
      </c>
      <c r="J97">
        <v>8</v>
      </c>
      <c r="K97">
        <v>25000</v>
      </c>
      <c r="L97">
        <v>1000</v>
      </c>
      <c r="M97">
        <v>55</v>
      </c>
      <c r="N97">
        <v>31</v>
      </c>
      <c r="O97" t="str">
        <v>PUN01 NC Cluster 10</v>
      </c>
      <c r="P97">
        <v>0</v>
      </c>
      <c r="Q97">
        <v>6.3888888888888884E-2</v>
      </c>
      <c r="R97">
        <v>0.17777777777777778</v>
      </c>
      <c r="S97">
        <v>142003</v>
      </c>
      <c r="T97">
        <v>0.31916666666666665</v>
      </c>
      <c r="U97">
        <v>0.31924768518518515</v>
      </c>
      <c r="V97">
        <v>142026</v>
      </c>
      <c r="W97">
        <v>38</v>
      </c>
      <c r="X97">
        <v>38</v>
      </c>
      <c r="Y97">
        <v>0</v>
      </c>
      <c r="Z97">
        <v>23</v>
      </c>
      <c r="AA97">
        <v>23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806.45</v>
      </c>
      <c r="AK97">
        <v>0</v>
      </c>
      <c r="AL97">
        <v>806.45</v>
      </c>
      <c r="AM97">
        <v>0</v>
      </c>
      <c r="AN97">
        <v>0</v>
      </c>
      <c r="AO97">
        <v>0</v>
      </c>
    </row>
    <row r="98" spans="1:41">
      <c r="A98">
        <v>97</v>
      </c>
      <c r="B98" s="42">
        <v>45935</v>
      </c>
      <c r="C98" t="str">
        <v>HINJEWADI</v>
      </c>
      <c r="D98" t="str">
        <v>SLK1</v>
      </c>
      <c r="E98" t="str">
        <v>SHADOWFAX TECHNOLOGIES PRIVATE LIMITED</v>
      </c>
      <c r="F98" t="str">
        <v>MH14KA1228</v>
      </c>
      <c r="G98" t="str">
        <v>ACE</v>
      </c>
      <c r="H98" t="str">
        <v>CNG</v>
      </c>
      <c r="I98">
        <v>4</v>
      </c>
      <c r="J98">
        <v>8</v>
      </c>
      <c r="K98">
        <v>25000</v>
      </c>
      <c r="L98">
        <v>1000</v>
      </c>
      <c r="M98">
        <v>55</v>
      </c>
      <c r="N98">
        <v>31</v>
      </c>
      <c r="O98" t="str">
        <v>PUN01 NC Cluster 91</v>
      </c>
      <c r="P98">
        <v>0</v>
      </c>
      <c r="Q98">
        <v>0.12083333333333333</v>
      </c>
      <c r="R98">
        <v>0.17762731481481484</v>
      </c>
      <c r="S98">
        <v>158342</v>
      </c>
      <c r="T98">
        <v>0.29641203703703706</v>
      </c>
      <c r="U98">
        <v>0.29736111111111113</v>
      </c>
      <c r="V98">
        <v>158365</v>
      </c>
      <c r="W98">
        <v>26</v>
      </c>
      <c r="X98">
        <v>26</v>
      </c>
      <c r="Y98">
        <v>0</v>
      </c>
      <c r="Z98">
        <v>23</v>
      </c>
      <c r="AA98">
        <v>23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806.45</v>
      </c>
      <c r="AK98">
        <v>0</v>
      </c>
      <c r="AL98">
        <v>806.45</v>
      </c>
      <c r="AM98">
        <v>0</v>
      </c>
      <c r="AN98">
        <v>0</v>
      </c>
      <c r="AO98">
        <v>0</v>
      </c>
    </row>
    <row r="99" spans="1:41">
      <c r="A99">
        <v>98</v>
      </c>
      <c r="B99" s="42">
        <v>45935</v>
      </c>
      <c r="C99" t="str">
        <v>HINJEWADI</v>
      </c>
      <c r="D99" t="str">
        <v>SLK1</v>
      </c>
      <c r="E99" t="str">
        <v>SHADOWFAX TECHNOLOGIES PRIVATE LIMITED</v>
      </c>
      <c r="F99" t="str">
        <v>MH14KA1873</v>
      </c>
      <c r="G99" t="str">
        <v>ACE</v>
      </c>
      <c r="H99" t="str">
        <v>CNG</v>
      </c>
      <c r="I99">
        <v>4</v>
      </c>
      <c r="J99">
        <v>8</v>
      </c>
      <c r="K99">
        <v>25000</v>
      </c>
      <c r="L99">
        <v>1000</v>
      </c>
      <c r="M99">
        <v>55</v>
      </c>
      <c r="N99">
        <v>31</v>
      </c>
      <c r="O99" t="str">
        <v>PUN01 NC Cluster 42</v>
      </c>
      <c r="P99">
        <v>0</v>
      </c>
      <c r="Q99">
        <v>5.486111111111111E-2</v>
      </c>
      <c r="R99">
        <v>0.18206018518518519</v>
      </c>
      <c r="S99">
        <v>112365</v>
      </c>
      <c r="T99">
        <v>0.31063657407407408</v>
      </c>
      <c r="U99">
        <v>0.3107638888888889</v>
      </c>
      <c r="V99">
        <v>112377</v>
      </c>
      <c r="W99">
        <v>30</v>
      </c>
      <c r="X99">
        <v>55</v>
      </c>
      <c r="Y99">
        <v>-25</v>
      </c>
      <c r="Z99">
        <v>12</v>
      </c>
      <c r="AA99">
        <v>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806.45</v>
      </c>
      <c r="AK99">
        <v>0</v>
      </c>
      <c r="AL99">
        <v>806.45</v>
      </c>
      <c r="AM99">
        <v>0</v>
      </c>
      <c r="AN99">
        <v>0</v>
      </c>
      <c r="AO99">
        <v>0</v>
      </c>
    </row>
    <row r="100" spans="1:41">
      <c r="A100">
        <v>99</v>
      </c>
      <c r="B100" s="42">
        <v>45935</v>
      </c>
      <c r="C100" t="str">
        <v>HINJEWADI</v>
      </c>
      <c r="D100" t="str">
        <v>SLK1</v>
      </c>
      <c r="E100" t="str">
        <v>SHADOWFAX TECHNOLOGIES PRIVATE LIMITED</v>
      </c>
      <c r="F100" t="str">
        <v>MH14KA2871</v>
      </c>
      <c r="G100" t="str">
        <v>ACE</v>
      </c>
      <c r="H100" t="str">
        <v>CNG</v>
      </c>
      <c r="I100">
        <v>4</v>
      </c>
      <c r="J100">
        <v>8</v>
      </c>
      <c r="K100">
        <v>25000</v>
      </c>
      <c r="L100">
        <v>1000</v>
      </c>
      <c r="M100">
        <v>55</v>
      </c>
      <c r="N100">
        <v>31</v>
      </c>
      <c r="O100" t="str">
        <v>PUN01 NC Cluster 60</v>
      </c>
      <c r="P100">
        <v>0</v>
      </c>
      <c r="Q100">
        <v>0.11805555555555557</v>
      </c>
      <c r="R100">
        <v>0.17878472222222222</v>
      </c>
      <c r="S100">
        <v>76986</v>
      </c>
      <c r="T100">
        <v>0.3333564814814815</v>
      </c>
      <c r="U100">
        <v>0.33371527777777782</v>
      </c>
      <c r="V100">
        <v>77004</v>
      </c>
      <c r="W100">
        <v>23</v>
      </c>
      <c r="X100">
        <v>23</v>
      </c>
      <c r="Y100">
        <v>0</v>
      </c>
      <c r="Z100">
        <v>18</v>
      </c>
      <c r="AA100">
        <v>18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806.45</v>
      </c>
      <c r="AK100">
        <v>0</v>
      </c>
      <c r="AL100">
        <v>806.45</v>
      </c>
      <c r="AM100">
        <v>0</v>
      </c>
      <c r="AN100">
        <v>0</v>
      </c>
      <c r="AO100">
        <v>0</v>
      </c>
    </row>
    <row r="101" spans="1:41">
      <c r="A101">
        <v>100</v>
      </c>
      <c r="B101" s="42">
        <v>45935</v>
      </c>
      <c r="C101" t="str">
        <v>HINJEWADI</v>
      </c>
      <c r="D101" t="str">
        <v>SLK1</v>
      </c>
      <c r="E101" t="str">
        <v>SHADOWFAX TECHNOLOGIES PRIVATE LIMITED</v>
      </c>
      <c r="F101" t="str">
        <v>MH14KA6513</v>
      </c>
      <c r="G101" t="str">
        <v>ACE</v>
      </c>
      <c r="H101" t="str">
        <v>CNG</v>
      </c>
      <c r="I101">
        <v>6</v>
      </c>
      <c r="J101">
        <v>8</v>
      </c>
      <c r="K101">
        <v>33000</v>
      </c>
      <c r="L101">
        <v>2000</v>
      </c>
      <c r="M101">
        <v>55</v>
      </c>
      <c r="N101">
        <v>31</v>
      </c>
      <c r="O101" t="str">
        <v>PUN01 NC Cluster 20</v>
      </c>
      <c r="P101">
        <v>0</v>
      </c>
      <c r="Q101">
        <v>0.12152777777777778</v>
      </c>
      <c r="R101">
        <v>0.18349537037037036</v>
      </c>
      <c r="S101">
        <v>47178</v>
      </c>
      <c r="T101">
        <v>0.29912037037037037</v>
      </c>
      <c r="U101">
        <v>0.29922453703703705</v>
      </c>
      <c r="V101">
        <v>47196</v>
      </c>
      <c r="W101">
        <v>43</v>
      </c>
      <c r="X101">
        <v>43</v>
      </c>
      <c r="Y101">
        <v>0</v>
      </c>
      <c r="Z101">
        <v>18</v>
      </c>
      <c r="AA101">
        <v>18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1064.52</v>
      </c>
      <c r="AK101">
        <v>0</v>
      </c>
      <c r="AL101">
        <v>1064.52</v>
      </c>
      <c r="AM101">
        <v>0</v>
      </c>
      <c r="AN101">
        <v>0</v>
      </c>
      <c r="AO101">
        <v>0</v>
      </c>
    </row>
    <row r="102" spans="1:41">
      <c r="A102">
        <v>101</v>
      </c>
      <c r="B102" s="42">
        <v>45935</v>
      </c>
      <c r="C102" t="str">
        <v>HINJEWADI</v>
      </c>
      <c r="D102" t="str">
        <v>SLK1</v>
      </c>
      <c r="E102" t="str">
        <v>SHADOWFAX TECHNOLOGIES PRIVATE LIMITED</v>
      </c>
      <c r="F102" t="str">
        <v>MH14KQ0279</v>
      </c>
      <c r="G102" t="str">
        <v>ACE</v>
      </c>
      <c r="H102" t="str">
        <v>CNG</v>
      </c>
      <c r="I102">
        <v>4</v>
      </c>
      <c r="J102">
        <v>8</v>
      </c>
      <c r="K102">
        <v>25000</v>
      </c>
      <c r="L102">
        <v>1000</v>
      </c>
      <c r="M102">
        <v>55</v>
      </c>
      <c r="N102">
        <v>31</v>
      </c>
      <c r="O102" t="str">
        <v>PUN01 NC Cluster 38</v>
      </c>
      <c r="P102">
        <v>0</v>
      </c>
      <c r="Q102">
        <v>0.14166666666666666</v>
      </c>
      <c r="R102">
        <v>0.1887615740740741</v>
      </c>
      <c r="S102">
        <v>117390</v>
      </c>
      <c r="T102">
        <v>0.33208333333333334</v>
      </c>
      <c r="U102">
        <v>0.33273148148148146</v>
      </c>
      <c r="V102">
        <v>117398</v>
      </c>
      <c r="W102">
        <v>0</v>
      </c>
      <c r="X102">
        <v>0</v>
      </c>
      <c r="Y102">
        <v>0</v>
      </c>
      <c r="Z102">
        <v>8</v>
      </c>
      <c r="AA102">
        <v>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806.45</v>
      </c>
      <c r="AK102">
        <v>0</v>
      </c>
      <c r="AL102">
        <v>806.45</v>
      </c>
      <c r="AM102">
        <v>0</v>
      </c>
      <c r="AN102">
        <v>0</v>
      </c>
      <c r="AO102">
        <v>0</v>
      </c>
    </row>
    <row r="103" spans="1:41">
      <c r="A103">
        <v>102</v>
      </c>
      <c r="B103" s="42">
        <v>45935</v>
      </c>
      <c r="C103" t="str">
        <v>HINJEWADI</v>
      </c>
      <c r="D103" t="str">
        <v>SLK1</v>
      </c>
      <c r="E103" t="str">
        <v>SHADOWFAX TECHNOLOGIES PRIVATE LIMITED</v>
      </c>
      <c r="F103" t="str">
        <v>MH14KQ4401</v>
      </c>
      <c r="G103" t="str">
        <v>ACE</v>
      </c>
      <c r="H103" t="str">
        <v>CNG</v>
      </c>
      <c r="I103">
        <v>4</v>
      </c>
      <c r="J103">
        <v>8</v>
      </c>
      <c r="K103">
        <v>25000</v>
      </c>
      <c r="L103">
        <v>1000</v>
      </c>
      <c r="M103">
        <v>55</v>
      </c>
      <c r="N103">
        <v>31</v>
      </c>
      <c r="O103" t="str">
        <v>PUN01 NC Cluster 121</v>
      </c>
      <c r="P103">
        <v>0</v>
      </c>
      <c r="Q103">
        <v>5.2777777777777778E-2</v>
      </c>
      <c r="R103">
        <v>0.17916666666666667</v>
      </c>
      <c r="S103">
        <v>74079</v>
      </c>
      <c r="T103">
        <v>0.32594907407407409</v>
      </c>
      <c r="U103">
        <v>0.32613425925925926</v>
      </c>
      <c r="V103">
        <v>74124</v>
      </c>
      <c r="W103">
        <v>28</v>
      </c>
      <c r="X103">
        <v>28</v>
      </c>
      <c r="Y103">
        <v>0</v>
      </c>
      <c r="Z103">
        <v>45</v>
      </c>
      <c r="AA103">
        <v>45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806.45</v>
      </c>
      <c r="AK103">
        <v>0</v>
      </c>
      <c r="AL103">
        <v>806.45</v>
      </c>
      <c r="AM103">
        <v>0</v>
      </c>
      <c r="AN103">
        <v>0</v>
      </c>
      <c r="AO103">
        <v>0</v>
      </c>
    </row>
    <row r="104" spans="1:41">
      <c r="A104">
        <v>103</v>
      </c>
      <c r="B104" s="42">
        <v>45935</v>
      </c>
      <c r="C104" t="str">
        <v>HINJEWADI</v>
      </c>
      <c r="D104" t="str">
        <v>SLK1</v>
      </c>
      <c r="E104" t="str">
        <v>SHADOWFAX TECHNOLOGIES PRIVATE LIMITED</v>
      </c>
      <c r="F104" t="str">
        <v>MH14LB6751</v>
      </c>
      <c r="G104" t="str">
        <v>ACE</v>
      </c>
      <c r="H104" t="str">
        <v>CNG</v>
      </c>
      <c r="I104">
        <v>4</v>
      </c>
      <c r="J104">
        <v>8</v>
      </c>
      <c r="K104">
        <v>25000</v>
      </c>
      <c r="L104">
        <v>1000</v>
      </c>
      <c r="M104">
        <v>55</v>
      </c>
      <c r="N104">
        <v>31</v>
      </c>
      <c r="O104" t="str">
        <v>PUN01 NC Cluster 40</v>
      </c>
      <c r="P104">
        <v>0</v>
      </c>
      <c r="Q104">
        <v>5.4166666666666669E-2</v>
      </c>
      <c r="R104">
        <v>0.18068287037037037</v>
      </c>
      <c r="S104">
        <v>82771</v>
      </c>
      <c r="T104">
        <v>0.31114583333333334</v>
      </c>
      <c r="U104">
        <v>0.31122685185185184</v>
      </c>
      <c r="V104">
        <v>82786</v>
      </c>
      <c r="W104">
        <v>39</v>
      </c>
      <c r="X104">
        <v>39</v>
      </c>
      <c r="Y104">
        <v>0</v>
      </c>
      <c r="Z104">
        <v>15</v>
      </c>
      <c r="AA104">
        <v>15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806.45</v>
      </c>
      <c r="AK104">
        <v>0</v>
      </c>
      <c r="AL104">
        <v>806.45</v>
      </c>
      <c r="AM104">
        <v>0</v>
      </c>
      <c r="AN104">
        <v>0</v>
      </c>
      <c r="AO104">
        <v>0</v>
      </c>
    </row>
    <row r="105" spans="1:41">
      <c r="A105">
        <v>104</v>
      </c>
      <c r="B105" s="42">
        <v>45935</v>
      </c>
      <c r="C105" t="str">
        <v>HINJEWADI</v>
      </c>
      <c r="D105" t="str">
        <v>SLK1</v>
      </c>
      <c r="E105" t="str">
        <v>SHADOWFAX TECHNOLOGIES PRIVATE LIMITED</v>
      </c>
      <c r="F105" t="str">
        <v>MH14LL5974</v>
      </c>
      <c r="G105" t="str">
        <v>ACE</v>
      </c>
      <c r="H105" t="str">
        <v>CNG</v>
      </c>
      <c r="I105">
        <v>4</v>
      </c>
      <c r="J105">
        <v>8</v>
      </c>
      <c r="K105">
        <v>25000</v>
      </c>
      <c r="L105">
        <v>1000</v>
      </c>
      <c r="M105">
        <v>55</v>
      </c>
      <c r="N105">
        <v>31</v>
      </c>
      <c r="O105" t="str">
        <v>PUN01 NC Cluster 124</v>
      </c>
      <c r="P105">
        <v>0</v>
      </c>
      <c r="Q105">
        <v>9.1666666666666674E-2</v>
      </c>
      <c r="R105">
        <v>0.18578703703703703</v>
      </c>
      <c r="S105">
        <v>36131</v>
      </c>
      <c r="T105">
        <v>0.29571759259259262</v>
      </c>
      <c r="U105">
        <v>0.29593750000000002</v>
      </c>
      <c r="V105">
        <v>36161</v>
      </c>
      <c r="W105">
        <v>46</v>
      </c>
      <c r="X105">
        <v>46</v>
      </c>
      <c r="Y105">
        <v>0</v>
      </c>
      <c r="Z105">
        <v>30</v>
      </c>
      <c r="AA105">
        <v>30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806.45</v>
      </c>
      <c r="AK105">
        <v>0</v>
      </c>
      <c r="AL105">
        <v>806.45</v>
      </c>
      <c r="AM105">
        <v>0</v>
      </c>
      <c r="AN105">
        <v>0</v>
      </c>
      <c r="AO105">
        <v>0</v>
      </c>
    </row>
    <row r="106" spans="1:41">
      <c r="A106">
        <v>105</v>
      </c>
      <c r="B106" s="42">
        <v>45935</v>
      </c>
      <c r="C106" t="str">
        <v>HINJEWADI</v>
      </c>
      <c r="D106" t="str">
        <v>SLK1</v>
      </c>
      <c r="E106" t="str">
        <v>SHADOWFAX TECHNOLOGIES PRIVATE LIMITED</v>
      </c>
      <c r="F106" t="str">
        <v>MH14LL6836</v>
      </c>
      <c r="G106" t="str">
        <v>ACE</v>
      </c>
      <c r="H106" t="str">
        <v>CNG</v>
      </c>
      <c r="I106">
        <v>6</v>
      </c>
      <c r="J106">
        <v>8</v>
      </c>
      <c r="K106">
        <v>33000</v>
      </c>
      <c r="L106">
        <v>2000</v>
      </c>
      <c r="M106">
        <v>55</v>
      </c>
      <c r="N106">
        <v>31</v>
      </c>
      <c r="O106" t="str">
        <v>PUN01 NC Cluster 303</v>
      </c>
      <c r="P106">
        <v>0</v>
      </c>
      <c r="Q106">
        <v>4.8611111111111112E-2</v>
      </c>
      <c r="R106">
        <v>0.17878472222222222</v>
      </c>
      <c r="S106">
        <v>32032</v>
      </c>
      <c r="T106">
        <v>0.30711805555555555</v>
      </c>
      <c r="U106">
        <v>0.3119675925925926</v>
      </c>
      <c r="V106">
        <v>32098</v>
      </c>
      <c r="W106">
        <v>27</v>
      </c>
      <c r="X106">
        <v>28</v>
      </c>
      <c r="Y106">
        <v>-1</v>
      </c>
      <c r="Z106">
        <v>66</v>
      </c>
      <c r="AA106">
        <v>66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1064.52</v>
      </c>
      <c r="AK106">
        <v>0</v>
      </c>
      <c r="AL106">
        <v>1064.52</v>
      </c>
      <c r="AM106">
        <v>0</v>
      </c>
      <c r="AN106">
        <v>0</v>
      </c>
      <c r="AO106">
        <v>0</v>
      </c>
    </row>
    <row r="107" spans="1:41">
      <c r="A107">
        <v>106</v>
      </c>
      <c r="B107" s="42">
        <v>45935</v>
      </c>
      <c r="C107" t="str">
        <v>HINJEWADI</v>
      </c>
      <c r="D107" t="str">
        <v>SLK1</v>
      </c>
      <c r="E107" t="str">
        <v>SHADOWFAX TECHNOLOGIES PRIVATE LIMITED</v>
      </c>
      <c r="F107" t="str">
        <v>MH14LX6360</v>
      </c>
      <c r="G107" t="str">
        <v>ACE</v>
      </c>
      <c r="H107" t="str">
        <v>CNG</v>
      </c>
      <c r="I107">
        <v>4</v>
      </c>
      <c r="J107">
        <v>8</v>
      </c>
      <c r="K107">
        <v>25000</v>
      </c>
      <c r="L107">
        <v>1000</v>
      </c>
      <c r="M107">
        <v>55</v>
      </c>
      <c r="N107">
        <v>31</v>
      </c>
      <c r="O107" t="str">
        <v>PUN01 NC Cluster 38</v>
      </c>
      <c r="P107">
        <v>0</v>
      </c>
      <c r="Q107">
        <v>5.347222222222222E-2</v>
      </c>
      <c r="R107">
        <v>0.18129629629629629</v>
      </c>
      <c r="S107">
        <v>37414</v>
      </c>
      <c r="T107">
        <v>0.30614583333333334</v>
      </c>
      <c r="U107">
        <v>0.30627314814814816</v>
      </c>
      <c r="V107">
        <v>37432</v>
      </c>
      <c r="W107">
        <v>71</v>
      </c>
      <c r="X107">
        <v>61</v>
      </c>
      <c r="Y107">
        <v>10</v>
      </c>
      <c r="Z107">
        <v>18</v>
      </c>
      <c r="AA107">
        <v>18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806.45</v>
      </c>
      <c r="AK107">
        <v>0</v>
      </c>
      <c r="AL107">
        <v>806.45</v>
      </c>
      <c r="AM107">
        <v>0</v>
      </c>
      <c r="AN107">
        <v>0</v>
      </c>
      <c r="AO107">
        <v>0</v>
      </c>
    </row>
    <row r="108" spans="1:41">
      <c r="A108">
        <v>107</v>
      </c>
      <c r="B108" s="42">
        <v>45935</v>
      </c>
      <c r="C108" t="str">
        <v>HINJEWADI</v>
      </c>
      <c r="D108" t="str">
        <v>SLK1</v>
      </c>
      <c r="E108" t="str">
        <v>SHADOWFAX TECHNOLOGIES PRIVATE LIMITED</v>
      </c>
      <c r="F108" t="str">
        <v>MH14MH6374</v>
      </c>
      <c r="G108" t="str">
        <v>ACE</v>
      </c>
      <c r="H108" t="str">
        <v>CNG</v>
      </c>
      <c r="I108">
        <v>4</v>
      </c>
      <c r="J108">
        <v>8</v>
      </c>
      <c r="K108">
        <v>25000</v>
      </c>
      <c r="L108">
        <v>1000</v>
      </c>
      <c r="M108">
        <v>55</v>
      </c>
      <c r="N108">
        <v>31</v>
      </c>
      <c r="O108" t="str">
        <v>PUN01 NC Cluster 201</v>
      </c>
      <c r="P108">
        <v>0</v>
      </c>
      <c r="Q108">
        <v>7.0833333333333331E-2</v>
      </c>
      <c r="R108">
        <v>0.18001157407407409</v>
      </c>
      <c r="S108">
        <v>6584</v>
      </c>
      <c r="T108">
        <v>0.31093750000000003</v>
      </c>
      <c r="U108">
        <v>0.31101851851851853</v>
      </c>
      <c r="V108">
        <v>6610</v>
      </c>
      <c r="W108">
        <v>36</v>
      </c>
      <c r="X108">
        <v>36</v>
      </c>
      <c r="Y108">
        <v>0</v>
      </c>
      <c r="Z108">
        <v>26</v>
      </c>
      <c r="AA108">
        <v>26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806.45</v>
      </c>
      <c r="AK108">
        <v>0</v>
      </c>
      <c r="AL108">
        <v>806.45</v>
      </c>
      <c r="AM108">
        <v>0</v>
      </c>
      <c r="AN108">
        <v>0</v>
      </c>
      <c r="AO108">
        <v>0</v>
      </c>
    </row>
    <row r="109" spans="1:41">
      <c r="A109">
        <v>108</v>
      </c>
      <c r="B109" s="42">
        <v>45935</v>
      </c>
      <c r="C109" t="str">
        <v>HINJEWADI</v>
      </c>
      <c r="D109" t="str">
        <v>SLK1</v>
      </c>
      <c r="E109" t="str">
        <v>SHADOWFAX TECHNOLOGIES PRIVATE LIMITED</v>
      </c>
      <c r="F109" t="str">
        <v>MH14MH8276</v>
      </c>
      <c r="G109" t="str">
        <v>ACE</v>
      </c>
      <c r="H109" t="str">
        <v>CNG</v>
      </c>
      <c r="I109">
        <v>4</v>
      </c>
      <c r="J109">
        <v>8</v>
      </c>
      <c r="K109">
        <v>25000</v>
      </c>
      <c r="L109">
        <v>1000</v>
      </c>
      <c r="M109">
        <v>55</v>
      </c>
      <c r="N109">
        <v>31</v>
      </c>
      <c r="O109" t="str">
        <v>PUN01 NC Cluster 67</v>
      </c>
      <c r="P109">
        <v>0</v>
      </c>
      <c r="Q109">
        <v>5.4166666666666669E-2</v>
      </c>
      <c r="R109">
        <v>0.18224537037037036</v>
      </c>
      <c r="S109">
        <v>3665</v>
      </c>
      <c r="T109">
        <v>0.30646990740740737</v>
      </c>
      <c r="U109">
        <v>0.31185185185185188</v>
      </c>
      <c r="V109">
        <v>3688</v>
      </c>
      <c r="W109">
        <v>37</v>
      </c>
      <c r="X109">
        <v>32</v>
      </c>
      <c r="Y109">
        <v>5</v>
      </c>
      <c r="Z109">
        <v>23</v>
      </c>
      <c r="AA109">
        <v>23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806.45</v>
      </c>
      <c r="AK109">
        <v>0</v>
      </c>
      <c r="AL109">
        <v>806.45</v>
      </c>
      <c r="AM109">
        <v>0</v>
      </c>
      <c r="AN109">
        <v>0</v>
      </c>
      <c r="AO109">
        <v>0</v>
      </c>
    </row>
    <row r="110" spans="1:41">
      <c r="A110">
        <v>109</v>
      </c>
      <c r="B110" s="42">
        <v>45935</v>
      </c>
      <c r="C110" t="str">
        <v>HINJEWADI</v>
      </c>
      <c r="D110" t="str">
        <v>SLK1</v>
      </c>
      <c r="E110" t="str">
        <v>SHADOWFAX TECHNOLOGIES PRIVATE LIMITED</v>
      </c>
      <c r="F110" t="str">
        <v>MH14LX4839</v>
      </c>
      <c r="G110" t="str">
        <v>BOLERO</v>
      </c>
      <c r="H110" t="str">
        <v>DIESEL</v>
      </c>
      <c r="I110">
        <v>4</v>
      </c>
      <c r="J110">
        <v>10</v>
      </c>
      <c r="K110">
        <v>29000</v>
      </c>
      <c r="L110">
        <v>1000</v>
      </c>
      <c r="M110">
        <v>55</v>
      </c>
      <c r="N110">
        <v>31</v>
      </c>
      <c r="O110" t="str">
        <v>PUN01 NC Cluster 73</v>
      </c>
      <c r="P110">
        <v>0</v>
      </c>
      <c r="Q110">
        <v>6.5277777777777782E-2</v>
      </c>
      <c r="R110">
        <v>0.18005787037037035</v>
      </c>
      <c r="S110">
        <v>37948</v>
      </c>
      <c r="T110">
        <v>0.30334490740740744</v>
      </c>
      <c r="U110">
        <v>0.30344907407407407</v>
      </c>
      <c r="V110">
        <v>37967</v>
      </c>
      <c r="W110">
        <v>50</v>
      </c>
      <c r="X110">
        <v>50</v>
      </c>
      <c r="Y110">
        <v>0</v>
      </c>
      <c r="Z110">
        <v>19</v>
      </c>
      <c r="AA110">
        <v>19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935.48</v>
      </c>
      <c r="AK110">
        <v>0</v>
      </c>
      <c r="AL110">
        <v>935.48</v>
      </c>
      <c r="AM110">
        <v>0</v>
      </c>
      <c r="AN110">
        <v>0</v>
      </c>
      <c r="AO110">
        <v>0</v>
      </c>
    </row>
    <row r="111" spans="1:41">
      <c r="A111">
        <v>110</v>
      </c>
      <c r="B111" s="42">
        <v>45935</v>
      </c>
      <c r="C111" t="str">
        <v>HINJEWADI</v>
      </c>
      <c r="D111" t="str">
        <v>SLK1</v>
      </c>
      <c r="E111" t="str">
        <v>SHADOWFAX TECHNOLOGIES PRIVATE LIMITED</v>
      </c>
      <c r="F111" t="str">
        <v>MH14MH7322</v>
      </c>
      <c r="G111" t="str">
        <v>BOLERO</v>
      </c>
      <c r="H111" t="str">
        <v>DIESEL</v>
      </c>
      <c r="I111">
        <v>4</v>
      </c>
      <c r="J111">
        <v>10</v>
      </c>
      <c r="K111">
        <v>29000</v>
      </c>
      <c r="L111">
        <v>1000</v>
      </c>
      <c r="M111">
        <v>55</v>
      </c>
      <c r="N111">
        <v>31</v>
      </c>
      <c r="O111" t="str">
        <v>PUN01 NC Cluster 86</v>
      </c>
      <c r="P111">
        <v>0</v>
      </c>
      <c r="Q111">
        <v>0.11944444444444445</v>
      </c>
      <c r="R111">
        <v>0.17936342592592591</v>
      </c>
      <c r="S111">
        <v>2690</v>
      </c>
      <c r="T111">
        <v>0.31004629629629626</v>
      </c>
      <c r="U111">
        <v>0.31033564814814812</v>
      </c>
      <c r="V111">
        <v>2708</v>
      </c>
      <c r="W111">
        <v>68</v>
      </c>
      <c r="X111">
        <v>68</v>
      </c>
      <c r="Y111">
        <v>0</v>
      </c>
      <c r="Z111">
        <v>18</v>
      </c>
      <c r="AA111">
        <v>18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935.48</v>
      </c>
      <c r="AK111">
        <v>0</v>
      </c>
      <c r="AL111">
        <v>935.48</v>
      </c>
      <c r="AM111">
        <v>0</v>
      </c>
      <c r="AN111">
        <v>0</v>
      </c>
      <c r="AO111">
        <v>0</v>
      </c>
    </row>
    <row r="112" spans="1:41">
      <c r="A112">
        <v>111</v>
      </c>
      <c r="B112" s="42">
        <v>45936</v>
      </c>
      <c r="C112" t="str">
        <v>HINJEWADI</v>
      </c>
      <c r="D112" t="str">
        <v>SLK1</v>
      </c>
      <c r="E112" t="str">
        <v>SHADOWFAX TECHNOLOGIES PRIVATE LIMITED</v>
      </c>
      <c r="F112" t="str">
        <v>MH03AH8989</v>
      </c>
      <c r="G112" t="str">
        <v>ACE</v>
      </c>
      <c r="H112" t="str">
        <v>CNG</v>
      </c>
      <c r="I112">
        <v>4</v>
      </c>
      <c r="J112">
        <v>8</v>
      </c>
      <c r="K112">
        <v>25000</v>
      </c>
      <c r="L112">
        <v>1000</v>
      </c>
      <c r="M112">
        <v>55</v>
      </c>
      <c r="N112">
        <v>31</v>
      </c>
      <c r="O112" t="str">
        <v>PUN01 NC Cluster 1</v>
      </c>
      <c r="P112">
        <v>0</v>
      </c>
      <c r="Q112">
        <v>4.9305555555555554E-2</v>
      </c>
      <c r="R112">
        <v>0.17385416666666667</v>
      </c>
      <c r="S112">
        <v>55678</v>
      </c>
      <c r="T112">
        <v>0.33988425925925925</v>
      </c>
      <c r="U112">
        <v>0.33997685185185184</v>
      </c>
      <c r="V112">
        <v>55678</v>
      </c>
      <c r="W112">
        <v>0</v>
      </c>
      <c r="X112">
        <v>49</v>
      </c>
      <c r="Y112">
        <v>-49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150</v>
      </c>
      <c r="AF112">
        <v>0</v>
      </c>
      <c r="AG112">
        <v>0</v>
      </c>
      <c r="AH112">
        <v>0</v>
      </c>
      <c r="AI112">
        <v>0</v>
      </c>
      <c r="AJ112">
        <v>956.45</v>
      </c>
      <c r="AK112">
        <v>0</v>
      </c>
      <c r="AL112">
        <v>956.45</v>
      </c>
      <c r="AM112">
        <v>0</v>
      </c>
      <c r="AN112">
        <v>0</v>
      </c>
      <c r="AO112">
        <v>0</v>
      </c>
    </row>
    <row r="113" spans="1:41">
      <c r="A113">
        <v>112</v>
      </c>
      <c r="B113" s="42">
        <v>45936</v>
      </c>
      <c r="C113" t="str">
        <v>HINJEWADI</v>
      </c>
      <c r="D113" t="str">
        <v>SLK1</v>
      </c>
      <c r="E113" t="str">
        <v>SHADOWFAX TECHNOLOGIES PRIVATE LIMITED</v>
      </c>
      <c r="F113" t="str">
        <v>MH12SF9859</v>
      </c>
      <c r="G113" t="str">
        <v>ACE</v>
      </c>
      <c r="H113" t="str">
        <v>CNG</v>
      </c>
      <c r="I113">
        <v>4</v>
      </c>
      <c r="J113">
        <v>8</v>
      </c>
      <c r="K113">
        <v>25000</v>
      </c>
      <c r="L113">
        <v>1000</v>
      </c>
      <c r="M113">
        <v>55</v>
      </c>
      <c r="N113">
        <v>31</v>
      </c>
      <c r="O113" t="str">
        <v>PUN01 NC Cluster 5</v>
      </c>
      <c r="P113">
        <v>0</v>
      </c>
      <c r="Q113">
        <v>0.10486111111111111</v>
      </c>
      <c r="R113">
        <v>0.17984953703703702</v>
      </c>
      <c r="S113">
        <v>109651</v>
      </c>
      <c r="T113">
        <v>0.29733796296296294</v>
      </c>
      <c r="U113">
        <v>0.29744212962962963</v>
      </c>
      <c r="V113">
        <v>109662</v>
      </c>
      <c r="W113">
        <v>33</v>
      </c>
      <c r="X113">
        <v>33</v>
      </c>
      <c r="Y113">
        <v>0</v>
      </c>
      <c r="Z113">
        <v>11</v>
      </c>
      <c r="AA113">
        <v>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806.45</v>
      </c>
      <c r="AK113">
        <v>0</v>
      </c>
      <c r="AL113">
        <v>806.45</v>
      </c>
      <c r="AM113">
        <v>0</v>
      </c>
      <c r="AN113">
        <v>0</v>
      </c>
      <c r="AO113">
        <v>0</v>
      </c>
    </row>
    <row r="114" spans="1:41">
      <c r="A114">
        <v>113</v>
      </c>
      <c r="B114" s="42">
        <v>45936</v>
      </c>
      <c r="C114" t="str">
        <v>HINJEWADI</v>
      </c>
      <c r="D114" t="str">
        <v>SLK1</v>
      </c>
      <c r="E114" t="str">
        <v>SHADOWFAX TECHNOLOGIES PRIVATE LIMITED</v>
      </c>
      <c r="F114" t="str">
        <v>MH12UM3063</v>
      </c>
      <c r="G114" t="str">
        <v>ACE</v>
      </c>
      <c r="H114" t="str">
        <v>CNG</v>
      </c>
      <c r="I114">
        <v>6</v>
      </c>
      <c r="J114">
        <v>8</v>
      </c>
      <c r="K114">
        <v>33000</v>
      </c>
      <c r="L114">
        <v>2000</v>
      </c>
      <c r="M114">
        <v>55</v>
      </c>
      <c r="N114">
        <v>31</v>
      </c>
      <c r="O114" t="str">
        <v>PUN01 NC Cluster 230</v>
      </c>
      <c r="P114">
        <v>0</v>
      </c>
      <c r="Q114">
        <v>4.5833333333333337E-2</v>
      </c>
      <c r="R114">
        <v>0.18649305555555554</v>
      </c>
      <c r="S114">
        <v>98857</v>
      </c>
      <c r="T114">
        <v>0.35248842592592594</v>
      </c>
      <c r="U114">
        <v>0.3528587962962963</v>
      </c>
      <c r="V114">
        <v>98911</v>
      </c>
      <c r="W114">
        <v>61</v>
      </c>
      <c r="X114">
        <v>61</v>
      </c>
      <c r="Y114">
        <v>0</v>
      </c>
      <c r="Z114">
        <v>54</v>
      </c>
      <c r="AA114">
        <v>54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1064.52</v>
      </c>
      <c r="AK114">
        <v>0</v>
      </c>
      <c r="AL114">
        <v>1064.52</v>
      </c>
      <c r="AM114">
        <v>0</v>
      </c>
      <c r="AN114">
        <v>0</v>
      </c>
      <c r="AO114">
        <v>0</v>
      </c>
    </row>
    <row r="115" spans="1:41">
      <c r="A115">
        <v>114</v>
      </c>
      <c r="B115" s="42">
        <v>45936</v>
      </c>
      <c r="C115" t="str">
        <v>HINJEWADI</v>
      </c>
      <c r="D115" t="str">
        <v>SLK1</v>
      </c>
      <c r="E115" t="str">
        <v>SHADOWFAX TECHNOLOGIES PRIVATE LIMITED</v>
      </c>
      <c r="F115" t="str">
        <v>MH12YB3190</v>
      </c>
      <c r="G115" t="str">
        <v>ACE</v>
      </c>
      <c r="H115" t="str">
        <v>CNG</v>
      </c>
      <c r="I115">
        <v>4</v>
      </c>
      <c r="J115">
        <v>8</v>
      </c>
      <c r="K115">
        <v>25000</v>
      </c>
      <c r="L115">
        <v>1000</v>
      </c>
      <c r="M115">
        <v>55</v>
      </c>
      <c r="N115">
        <v>31</v>
      </c>
      <c r="O115" t="str">
        <v>PUN01 NC Cluster 16</v>
      </c>
      <c r="P115">
        <v>0</v>
      </c>
      <c r="Q115">
        <v>5.2083333333333336E-2</v>
      </c>
      <c r="R115">
        <v>0.16609953703703703</v>
      </c>
      <c r="S115">
        <v>14057</v>
      </c>
      <c r="T115">
        <v>0.3303240740740741</v>
      </c>
      <c r="U115">
        <v>0.3303935185185185</v>
      </c>
      <c r="V115">
        <v>14097</v>
      </c>
      <c r="W115">
        <v>29</v>
      </c>
      <c r="X115">
        <v>29</v>
      </c>
      <c r="Y115">
        <v>0</v>
      </c>
      <c r="Z115">
        <v>40</v>
      </c>
      <c r="AA115">
        <v>40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806.45</v>
      </c>
      <c r="AK115">
        <v>0</v>
      </c>
      <c r="AL115">
        <v>806.45</v>
      </c>
      <c r="AM115">
        <v>0</v>
      </c>
      <c r="AN115">
        <v>0</v>
      </c>
      <c r="AO115">
        <v>0</v>
      </c>
    </row>
    <row r="116" spans="1:41">
      <c r="A116">
        <v>115</v>
      </c>
      <c r="B116" s="42">
        <v>45936</v>
      </c>
      <c r="C116" t="str">
        <v>HINJEWADI</v>
      </c>
      <c r="D116" t="str">
        <v>SLK1</v>
      </c>
      <c r="E116" t="str">
        <v>SHADOWFAX TECHNOLOGIES PRIVATE LIMITED</v>
      </c>
      <c r="F116" t="str">
        <v>MH14CP4610</v>
      </c>
      <c r="G116" t="str">
        <v>ACE</v>
      </c>
      <c r="H116" t="str">
        <v>CNG</v>
      </c>
      <c r="I116">
        <v>4</v>
      </c>
      <c r="J116">
        <v>8</v>
      </c>
      <c r="K116">
        <v>25000</v>
      </c>
      <c r="L116">
        <v>1000</v>
      </c>
      <c r="M116">
        <v>55</v>
      </c>
      <c r="N116">
        <v>31</v>
      </c>
      <c r="O116" t="str">
        <v>PUN01 NC Cluster 87</v>
      </c>
      <c r="P116">
        <v>0</v>
      </c>
      <c r="Q116">
        <v>0.10347222222222223</v>
      </c>
      <c r="R116">
        <v>0.1849652777777778</v>
      </c>
      <c r="S116">
        <v>145147</v>
      </c>
      <c r="T116">
        <v>0.31670138888888888</v>
      </c>
      <c r="U116">
        <v>0.3168287037037037</v>
      </c>
      <c r="V116">
        <v>145164</v>
      </c>
      <c r="W116">
        <v>33</v>
      </c>
      <c r="X116">
        <v>33</v>
      </c>
      <c r="Y116">
        <v>0</v>
      </c>
      <c r="Z116">
        <v>17</v>
      </c>
      <c r="AA116">
        <v>17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806.45</v>
      </c>
      <c r="AK116">
        <v>0</v>
      </c>
      <c r="AL116">
        <v>806.45</v>
      </c>
      <c r="AM116">
        <v>0</v>
      </c>
      <c r="AN116">
        <v>0</v>
      </c>
      <c r="AO116">
        <v>0</v>
      </c>
    </row>
    <row r="117" spans="1:41">
      <c r="A117">
        <v>116</v>
      </c>
      <c r="B117" s="42">
        <v>45936</v>
      </c>
      <c r="C117" t="str">
        <v>HINJEWADI</v>
      </c>
      <c r="D117" t="str">
        <v>SLK1</v>
      </c>
      <c r="E117" t="str">
        <v>SHADOWFAX TECHNOLOGIES PRIVATE LIMITED</v>
      </c>
      <c r="F117" t="str">
        <v>MH14KA0766</v>
      </c>
      <c r="G117" t="str">
        <v>ACE</v>
      </c>
      <c r="H117" t="str">
        <v>CNG</v>
      </c>
      <c r="I117">
        <v>4</v>
      </c>
      <c r="J117">
        <v>8</v>
      </c>
      <c r="K117">
        <v>25000</v>
      </c>
      <c r="L117">
        <v>1000</v>
      </c>
      <c r="M117">
        <v>55</v>
      </c>
      <c r="N117">
        <v>31</v>
      </c>
      <c r="O117" t="str">
        <v>PUN01 NC Cluster 10</v>
      </c>
      <c r="P117">
        <v>0</v>
      </c>
      <c r="Q117">
        <v>4.6527777777777779E-2</v>
      </c>
      <c r="R117">
        <v>0.18177083333333333</v>
      </c>
      <c r="S117">
        <v>142125</v>
      </c>
      <c r="T117">
        <v>0.33805555555555555</v>
      </c>
      <c r="U117">
        <v>0.33813657407407405</v>
      </c>
      <c r="V117">
        <v>142166</v>
      </c>
      <c r="W117">
        <v>48</v>
      </c>
      <c r="X117">
        <v>48</v>
      </c>
      <c r="Y117">
        <v>0</v>
      </c>
      <c r="Z117">
        <v>41</v>
      </c>
      <c r="AA117">
        <v>41</v>
      </c>
      <c r="AB117">
        <v>0</v>
      </c>
      <c r="AC117">
        <v>0</v>
      </c>
      <c r="AD117">
        <v>1</v>
      </c>
      <c r="AE117">
        <v>150</v>
      </c>
      <c r="AF117">
        <v>0</v>
      </c>
      <c r="AG117">
        <v>0</v>
      </c>
      <c r="AH117">
        <v>0</v>
      </c>
      <c r="AI117">
        <v>0</v>
      </c>
      <c r="AJ117">
        <v>956.45</v>
      </c>
      <c r="AK117">
        <v>0</v>
      </c>
      <c r="AL117">
        <v>956.45</v>
      </c>
      <c r="AM117">
        <v>0</v>
      </c>
      <c r="AN117">
        <v>0</v>
      </c>
      <c r="AO117">
        <v>0</v>
      </c>
    </row>
    <row r="118" spans="1:41">
      <c r="A118">
        <v>117</v>
      </c>
      <c r="B118" s="42">
        <v>45936</v>
      </c>
      <c r="C118" t="str">
        <v>HINJEWADI</v>
      </c>
      <c r="D118" t="str">
        <v>SLK1</v>
      </c>
      <c r="E118" t="str">
        <v>SHADOWFAX TECHNOLOGIES PRIVATE LIMITED</v>
      </c>
      <c r="F118" t="str">
        <v>MH14KA1228</v>
      </c>
      <c r="G118" t="str">
        <v>ACE</v>
      </c>
      <c r="H118" t="str">
        <v>CNG</v>
      </c>
      <c r="I118">
        <v>4</v>
      </c>
      <c r="J118">
        <v>8</v>
      </c>
      <c r="K118">
        <v>25000</v>
      </c>
      <c r="L118">
        <v>1000</v>
      </c>
      <c r="M118">
        <v>55</v>
      </c>
      <c r="N118">
        <v>31</v>
      </c>
      <c r="O118" t="str">
        <v>PUN01 NC Cluster 92</v>
      </c>
      <c r="P118">
        <v>0</v>
      </c>
      <c r="Q118">
        <v>0.12638888888888888</v>
      </c>
      <c r="R118">
        <v>0.19190972222222222</v>
      </c>
      <c r="S118">
        <v>158399</v>
      </c>
      <c r="T118">
        <v>0.32590277777777776</v>
      </c>
      <c r="U118">
        <v>0.32621527777777776</v>
      </c>
      <c r="V118">
        <v>158421</v>
      </c>
      <c r="W118">
        <v>0</v>
      </c>
      <c r="X118">
        <v>0</v>
      </c>
      <c r="Y118">
        <v>0</v>
      </c>
      <c r="Z118">
        <v>22</v>
      </c>
      <c r="AA118">
        <v>22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806.45</v>
      </c>
      <c r="AK118">
        <v>0</v>
      </c>
      <c r="AL118">
        <v>806.45</v>
      </c>
      <c r="AM118">
        <v>0</v>
      </c>
      <c r="AN118">
        <v>0</v>
      </c>
      <c r="AO118">
        <v>0</v>
      </c>
    </row>
    <row r="119" spans="1:41">
      <c r="A119">
        <v>118</v>
      </c>
      <c r="B119" s="42">
        <v>45936</v>
      </c>
      <c r="C119" t="str">
        <v>HINJEWADI</v>
      </c>
      <c r="D119" t="str">
        <v>SLK1</v>
      </c>
      <c r="E119" t="str">
        <v>SHADOWFAX TECHNOLOGIES PRIVATE LIMITED</v>
      </c>
      <c r="F119" t="str">
        <v>MH14KA1873</v>
      </c>
      <c r="G119" t="str">
        <v>ACE</v>
      </c>
      <c r="H119" t="str">
        <v>CNG</v>
      </c>
      <c r="I119">
        <v>4</v>
      </c>
      <c r="J119">
        <v>8</v>
      </c>
      <c r="K119">
        <v>25000</v>
      </c>
      <c r="L119">
        <v>1000</v>
      </c>
      <c r="M119">
        <v>55</v>
      </c>
      <c r="N119">
        <v>31</v>
      </c>
      <c r="O119" t="str">
        <v>PUN01 NC Cluster 41</v>
      </c>
      <c r="P119">
        <v>0</v>
      </c>
      <c r="Q119">
        <v>4.9999999999999996E-2</v>
      </c>
      <c r="R119">
        <v>0.16537037037037036</v>
      </c>
      <c r="S119">
        <v>112450</v>
      </c>
      <c r="T119">
        <v>0.33966435185185184</v>
      </c>
      <c r="U119">
        <v>0.34012731481481479</v>
      </c>
      <c r="V119">
        <v>112467</v>
      </c>
      <c r="W119">
        <v>48</v>
      </c>
      <c r="X119">
        <v>48</v>
      </c>
      <c r="Y119">
        <v>0</v>
      </c>
      <c r="Z119">
        <v>17</v>
      </c>
      <c r="AA119">
        <v>17</v>
      </c>
      <c r="AB119">
        <v>0</v>
      </c>
      <c r="AC119">
        <v>0</v>
      </c>
      <c r="AD119">
        <v>1</v>
      </c>
      <c r="AE119">
        <v>150</v>
      </c>
      <c r="AF119">
        <v>0</v>
      </c>
      <c r="AG119">
        <v>0</v>
      </c>
      <c r="AH119">
        <v>0</v>
      </c>
      <c r="AI119">
        <v>0</v>
      </c>
      <c r="AJ119">
        <v>956.45</v>
      </c>
      <c r="AK119">
        <v>0</v>
      </c>
      <c r="AL119">
        <v>956.45</v>
      </c>
      <c r="AM119">
        <v>0</v>
      </c>
      <c r="AN119">
        <v>0</v>
      </c>
      <c r="AO119">
        <v>0</v>
      </c>
    </row>
    <row r="120" spans="1:41">
      <c r="A120">
        <v>119</v>
      </c>
      <c r="B120" s="42">
        <v>45936</v>
      </c>
      <c r="C120" t="str">
        <v>HINJEWADI</v>
      </c>
      <c r="D120" t="str">
        <v>SLK1</v>
      </c>
      <c r="E120" t="str">
        <v>SHADOWFAX TECHNOLOGIES PRIVATE LIMITED</v>
      </c>
      <c r="F120" t="str">
        <v>MH14KA2871</v>
      </c>
      <c r="G120" t="str">
        <v>ACE</v>
      </c>
      <c r="H120" t="str">
        <v>CNG</v>
      </c>
      <c r="I120">
        <v>4</v>
      </c>
      <c r="J120">
        <v>8</v>
      </c>
      <c r="K120">
        <v>25000</v>
      </c>
      <c r="L120">
        <v>1000</v>
      </c>
      <c r="M120">
        <v>55</v>
      </c>
      <c r="N120">
        <v>31</v>
      </c>
      <c r="O120" t="str">
        <v>PUN01 NC Cluster 190</v>
      </c>
      <c r="P120">
        <v>0</v>
      </c>
      <c r="Q120">
        <v>0.15972222222222224</v>
      </c>
      <c r="R120">
        <v>0.19268518518518518</v>
      </c>
      <c r="S120">
        <v>77142</v>
      </c>
      <c r="T120">
        <v>0.35096064814814815</v>
      </c>
      <c r="U120">
        <v>0.35114583333333332</v>
      </c>
      <c r="V120">
        <v>77169</v>
      </c>
      <c r="W120">
        <v>0</v>
      </c>
      <c r="X120">
        <v>0</v>
      </c>
      <c r="Y120">
        <v>0</v>
      </c>
      <c r="Z120">
        <v>27</v>
      </c>
      <c r="AA120">
        <v>27</v>
      </c>
      <c r="AB120">
        <v>0</v>
      </c>
      <c r="AC120">
        <v>0</v>
      </c>
      <c r="AD120">
        <v>1</v>
      </c>
      <c r="AE120">
        <v>150</v>
      </c>
      <c r="AF120">
        <v>0</v>
      </c>
      <c r="AG120">
        <v>0</v>
      </c>
      <c r="AH120">
        <v>0</v>
      </c>
      <c r="AI120">
        <v>0</v>
      </c>
      <c r="AJ120">
        <v>956.45</v>
      </c>
      <c r="AK120">
        <v>0</v>
      </c>
      <c r="AL120">
        <v>956.45</v>
      </c>
      <c r="AM120">
        <v>0</v>
      </c>
      <c r="AN120">
        <v>0</v>
      </c>
      <c r="AO120">
        <v>0</v>
      </c>
    </row>
    <row r="121" spans="1:41">
      <c r="A121">
        <v>120</v>
      </c>
      <c r="B121" s="42">
        <v>45936</v>
      </c>
      <c r="C121" t="str">
        <v>HINJEWADI</v>
      </c>
      <c r="D121" t="str">
        <v>SLK1</v>
      </c>
      <c r="E121" t="str">
        <v>SHADOWFAX TECHNOLOGIES PRIVATE LIMITED</v>
      </c>
      <c r="F121" t="str">
        <v>MH14KA6513</v>
      </c>
      <c r="G121" t="str">
        <v>ACE</v>
      </c>
      <c r="H121" t="str">
        <v>CNG</v>
      </c>
      <c r="I121">
        <v>6</v>
      </c>
      <c r="J121">
        <v>8</v>
      </c>
      <c r="K121">
        <v>33000</v>
      </c>
      <c r="L121">
        <v>2000</v>
      </c>
      <c r="M121">
        <v>55</v>
      </c>
      <c r="N121">
        <v>31</v>
      </c>
      <c r="O121" t="str">
        <v>PUN01 NC Cluster 299</v>
      </c>
      <c r="P121">
        <v>0</v>
      </c>
      <c r="Q121">
        <v>9.4444444444444442E-2</v>
      </c>
      <c r="R121">
        <v>0.18627314814814813</v>
      </c>
      <c r="S121">
        <v>47242</v>
      </c>
      <c r="T121">
        <v>0.34043981481481483</v>
      </c>
      <c r="U121">
        <v>0.34054398148148146</v>
      </c>
      <c r="V121">
        <v>47336</v>
      </c>
      <c r="W121">
        <v>21</v>
      </c>
      <c r="X121">
        <v>21</v>
      </c>
      <c r="Y121">
        <v>0</v>
      </c>
      <c r="Z121">
        <v>94</v>
      </c>
      <c r="AA121">
        <v>94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1064.52</v>
      </c>
      <c r="AK121">
        <v>0</v>
      </c>
      <c r="AL121">
        <v>1064.52</v>
      </c>
      <c r="AM121">
        <v>0</v>
      </c>
      <c r="AN121">
        <v>0</v>
      </c>
      <c r="AO121">
        <v>0</v>
      </c>
    </row>
    <row r="122" spans="1:41">
      <c r="A122">
        <v>121</v>
      </c>
      <c r="B122" s="42">
        <v>45936</v>
      </c>
      <c r="C122" t="str">
        <v>HINJEWADI</v>
      </c>
      <c r="D122" t="str">
        <v>SLK1</v>
      </c>
      <c r="E122" t="str">
        <v>SHADOWFAX TECHNOLOGIES PRIVATE LIMITED</v>
      </c>
      <c r="F122" t="str">
        <v>MH14KA6730</v>
      </c>
      <c r="G122" t="str">
        <v>ACE</v>
      </c>
      <c r="H122" t="str">
        <v>CNG</v>
      </c>
      <c r="I122">
        <v>4</v>
      </c>
      <c r="J122">
        <v>8</v>
      </c>
      <c r="K122">
        <v>25000</v>
      </c>
      <c r="L122">
        <v>1000</v>
      </c>
      <c r="M122">
        <v>55</v>
      </c>
      <c r="N122">
        <v>31</v>
      </c>
      <c r="O122" t="str">
        <v>PUN01 NC Cluster 61</v>
      </c>
      <c r="P122">
        <v>0</v>
      </c>
      <c r="Q122">
        <v>5.2083333333333336E-2</v>
      </c>
      <c r="R122">
        <v>0.18554398148148146</v>
      </c>
      <c r="S122">
        <v>86571</v>
      </c>
      <c r="T122">
        <v>0.33731481481481485</v>
      </c>
      <c r="U122">
        <v>0.33748842592592593</v>
      </c>
      <c r="V122">
        <v>86598</v>
      </c>
      <c r="W122">
        <v>35</v>
      </c>
      <c r="X122">
        <v>35</v>
      </c>
      <c r="Y122">
        <v>0</v>
      </c>
      <c r="Z122">
        <v>27</v>
      </c>
      <c r="AA122">
        <v>27</v>
      </c>
      <c r="AB122">
        <v>0</v>
      </c>
      <c r="AC122">
        <v>0</v>
      </c>
      <c r="AD122">
        <v>1</v>
      </c>
      <c r="AE122">
        <v>150</v>
      </c>
      <c r="AF122">
        <v>0</v>
      </c>
      <c r="AG122">
        <v>0</v>
      </c>
      <c r="AH122">
        <v>0</v>
      </c>
      <c r="AI122">
        <v>0</v>
      </c>
      <c r="AJ122">
        <v>956.45</v>
      </c>
      <c r="AK122">
        <v>0</v>
      </c>
      <c r="AL122">
        <v>956.45</v>
      </c>
      <c r="AM122">
        <v>0</v>
      </c>
      <c r="AN122">
        <v>0</v>
      </c>
      <c r="AO122">
        <v>0</v>
      </c>
    </row>
    <row r="123" spans="1:41">
      <c r="A123">
        <v>122</v>
      </c>
      <c r="B123" s="42">
        <v>45936</v>
      </c>
      <c r="C123" t="str">
        <v>HINJEWADI</v>
      </c>
      <c r="D123" t="str">
        <v>SLK1</v>
      </c>
      <c r="E123" t="str">
        <v>SHADOWFAX TECHNOLOGIES PRIVATE LIMITED</v>
      </c>
      <c r="F123" t="str">
        <v>MH14KQ4401</v>
      </c>
      <c r="G123" t="str">
        <v>ACE</v>
      </c>
      <c r="H123" t="str">
        <v>CNG</v>
      </c>
      <c r="I123">
        <v>4</v>
      </c>
      <c r="J123">
        <v>8</v>
      </c>
      <c r="K123">
        <v>25000</v>
      </c>
      <c r="L123">
        <v>1000</v>
      </c>
      <c r="M123">
        <v>55</v>
      </c>
      <c r="N123">
        <v>31</v>
      </c>
      <c r="O123" t="str">
        <v>PUN01 NC Cluster 121</v>
      </c>
      <c r="P123">
        <v>0</v>
      </c>
      <c r="Q123">
        <v>0.11041666666666666</v>
      </c>
      <c r="R123">
        <v>0.19078703703703703</v>
      </c>
      <c r="S123">
        <v>74157</v>
      </c>
      <c r="T123">
        <v>0.35398148148148145</v>
      </c>
      <c r="U123">
        <v>0.3540625</v>
      </c>
      <c r="V123">
        <v>74203</v>
      </c>
      <c r="W123">
        <v>24</v>
      </c>
      <c r="X123">
        <v>24</v>
      </c>
      <c r="Y123">
        <v>0</v>
      </c>
      <c r="Z123">
        <v>46</v>
      </c>
      <c r="AA123">
        <v>46</v>
      </c>
      <c r="AB123">
        <v>0</v>
      </c>
      <c r="AC123">
        <v>0</v>
      </c>
      <c r="AD123">
        <v>1</v>
      </c>
      <c r="AE123">
        <v>150</v>
      </c>
      <c r="AF123">
        <v>0</v>
      </c>
      <c r="AG123">
        <v>0</v>
      </c>
      <c r="AH123">
        <v>0</v>
      </c>
      <c r="AI123">
        <v>0</v>
      </c>
      <c r="AJ123">
        <v>956.45</v>
      </c>
      <c r="AK123">
        <v>0</v>
      </c>
      <c r="AL123">
        <v>956.45</v>
      </c>
      <c r="AM123">
        <v>0</v>
      </c>
      <c r="AN123">
        <v>0</v>
      </c>
      <c r="AO123">
        <v>0</v>
      </c>
    </row>
    <row r="124" spans="1:41">
      <c r="A124">
        <v>123</v>
      </c>
      <c r="B124" s="42">
        <v>45936</v>
      </c>
      <c r="C124" t="str">
        <v>HINJEWADI</v>
      </c>
      <c r="D124" t="str">
        <v>SLK1</v>
      </c>
      <c r="E124" t="str">
        <v>SHADOWFAX TECHNOLOGIES PRIVATE LIMITED</v>
      </c>
      <c r="F124" t="str">
        <v>MH14LB6751</v>
      </c>
      <c r="G124" t="str">
        <v>ACE</v>
      </c>
      <c r="H124" t="str">
        <v>CNG</v>
      </c>
      <c r="I124">
        <v>4</v>
      </c>
      <c r="J124">
        <v>8</v>
      </c>
      <c r="K124">
        <v>25000</v>
      </c>
      <c r="L124">
        <v>1000</v>
      </c>
      <c r="M124">
        <v>55</v>
      </c>
      <c r="N124">
        <v>31</v>
      </c>
      <c r="O124" t="str">
        <v>PUN01 NC Cluster 42</v>
      </c>
      <c r="P124">
        <v>0</v>
      </c>
      <c r="Q124">
        <v>4.9999999999999996E-2</v>
      </c>
      <c r="R124">
        <v>0.16512731481481482</v>
      </c>
      <c r="S124">
        <v>82865</v>
      </c>
      <c r="T124">
        <v>0.31203703703703706</v>
      </c>
      <c r="U124">
        <v>0.31212962962962965</v>
      </c>
      <c r="V124">
        <v>82880</v>
      </c>
      <c r="W124">
        <v>54</v>
      </c>
      <c r="X124">
        <v>44</v>
      </c>
      <c r="Y124">
        <v>10</v>
      </c>
      <c r="Z124">
        <v>15</v>
      </c>
      <c r="AA124">
        <v>15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806.45</v>
      </c>
      <c r="AK124">
        <v>0</v>
      </c>
      <c r="AL124">
        <v>806.45</v>
      </c>
      <c r="AM124">
        <v>0</v>
      </c>
      <c r="AN124">
        <v>0</v>
      </c>
      <c r="AO124">
        <v>0</v>
      </c>
    </row>
    <row r="125" spans="1:41">
      <c r="A125">
        <v>124</v>
      </c>
      <c r="B125" s="42">
        <v>45936</v>
      </c>
      <c r="C125" t="str">
        <v>HINJEWADI</v>
      </c>
      <c r="D125" t="str">
        <v>SLK1</v>
      </c>
      <c r="E125" t="str">
        <v>SHADOWFAX TECHNOLOGIES PRIVATE LIMITED</v>
      </c>
      <c r="F125" t="str">
        <v>MH14LL6836</v>
      </c>
      <c r="G125" t="str">
        <v>ACE</v>
      </c>
      <c r="H125" t="str">
        <v>CNG</v>
      </c>
      <c r="I125">
        <v>6</v>
      </c>
      <c r="J125">
        <v>8</v>
      </c>
      <c r="K125">
        <v>33000</v>
      </c>
      <c r="L125">
        <v>2000</v>
      </c>
      <c r="M125">
        <v>55</v>
      </c>
      <c r="N125">
        <v>31</v>
      </c>
      <c r="O125" t="str">
        <v>PUN01 NC Cluster 303</v>
      </c>
      <c r="P125">
        <v>0</v>
      </c>
      <c r="Q125">
        <v>5.1388888888888894E-2</v>
      </c>
      <c r="R125">
        <v>0.18666666666666668</v>
      </c>
      <c r="S125">
        <v>32148</v>
      </c>
      <c r="T125">
        <v>0.33901620370370367</v>
      </c>
      <c r="U125">
        <v>0.34136574074074072</v>
      </c>
      <c r="V125">
        <v>32218</v>
      </c>
      <c r="W125">
        <v>33</v>
      </c>
      <c r="X125">
        <v>33</v>
      </c>
      <c r="Y125">
        <v>0</v>
      </c>
      <c r="Z125">
        <v>70</v>
      </c>
      <c r="AA125">
        <v>70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1064.52</v>
      </c>
      <c r="AK125">
        <v>0</v>
      </c>
      <c r="AL125">
        <v>1064.52</v>
      </c>
      <c r="AM125">
        <v>0</v>
      </c>
      <c r="AN125">
        <v>0</v>
      </c>
      <c r="AO125">
        <v>0</v>
      </c>
    </row>
    <row r="126" spans="1:41">
      <c r="A126">
        <v>125</v>
      </c>
      <c r="B126" s="42">
        <v>45936</v>
      </c>
      <c r="C126" t="str">
        <v>HINJEWADI</v>
      </c>
      <c r="D126" t="str">
        <v>SLK1</v>
      </c>
      <c r="E126" t="str">
        <v>SHADOWFAX TECHNOLOGIES PRIVATE LIMITED</v>
      </c>
      <c r="F126" t="str">
        <v>MH14LX6360</v>
      </c>
      <c r="G126" t="str">
        <v>ACE</v>
      </c>
      <c r="H126" t="str">
        <v>CNG</v>
      </c>
      <c r="I126">
        <v>4</v>
      </c>
      <c r="J126">
        <v>8</v>
      </c>
      <c r="K126">
        <v>25000</v>
      </c>
      <c r="L126">
        <v>1000</v>
      </c>
      <c r="M126">
        <v>55</v>
      </c>
      <c r="N126">
        <v>31</v>
      </c>
      <c r="O126" t="str">
        <v>PUN01 NC Cluster 37</v>
      </c>
      <c r="P126">
        <v>0</v>
      </c>
      <c r="Q126">
        <v>5.0694444444444452E-2</v>
      </c>
      <c r="R126">
        <v>0.16556712962962963</v>
      </c>
      <c r="S126">
        <v>37464</v>
      </c>
      <c r="T126">
        <v>0.31430555555555556</v>
      </c>
      <c r="U126">
        <v>0.31440972222222224</v>
      </c>
      <c r="V126">
        <v>37481</v>
      </c>
      <c r="W126">
        <v>72</v>
      </c>
      <c r="X126">
        <v>72</v>
      </c>
      <c r="Y126">
        <v>0</v>
      </c>
      <c r="Z126">
        <v>17</v>
      </c>
      <c r="AA126">
        <v>17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806.45</v>
      </c>
      <c r="AK126">
        <v>0</v>
      </c>
      <c r="AL126">
        <v>806.45</v>
      </c>
      <c r="AM126">
        <v>0</v>
      </c>
      <c r="AN126">
        <v>0</v>
      </c>
      <c r="AO126">
        <v>0</v>
      </c>
    </row>
    <row r="127" spans="1:41">
      <c r="A127">
        <v>126</v>
      </c>
      <c r="B127" s="42">
        <v>45936</v>
      </c>
      <c r="C127" t="str">
        <v>HINJEWADI</v>
      </c>
      <c r="D127" t="str">
        <v>SLK1</v>
      </c>
      <c r="E127" t="str">
        <v>SHADOWFAX TECHNOLOGIES PRIVATE LIMITED</v>
      </c>
      <c r="F127" t="str">
        <v>MH14MH6374</v>
      </c>
      <c r="G127" t="str">
        <v>ACE</v>
      </c>
      <c r="H127" t="str">
        <v>CNG</v>
      </c>
      <c r="I127">
        <v>4</v>
      </c>
      <c r="J127">
        <v>8</v>
      </c>
      <c r="K127">
        <v>25000</v>
      </c>
      <c r="L127">
        <v>1000</v>
      </c>
      <c r="M127">
        <v>55</v>
      </c>
      <c r="N127">
        <v>31</v>
      </c>
      <c r="O127" t="str">
        <v>PUN01 NC Cluster 201</v>
      </c>
      <c r="P127">
        <v>0</v>
      </c>
      <c r="Q127">
        <v>6.805555555555555E-2</v>
      </c>
      <c r="R127">
        <v>0.16453703703703704</v>
      </c>
      <c r="S127">
        <v>6663</v>
      </c>
      <c r="T127">
        <v>0.35451388888888885</v>
      </c>
      <c r="U127">
        <v>0.35457175925925927</v>
      </c>
      <c r="V127">
        <v>6688</v>
      </c>
      <c r="W127">
        <v>40</v>
      </c>
      <c r="X127">
        <v>40</v>
      </c>
      <c r="Y127">
        <v>0</v>
      </c>
      <c r="Z127">
        <v>25</v>
      </c>
      <c r="AA127">
        <v>25</v>
      </c>
      <c r="AB127">
        <v>0</v>
      </c>
      <c r="AC127">
        <v>0</v>
      </c>
      <c r="AD127">
        <v>1</v>
      </c>
      <c r="AE127">
        <v>150</v>
      </c>
      <c r="AF127">
        <v>0</v>
      </c>
      <c r="AG127">
        <v>0</v>
      </c>
      <c r="AH127">
        <v>0</v>
      </c>
      <c r="AI127">
        <v>0</v>
      </c>
      <c r="AJ127">
        <v>956.45</v>
      </c>
      <c r="AK127">
        <v>0</v>
      </c>
      <c r="AL127">
        <v>956.45</v>
      </c>
      <c r="AM127">
        <v>0</v>
      </c>
      <c r="AN127">
        <v>0</v>
      </c>
      <c r="AO127">
        <v>0</v>
      </c>
    </row>
    <row r="128" spans="1:41">
      <c r="A128">
        <v>127</v>
      </c>
      <c r="B128" s="42">
        <v>45936</v>
      </c>
      <c r="C128" t="str">
        <v>HINJEWADI</v>
      </c>
      <c r="D128" t="str">
        <v>SLK1</v>
      </c>
      <c r="E128" t="str">
        <v>SHADOWFAX TECHNOLOGIES PRIVATE LIMITED</v>
      </c>
      <c r="F128" t="str">
        <v>MH14MH8276</v>
      </c>
      <c r="G128" t="str">
        <v>ACE</v>
      </c>
      <c r="H128" t="str">
        <v>CNG</v>
      </c>
      <c r="I128">
        <v>4</v>
      </c>
      <c r="J128">
        <v>8</v>
      </c>
      <c r="K128">
        <v>25000</v>
      </c>
      <c r="L128">
        <v>1000</v>
      </c>
      <c r="M128">
        <v>55</v>
      </c>
      <c r="N128">
        <v>31</v>
      </c>
      <c r="O128" t="str">
        <v>PUN01 NC Cluster 1</v>
      </c>
      <c r="P128">
        <v>0</v>
      </c>
      <c r="Q128">
        <v>7.2222222222222229E-2</v>
      </c>
      <c r="R128">
        <v>0.30297453703703703</v>
      </c>
      <c r="S128">
        <v>3705</v>
      </c>
      <c r="T128">
        <v>0.30312500000000003</v>
      </c>
      <c r="U128">
        <v>0.30319444444444443</v>
      </c>
      <c r="V128">
        <v>3705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806.45</v>
      </c>
      <c r="AK128">
        <v>0</v>
      </c>
      <c r="AL128">
        <v>806.45</v>
      </c>
      <c r="AM128">
        <v>0</v>
      </c>
      <c r="AN128">
        <v>0</v>
      </c>
      <c r="AO128">
        <v>0</v>
      </c>
    </row>
    <row r="129" spans="1:41">
      <c r="A129">
        <v>128</v>
      </c>
      <c r="B129" s="42">
        <v>45936</v>
      </c>
      <c r="C129" t="str">
        <v>HINJEWADI</v>
      </c>
      <c r="D129" t="str">
        <v>SLK1</v>
      </c>
      <c r="E129" t="str">
        <v>SHADOWFAX TECHNOLOGIES PRIVATE LIMITED</v>
      </c>
      <c r="F129" t="str">
        <v>MH20GC8804</v>
      </c>
      <c r="G129" t="str">
        <v>ACE</v>
      </c>
      <c r="H129" t="str">
        <v>CNG</v>
      </c>
      <c r="I129">
        <v>4</v>
      </c>
      <c r="J129">
        <v>8</v>
      </c>
      <c r="K129">
        <v>25000</v>
      </c>
      <c r="L129">
        <v>1000</v>
      </c>
      <c r="M129">
        <v>55</v>
      </c>
      <c r="N129">
        <v>31</v>
      </c>
      <c r="O129" t="str">
        <v>PUN01 NC Cluster 136</v>
      </c>
      <c r="P129">
        <v>0</v>
      </c>
      <c r="Q129">
        <v>7.5694444444444439E-2</v>
      </c>
      <c r="R129">
        <v>0.17796296296296296</v>
      </c>
      <c r="S129">
        <v>40846</v>
      </c>
      <c r="T129">
        <v>0.31017361111111114</v>
      </c>
      <c r="U129">
        <v>0.31027777777777776</v>
      </c>
      <c r="V129">
        <v>40876</v>
      </c>
      <c r="W129">
        <v>57</v>
      </c>
      <c r="X129">
        <v>57</v>
      </c>
      <c r="Y129">
        <v>0</v>
      </c>
      <c r="Z129">
        <v>30</v>
      </c>
      <c r="AA129">
        <v>30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806.45</v>
      </c>
      <c r="AK129">
        <v>0</v>
      </c>
      <c r="AL129">
        <v>806.45</v>
      </c>
      <c r="AM129">
        <v>0</v>
      </c>
      <c r="AN129">
        <v>0</v>
      </c>
      <c r="AO129">
        <v>0</v>
      </c>
    </row>
    <row r="130" spans="1:41">
      <c r="A130">
        <v>129</v>
      </c>
      <c r="B130" s="42">
        <v>45936</v>
      </c>
      <c r="C130" t="str">
        <v>HINJEWADI</v>
      </c>
      <c r="D130" t="str">
        <v>SLK1</v>
      </c>
      <c r="E130" t="str">
        <v>SHADOWFAX TECHNOLOGIES PRIVATE LIMITED</v>
      </c>
      <c r="F130" t="str">
        <v>MH14LX4839</v>
      </c>
      <c r="G130" t="str">
        <v>BOLERO</v>
      </c>
      <c r="H130" t="str">
        <v>DIESEL</v>
      </c>
      <c r="I130">
        <v>4</v>
      </c>
      <c r="J130">
        <v>10</v>
      </c>
      <c r="K130">
        <v>29000</v>
      </c>
      <c r="L130">
        <v>1000</v>
      </c>
      <c r="M130">
        <v>55</v>
      </c>
      <c r="N130">
        <v>31</v>
      </c>
      <c r="O130" t="str">
        <v>PUN01 NC Cluster 36</v>
      </c>
      <c r="P130">
        <v>0</v>
      </c>
      <c r="Q130">
        <v>5.1388888888888894E-2</v>
      </c>
      <c r="R130">
        <v>0.16953703703703704</v>
      </c>
      <c r="S130">
        <v>38053</v>
      </c>
      <c r="T130">
        <v>0.30136574074074074</v>
      </c>
      <c r="U130">
        <v>0.30144675925925929</v>
      </c>
      <c r="V130">
        <v>38073</v>
      </c>
      <c r="W130">
        <v>68</v>
      </c>
      <c r="X130">
        <v>68</v>
      </c>
      <c r="Y130">
        <v>0</v>
      </c>
      <c r="Z130">
        <v>20</v>
      </c>
      <c r="AA130">
        <v>20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935.48</v>
      </c>
      <c r="AK130">
        <v>0</v>
      </c>
      <c r="AL130">
        <v>935.48</v>
      </c>
      <c r="AM130">
        <v>0</v>
      </c>
      <c r="AN130">
        <v>0</v>
      </c>
      <c r="AO130">
        <v>0</v>
      </c>
    </row>
    <row r="131" spans="1:41">
      <c r="A131">
        <v>130</v>
      </c>
      <c r="B131" s="42">
        <v>45936</v>
      </c>
      <c r="C131" t="str">
        <v>HINJEWADI</v>
      </c>
      <c r="D131" t="str">
        <v>SLK1</v>
      </c>
      <c r="E131" t="str">
        <v>SHADOWFAX TECHNOLOGIES PRIVATE LIMITED</v>
      </c>
      <c r="F131" t="str">
        <v>MH14MH7322</v>
      </c>
      <c r="G131" t="str">
        <v>BOLERO</v>
      </c>
      <c r="H131" t="str">
        <v>DIESEL</v>
      </c>
      <c r="I131">
        <v>4</v>
      </c>
      <c r="J131">
        <v>10</v>
      </c>
      <c r="K131">
        <v>29000</v>
      </c>
      <c r="L131">
        <v>1000</v>
      </c>
      <c r="M131">
        <v>55</v>
      </c>
      <c r="N131">
        <v>31</v>
      </c>
      <c r="O131" t="str">
        <v>PUN01 NC Cluster 101</v>
      </c>
      <c r="P131">
        <v>0</v>
      </c>
      <c r="Q131">
        <v>0.1111111111111111</v>
      </c>
      <c r="R131">
        <v>0.18013888888888888</v>
      </c>
      <c r="S131">
        <v>2729</v>
      </c>
      <c r="T131">
        <v>0.30010416666666667</v>
      </c>
      <c r="U131">
        <v>0.30019675925925926</v>
      </c>
      <c r="V131">
        <v>2752</v>
      </c>
      <c r="W131">
        <v>81</v>
      </c>
      <c r="X131">
        <v>81</v>
      </c>
      <c r="Y131">
        <v>0</v>
      </c>
      <c r="Z131">
        <v>23</v>
      </c>
      <c r="AA131">
        <v>23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935.48</v>
      </c>
      <c r="AK131">
        <v>0</v>
      </c>
      <c r="AL131">
        <v>935.48</v>
      </c>
      <c r="AM131">
        <v>0</v>
      </c>
      <c r="AN131">
        <v>0</v>
      </c>
      <c r="AO131">
        <v>0</v>
      </c>
    </row>
    <row r="132" spans="1:41">
      <c r="A132">
        <v>131</v>
      </c>
      <c r="B132" s="42">
        <v>45936</v>
      </c>
      <c r="C132" t="str">
        <v>HINJEWADI</v>
      </c>
      <c r="D132" t="str">
        <v>SLK1</v>
      </c>
      <c r="E132" t="str">
        <v>SHADOWFAX TECHNOLOGIES PRIVATE LIMITED</v>
      </c>
      <c r="F132" t="str">
        <v>MH16CD7321</v>
      </c>
      <c r="G132" t="str">
        <v>BOLERO</v>
      </c>
      <c r="H132" t="str">
        <v>DIESEL</v>
      </c>
      <c r="I132">
        <v>4</v>
      </c>
      <c r="J132">
        <v>10</v>
      </c>
      <c r="K132">
        <v>29000</v>
      </c>
      <c r="L132">
        <v>1000</v>
      </c>
      <c r="M132">
        <v>55</v>
      </c>
      <c r="N132">
        <v>31</v>
      </c>
      <c r="O132" t="str">
        <v>PUN01 NC Cluster 7</v>
      </c>
      <c r="P132">
        <v>0</v>
      </c>
      <c r="Q132">
        <v>4.6527777777777779E-2</v>
      </c>
      <c r="R132">
        <v>0.17640046296296297</v>
      </c>
      <c r="S132">
        <v>138753</v>
      </c>
      <c r="T132">
        <v>0.30564814814814817</v>
      </c>
      <c r="U132">
        <v>0.30578703703703702</v>
      </c>
      <c r="V132">
        <v>138765</v>
      </c>
      <c r="W132">
        <v>62</v>
      </c>
      <c r="X132">
        <v>62</v>
      </c>
      <c r="Y132">
        <v>0</v>
      </c>
      <c r="Z132">
        <v>12</v>
      </c>
      <c r="AA132">
        <v>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935.48</v>
      </c>
      <c r="AK132">
        <v>0</v>
      </c>
      <c r="AL132">
        <v>935.48</v>
      </c>
      <c r="AM132">
        <v>0</v>
      </c>
      <c r="AN132">
        <v>0</v>
      </c>
      <c r="AO132">
        <v>0</v>
      </c>
    </row>
    <row r="133" spans="1:41">
      <c r="A133">
        <v>132</v>
      </c>
      <c r="B133" s="42">
        <v>45937</v>
      </c>
      <c r="C133" t="str">
        <v>HINJEWADI</v>
      </c>
      <c r="D133" t="str">
        <v>SLK1</v>
      </c>
      <c r="E133" t="str">
        <v>SHADOWFAX TECHNOLOGIES PRIVATE LIMITED</v>
      </c>
      <c r="F133" t="str">
        <v>MH03AH8989</v>
      </c>
      <c r="G133" t="str">
        <v>ACE</v>
      </c>
      <c r="H133" t="str">
        <v>CNG</v>
      </c>
      <c r="I133">
        <v>4</v>
      </c>
      <c r="J133">
        <v>8</v>
      </c>
      <c r="K133">
        <v>25000</v>
      </c>
      <c r="L133">
        <v>1000</v>
      </c>
      <c r="M133">
        <v>55</v>
      </c>
      <c r="N133">
        <v>31</v>
      </c>
      <c r="O133" t="str">
        <v>PUN01 NC Cluster 1</v>
      </c>
      <c r="P133">
        <v>0</v>
      </c>
      <c r="Q133">
        <v>3.5416666666666666E-2</v>
      </c>
      <c r="R133">
        <v>0.18186342592592594</v>
      </c>
      <c r="S133">
        <v>55734</v>
      </c>
      <c r="T133">
        <v>0.31807870370370367</v>
      </c>
      <c r="U133">
        <v>0.31825231481481481</v>
      </c>
      <c r="V133">
        <v>55741</v>
      </c>
      <c r="W133">
        <v>48</v>
      </c>
      <c r="X133">
        <v>48</v>
      </c>
      <c r="Y133">
        <v>0</v>
      </c>
      <c r="Z133">
        <v>7</v>
      </c>
      <c r="AA133">
        <v>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806.45</v>
      </c>
      <c r="AK133">
        <v>0</v>
      </c>
      <c r="AL133">
        <v>806.45</v>
      </c>
      <c r="AM133">
        <v>0</v>
      </c>
      <c r="AN133">
        <v>0</v>
      </c>
      <c r="AO133">
        <v>0</v>
      </c>
    </row>
    <row r="134" spans="1:41">
      <c r="A134">
        <v>133</v>
      </c>
      <c r="B134" s="42">
        <v>45937</v>
      </c>
      <c r="C134" t="str">
        <v>HINJEWADI</v>
      </c>
      <c r="D134" t="str">
        <v>SLK1</v>
      </c>
      <c r="E134" t="str">
        <v>SHADOWFAX TECHNOLOGIES PRIVATE LIMITED</v>
      </c>
      <c r="F134" t="str">
        <v>MH12RN4983</v>
      </c>
      <c r="G134" t="str">
        <v>ACE</v>
      </c>
      <c r="H134" t="str">
        <v>CNG</v>
      </c>
      <c r="I134">
        <v>4</v>
      </c>
      <c r="J134">
        <v>8</v>
      </c>
      <c r="K134">
        <v>25000</v>
      </c>
      <c r="L134">
        <v>1000</v>
      </c>
      <c r="M134">
        <v>55</v>
      </c>
      <c r="N134">
        <v>31</v>
      </c>
      <c r="O134" t="str">
        <v>PUN01 NC Cluster 103</v>
      </c>
      <c r="P134">
        <v>0</v>
      </c>
      <c r="Q134">
        <v>0.14097222222222222</v>
      </c>
      <c r="R134">
        <v>0.15996527777777778</v>
      </c>
      <c r="S134">
        <v>191071</v>
      </c>
      <c r="T134">
        <v>0.30851851851851853</v>
      </c>
      <c r="U134">
        <v>0.30861111111111111</v>
      </c>
      <c r="V134">
        <v>191092</v>
      </c>
      <c r="W134">
        <v>24</v>
      </c>
      <c r="X134">
        <v>24</v>
      </c>
      <c r="Y134">
        <v>0</v>
      </c>
      <c r="Z134">
        <v>21</v>
      </c>
      <c r="AA134">
        <v>21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806.45</v>
      </c>
      <c r="AK134">
        <v>0</v>
      </c>
      <c r="AL134">
        <v>806.45</v>
      </c>
      <c r="AM134">
        <v>0</v>
      </c>
      <c r="AN134">
        <v>0</v>
      </c>
      <c r="AO134">
        <v>0</v>
      </c>
    </row>
    <row r="135" spans="1:41">
      <c r="A135">
        <v>134</v>
      </c>
      <c r="B135" s="42">
        <v>45937</v>
      </c>
      <c r="C135" t="str">
        <v>HINJEWADI</v>
      </c>
      <c r="D135" t="str">
        <v>SLK1</v>
      </c>
      <c r="E135" t="str">
        <v>SHADOWFAX TECHNOLOGIES PRIVATE LIMITED</v>
      </c>
      <c r="F135" t="str">
        <v>MH12SF9859</v>
      </c>
      <c r="G135" t="str">
        <v>ACE</v>
      </c>
      <c r="H135" t="str">
        <v>CNG</v>
      </c>
      <c r="I135">
        <v>4</v>
      </c>
      <c r="J135">
        <v>8</v>
      </c>
      <c r="K135">
        <v>25000</v>
      </c>
      <c r="L135">
        <v>1000</v>
      </c>
      <c r="M135">
        <v>55</v>
      </c>
      <c r="N135">
        <v>31</v>
      </c>
      <c r="O135" t="str">
        <v>PUN01 NC Cluster 26</v>
      </c>
      <c r="P135">
        <v>0</v>
      </c>
      <c r="Q135">
        <v>4.9305555555555554E-2</v>
      </c>
      <c r="R135">
        <v>0.17402777777777778</v>
      </c>
      <c r="S135">
        <v>109732</v>
      </c>
      <c r="T135">
        <v>0.31696759259259261</v>
      </c>
      <c r="U135">
        <v>0.31703703703703706</v>
      </c>
      <c r="V135">
        <v>109763</v>
      </c>
      <c r="W135">
        <v>22</v>
      </c>
      <c r="X135">
        <v>22</v>
      </c>
      <c r="Y135">
        <v>0</v>
      </c>
      <c r="Z135">
        <v>31</v>
      </c>
      <c r="AA135">
        <v>31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806.45</v>
      </c>
      <c r="AK135">
        <v>0</v>
      </c>
      <c r="AL135">
        <v>806.45</v>
      </c>
      <c r="AM135">
        <v>0</v>
      </c>
      <c r="AN135">
        <v>0</v>
      </c>
      <c r="AO135">
        <v>0</v>
      </c>
    </row>
    <row r="136" spans="1:41">
      <c r="A136">
        <v>135</v>
      </c>
      <c r="B136" s="42">
        <v>45937</v>
      </c>
      <c r="C136" t="str">
        <v>HINJEWADI</v>
      </c>
      <c r="D136" t="str">
        <v>SLK1</v>
      </c>
      <c r="E136" t="str">
        <v>SHADOWFAX TECHNOLOGIES PRIVATE LIMITED</v>
      </c>
      <c r="F136" t="str">
        <v>MH12UM3063</v>
      </c>
      <c r="G136" t="str">
        <v>ACE</v>
      </c>
      <c r="H136" t="str">
        <v>CNG</v>
      </c>
      <c r="I136">
        <v>6</v>
      </c>
      <c r="J136">
        <v>8</v>
      </c>
      <c r="K136">
        <v>33000</v>
      </c>
      <c r="L136">
        <v>2000</v>
      </c>
      <c r="M136">
        <v>55</v>
      </c>
      <c r="N136">
        <v>31</v>
      </c>
      <c r="O136" t="str">
        <v>PUN01 NC Cluster 6</v>
      </c>
      <c r="P136">
        <v>0</v>
      </c>
      <c r="Q136">
        <v>4.5833333333333337E-2</v>
      </c>
      <c r="R136">
        <v>0.29656250000000001</v>
      </c>
      <c r="S136">
        <v>98992</v>
      </c>
      <c r="T136">
        <v>0.29853009259259261</v>
      </c>
      <c r="U136">
        <v>0.29859953703703707</v>
      </c>
      <c r="V136">
        <v>98992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1064.52</v>
      </c>
      <c r="AK136">
        <v>0</v>
      </c>
      <c r="AL136">
        <v>1064.52</v>
      </c>
      <c r="AM136">
        <v>0</v>
      </c>
      <c r="AN136">
        <v>0</v>
      </c>
      <c r="AO136">
        <v>0</v>
      </c>
    </row>
    <row r="137" spans="1:41">
      <c r="A137">
        <v>136</v>
      </c>
      <c r="B137" s="42">
        <v>45937</v>
      </c>
      <c r="C137" t="str">
        <v>HINJEWADI</v>
      </c>
      <c r="D137" t="str">
        <v>SLK1</v>
      </c>
      <c r="E137" t="str">
        <v>SHADOWFAX TECHNOLOGIES PRIVATE LIMITED</v>
      </c>
      <c r="F137" t="str">
        <v>MH12VF3782</v>
      </c>
      <c r="G137" t="str">
        <v>ACE</v>
      </c>
      <c r="H137" t="str">
        <v>CNG</v>
      </c>
      <c r="I137">
        <v>4</v>
      </c>
      <c r="J137">
        <v>8</v>
      </c>
      <c r="K137">
        <v>25000</v>
      </c>
      <c r="L137">
        <v>1000</v>
      </c>
      <c r="M137">
        <v>55</v>
      </c>
      <c r="N137">
        <v>31</v>
      </c>
      <c r="O137" t="str">
        <v>PUN01 NC Cluster 20</v>
      </c>
      <c r="P137">
        <v>0</v>
      </c>
      <c r="Q137">
        <v>0.11597222222222221</v>
      </c>
      <c r="R137">
        <v>0.18122685185185183</v>
      </c>
      <c r="S137">
        <v>83459</v>
      </c>
      <c r="T137">
        <v>0.29759259259259258</v>
      </c>
      <c r="U137">
        <v>0.29769675925925926</v>
      </c>
      <c r="V137">
        <v>83486</v>
      </c>
      <c r="W137">
        <v>38</v>
      </c>
      <c r="X137">
        <v>38</v>
      </c>
      <c r="Y137">
        <v>0</v>
      </c>
      <c r="Z137">
        <v>27</v>
      </c>
      <c r="AA137">
        <v>27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806.45</v>
      </c>
      <c r="AK137">
        <v>0</v>
      </c>
      <c r="AL137">
        <v>806.45</v>
      </c>
      <c r="AM137">
        <v>0</v>
      </c>
      <c r="AN137">
        <v>0</v>
      </c>
      <c r="AO137">
        <v>0</v>
      </c>
    </row>
    <row r="138" spans="1:41">
      <c r="A138">
        <v>137</v>
      </c>
      <c r="B138" s="42">
        <v>45937</v>
      </c>
      <c r="C138" t="str">
        <v>HINJEWADI</v>
      </c>
      <c r="D138" t="str">
        <v>SLK1</v>
      </c>
      <c r="E138" t="str">
        <v>SHADOWFAX TECHNOLOGIES PRIVATE LIMITED</v>
      </c>
      <c r="F138" t="str">
        <v>MH12XM2801</v>
      </c>
      <c r="G138" t="str">
        <v>ACE</v>
      </c>
      <c r="H138" t="str">
        <v>CNG</v>
      </c>
      <c r="I138">
        <v>4</v>
      </c>
      <c r="J138">
        <v>8</v>
      </c>
      <c r="K138">
        <v>25000</v>
      </c>
      <c r="L138">
        <v>1000</v>
      </c>
      <c r="M138">
        <v>55</v>
      </c>
      <c r="N138">
        <v>31</v>
      </c>
      <c r="O138" t="str">
        <v>PUN01 NC Cluster 61</v>
      </c>
      <c r="P138">
        <v>0</v>
      </c>
      <c r="Q138">
        <v>3.4027777777777775E-2</v>
      </c>
      <c r="R138">
        <v>0.16376157407407407</v>
      </c>
      <c r="S138">
        <v>11332</v>
      </c>
      <c r="T138">
        <v>0.35767361111111112</v>
      </c>
      <c r="U138">
        <v>0.3578587962962963</v>
      </c>
      <c r="V138">
        <v>11343</v>
      </c>
      <c r="W138">
        <v>10</v>
      </c>
      <c r="X138">
        <v>10</v>
      </c>
      <c r="Y138">
        <v>0</v>
      </c>
      <c r="Z138">
        <v>11</v>
      </c>
      <c r="AA138">
        <v>11</v>
      </c>
      <c r="AB138">
        <v>0</v>
      </c>
      <c r="AC138">
        <v>0</v>
      </c>
      <c r="AD138">
        <v>1</v>
      </c>
      <c r="AE138">
        <v>150</v>
      </c>
      <c r="AF138">
        <v>0</v>
      </c>
      <c r="AG138">
        <v>0</v>
      </c>
      <c r="AH138">
        <v>0</v>
      </c>
      <c r="AI138">
        <v>0</v>
      </c>
      <c r="AJ138">
        <v>956.45</v>
      </c>
      <c r="AK138">
        <v>0</v>
      </c>
      <c r="AL138">
        <v>956.45</v>
      </c>
      <c r="AM138">
        <v>0</v>
      </c>
      <c r="AN138">
        <v>0</v>
      </c>
      <c r="AO138">
        <v>0</v>
      </c>
    </row>
    <row r="139" spans="1:41">
      <c r="A139">
        <v>138</v>
      </c>
      <c r="B139" s="42">
        <v>45937</v>
      </c>
      <c r="C139" t="str">
        <v>HINJEWADI</v>
      </c>
      <c r="D139" t="str">
        <v>SLK1</v>
      </c>
      <c r="E139" t="str">
        <v>SHADOWFAX TECHNOLOGIES PRIVATE LIMITED</v>
      </c>
      <c r="F139" t="str">
        <v>MH14CP4610</v>
      </c>
      <c r="G139" t="str">
        <v>ACE</v>
      </c>
      <c r="H139" t="str">
        <v>CNG</v>
      </c>
      <c r="I139">
        <v>4</v>
      </c>
      <c r="J139">
        <v>8</v>
      </c>
      <c r="K139">
        <v>25000</v>
      </c>
      <c r="L139">
        <v>1000</v>
      </c>
      <c r="M139">
        <v>55</v>
      </c>
      <c r="N139">
        <v>31</v>
      </c>
      <c r="O139" t="str">
        <v>PUN01 NC Cluster 87</v>
      </c>
      <c r="P139">
        <v>0</v>
      </c>
      <c r="Q139">
        <v>3.4722222222222224E-2</v>
      </c>
      <c r="R139">
        <v>0.17832175925925928</v>
      </c>
      <c r="S139">
        <v>145169</v>
      </c>
      <c r="T139">
        <v>0.29473379629629631</v>
      </c>
      <c r="U139">
        <v>0.29484953703703703</v>
      </c>
      <c r="V139">
        <v>145186</v>
      </c>
      <c r="W139">
        <v>34</v>
      </c>
      <c r="X139">
        <v>34</v>
      </c>
      <c r="Y139">
        <v>0</v>
      </c>
      <c r="Z139">
        <v>17</v>
      </c>
      <c r="AA139">
        <v>17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806.45</v>
      </c>
      <c r="AK139">
        <v>0</v>
      </c>
      <c r="AL139">
        <v>806.45</v>
      </c>
      <c r="AM139">
        <v>0</v>
      </c>
      <c r="AN139">
        <v>0</v>
      </c>
      <c r="AO139">
        <v>0</v>
      </c>
    </row>
    <row r="140" spans="1:41">
      <c r="A140">
        <v>139</v>
      </c>
      <c r="B140" s="42">
        <v>45937</v>
      </c>
      <c r="C140" t="str">
        <v>HINJEWADI</v>
      </c>
      <c r="D140" t="str">
        <v>SLK1</v>
      </c>
      <c r="E140" t="str">
        <v>SHADOWFAX TECHNOLOGIES PRIVATE LIMITED</v>
      </c>
      <c r="F140" t="str">
        <v>MH14KA0766</v>
      </c>
      <c r="G140" t="str">
        <v>ACE</v>
      </c>
      <c r="H140" t="str">
        <v>CNG</v>
      </c>
      <c r="I140">
        <v>4</v>
      </c>
      <c r="J140">
        <v>8</v>
      </c>
      <c r="K140">
        <v>25000</v>
      </c>
      <c r="L140">
        <v>1000</v>
      </c>
      <c r="M140">
        <v>55</v>
      </c>
      <c r="N140">
        <v>31</v>
      </c>
      <c r="O140" t="str">
        <v>PUN01 NC Cluster 10A</v>
      </c>
      <c r="P140">
        <v>0</v>
      </c>
      <c r="Q140">
        <v>4.5833333333333337E-2</v>
      </c>
      <c r="R140">
        <v>0.1753935185185185</v>
      </c>
      <c r="S140">
        <v>142343</v>
      </c>
      <c r="T140">
        <v>0.34597222222222218</v>
      </c>
      <c r="U140">
        <v>0.34605324074074079</v>
      </c>
      <c r="V140">
        <v>142369</v>
      </c>
      <c r="W140">
        <v>48</v>
      </c>
      <c r="X140">
        <v>48</v>
      </c>
      <c r="Y140">
        <v>0</v>
      </c>
      <c r="Z140">
        <v>26</v>
      </c>
      <c r="AA140">
        <v>26</v>
      </c>
      <c r="AB140">
        <v>0</v>
      </c>
      <c r="AC140">
        <v>0</v>
      </c>
      <c r="AD140">
        <v>1</v>
      </c>
      <c r="AE140">
        <v>150</v>
      </c>
      <c r="AF140">
        <v>0</v>
      </c>
      <c r="AG140">
        <v>0</v>
      </c>
      <c r="AH140">
        <v>0</v>
      </c>
      <c r="AI140">
        <v>0</v>
      </c>
      <c r="AJ140">
        <v>956.45</v>
      </c>
      <c r="AK140">
        <v>0</v>
      </c>
      <c r="AL140">
        <v>956.45</v>
      </c>
      <c r="AM140">
        <v>0</v>
      </c>
      <c r="AN140">
        <v>0</v>
      </c>
      <c r="AO140">
        <v>0</v>
      </c>
    </row>
    <row r="141" spans="1:41">
      <c r="A141">
        <v>140</v>
      </c>
      <c r="B141" s="42">
        <v>45937</v>
      </c>
      <c r="C141" t="str">
        <v>HINJEWADI</v>
      </c>
      <c r="D141" t="str">
        <v>SLK1</v>
      </c>
      <c r="E141" t="str">
        <v>SHADOWFAX TECHNOLOGIES PRIVATE LIMITED</v>
      </c>
      <c r="F141" t="str">
        <v>MH14KA1228</v>
      </c>
      <c r="G141" t="str">
        <v>ACE</v>
      </c>
      <c r="H141" t="str">
        <v>CNG</v>
      </c>
      <c r="I141">
        <v>4</v>
      </c>
      <c r="J141">
        <v>8</v>
      </c>
      <c r="K141">
        <v>25000</v>
      </c>
      <c r="L141">
        <v>1000</v>
      </c>
      <c r="M141">
        <v>55</v>
      </c>
      <c r="N141">
        <v>31</v>
      </c>
      <c r="O141" t="str">
        <v>PUN01 NC Cluster 113</v>
      </c>
      <c r="P141">
        <v>0</v>
      </c>
      <c r="Q141">
        <v>0.12847222222222224</v>
      </c>
      <c r="R141">
        <v>0.16611111111111113</v>
      </c>
      <c r="S141">
        <v>158462</v>
      </c>
      <c r="T141">
        <v>0.29627314814814815</v>
      </c>
      <c r="U141">
        <v>0.29636574074074074</v>
      </c>
      <c r="V141">
        <v>158491</v>
      </c>
      <c r="W141">
        <v>47</v>
      </c>
      <c r="X141">
        <v>47</v>
      </c>
      <c r="Y141">
        <v>0</v>
      </c>
      <c r="Z141">
        <v>29</v>
      </c>
      <c r="AA141">
        <v>29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806.45</v>
      </c>
      <c r="AK141">
        <v>0</v>
      </c>
      <c r="AL141">
        <v>806.45</v>
      </c>
      <c r="AM141">
        <v>0</v>
      </c>
      <c r="AN141">
        <v>0</v>
      </c>
      <c r="AO141">
        <v>0</v>
      </c>
    </row>
    <row r="142" spans="1:41">
      <c r="A142">
        <v>141</v>
      </c>
      <c r="B142" s="42">
        <v>45937</v>
      </c>
      <c r="C142" t="str">
        <v>HINJEWADI</v>
      </c>
      <c r="D142" t="str">
        <v>SLK1</v>
      </c>
      <c r="E142" t="str">
        <v>SHADOWFAX TECHNOLOGIES PRIVATE LIMITED</v>
      </c>
      <c r="F142" t="str">
        <v>MH14KA1873</v>
      </c>
      <c r="G142" t="str">
        <v>ACE</v>
      </c>
      <c r="H142" t="str">
        <v>CNG</v>
      </c>
      <c r="I142">
        <v>4</v>
      </c>
      <c r="J142">
        <v>8</v>
      </c>
      <c r="K142">
        <v>25000</v>
      </c>
      <c r="L142">
        <v>1000</v>
      </c>
      <c r="M142">
        <v>55</v>
      </c>
      <c r="N142">
        <v>31</v>
      </c>
      <c r="O142" t="str">
        <v>PUN01 NC Cluster 40</v>
      </c>
      <c r="P142">
        <v>0</v>
      </c>
      <c r="Q142">
        <v>9.375E-2</v>
      </c>
      <c r="R142">
        <v>0.16321759259259258</v>
      </c>
      <c r="S142">
        <v>112525</v>
      </c>
      <c r="T142">
        <v>0.31193287037037037</v>
      </c>
      <c r="U142">
        <v>0.31208333333333332</v>
      </c>
      <c r="V142">
        <v>112546</v>
      </c>
      <c r="W142">
        <v>58</v>
      </c>
      <c r="X142">
        <v>58</v>
      </c>
      <c r="Y142">
        <v>0</v>
      </c>
      <c r="Z142">
        <v>21</v>
      </c>
      <c r="AA142">
        <v>21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806.45</v>
      </c>
      <c r="AK142">
        <v>0</v>
      </c>
      <c r="AL142">
        <v>806.45</v>
      </c>
      <c r="AM142">
        <v>0</v>
      </c>
      <c r="AN142">
        <v>0</v>
      </c>
      <c r="AO142">
        <v>0</v>
      </c>
    </row>
    <row r="143" spans="1:41">
      <c r="A143">
        <v>142</v>
      </c>
      <c r="B143" s="42">
        <v>45937</v>
      </c>
      <c r="C143" t="str">
        <v>HINJEWADI</v>
      </c>
      <c r="D143" t="str">
        <v>SLK1</v>
      </c>
      <c r="E143" t="str">
        <v>SHADOWFAX TECHNOLOGIES PRIVATE LIMITED</v>
      </c>
      <c r="F143" t="str">
        <v>MH14KA2871</v>
      </c>
      <c r="G143" t="str">
        <v>ACE</v>
      </c>
      <c r="H143" t="str">
        <v>CNG</v>
      </c>
      <c r="I143">
        <v>4</v>
      </c>
      <c r="J143">
        <v>8</v>
      </c>
      <c r="K143">
        <v>25000</v>
      </c>
      <c r="L143">
        <v>1000</v>
      </c>
      <c r="M143">
        <v>55</v>
      </c>
      <c r="N143">
        <v>31</v>
      </c>
      <c r="O143" t="str">
        <v>PUN01 NC Cluster 15</v>
      </c>
      <c r="P143">
        <v>0</v>
      </c>
      <c r="Q143">
        <v>0.1423611111111111</v>
      </c>
      <c r="R143">
        <v>0.16806712962962964</v>
      </c>
      <c r="S143">
        <v>77268</v>
      </c>
      <c r="T143">
        <v>0.33439814814814817</v>
      </c>
      <c r="U143">
        <v>0.33446759259259262</v>
      </c>
      <c r="V143">
        <v>77286</v>
      </c>
      <c r="W143">
        <v>56</v>
      </c>
      <c r="X143">
        <v>56</v>
      </c>
      <c r="Y143">
        <v>0</v>
      </c>
      <c r="Z143">
        <v>18</v>
      </c>
      <c r="AA143">
        <v>18</v>
      </c>
      <c r="AB143">
        <v>0</v>
      </c>
      <c r="AC143">
        <v>0</v>
      </c>
      <c r="AD143">
        <v>1</v>
      </c>
      <c r="AE143">
        <v>150</v>
      </c>
      <c r="AF143">
        <v>0</v>
      </c>
      <c r="AG143">
        <v>0</v>
      </c>
      <c r="AH143">
        <v>0</v>
      </c>
      <c r="AI143">
        <v>0</v>
      </c>
      <c r="AJ143">
        <v>956.45</v>
      </c>
      <c r="AK143">
        <v>0</v>
      </c>
      <c r="AL143">
        <v>956.45</v>
      </c>
      <c r="AM143">
        <v>0</v>
      </c>
      <c r="AN143">
        <v>0</v>
      </c>
      <c r="AO143">
        <v>0</v>
      </c>
    </row>
    <row r="144" spans="1:41">
      <c r="A144">
        <v>143</v>
      </c>
      <c r="B144" s="42">
        <v>45937</v>
      </c>
      <c r="C144" t="str">
        <v>HINJEWADI</v>
      </c>
      <c r="D144" t="str">
        <v>SLK1</v>
      </c>
      <c r="E144" t="str">
        <v>SHADOWFAX TECHNOLOGIES PRIVATE LIMITED</v>
      </c>
      <c r="F144" t="str">
        <v>MH14KA6730</v>
      </c>
      <c r="G144" t="str">
        <v>ACE</v>
      </c>
      <c r="H144" t="str">
        <v>CNG</v>
      </c>
      <c r="I144">
        <v>4</v>
      </c>
      <c r="J144">
        <v>8</v>
      </c>
      <c r="K144">
        <v>25000</v>
      </c>
      <c r="L144">
        <v>1000</v>
      </c>
      <c r="M144">
        <v>55</v>
      </c>
      <c r="N144">
        <v>31</v>
      </c>
      <c r="O144" t="str">
        <v>PUN01 NC Cluster 199</v>
      </c>
      <c r="P144">
        <v>0</v>
      </c>
      <c r="Q144">
        <v>4.9999999999999996E-2</v>
      </c>
      <c r="R144">
        <v>0.16175925925925924</v>
      </c>
      <c r="S144">
        <v>86666</v>
      </c>
      <c r="T144">
        <v>0.34513888888888888</v>
      </c>
      <c r="U144">
        <v>0.3452662037037037</v>
      </c>
      <c r="V144">
        <v>86696</v>
      </c>
      <c r="W144">
        <v>17</v>
      </c>
      <c r="X144">
        <v>17</v>
      </c>
      <c r="Y144">
        <v>0</v>
      </c>
      <c r="Z144">
        <v>30</v>
      </c>
      <c r="AA144">
        <v>30</v>
      </c>
      <c r="AB144">
        <v>0</v>
      </c>
      <c r="AC144">
        <v>0</v>
      </c>
      <c r="AD144">
        <v>1</v>
      </c>
      <c r="AE144">
        <v>150</v>
      </c>
      <c r="AF144">
        <v>0</v>
      </c>
      <c r="AG144">
        <v>0</v>
      </c>
      <c r="AH144">
        <v>0</v>
      </c>
      <c r="AI144">
        <v>0</v>
      </c>
      <c r="AJ144">
        <v>956.45</v>
      </c>
      <c r="AK144">
        <v>0</v>
      </c>
      <c r="AL144">
        <v>956.45</v>
      </c>
      <c r="AM144">
        <v>0</v>
      </c>
      <c r="AN144">
        <v>0</v>
      </c>
      <c r="AO144">
        <v>0</v>
      </c>
    </row>
    <row r="145" spans="1:41">
      <c r="A145">
        <v>144</v>
      </c>
      <c r="B145" s="42">
        <v>45937</v>
      </c>
      <c r="C145" t="str">
        <v>HINJEWADI</v>
      </c>
      <c r="D145" t="str">
        <v>SLK1</v>
      </c>
      <c r="E145" t="str">
        <v>SHADOWFAX TECHNOLOGIES PRIVATE LIMITED</v>
      </c>
      <c r="F145" t="str">
        <v>MH14KQ0279</v>
      </c>
      <c r="G145" t="str">
        <v>ACE</v>
      </c>
      <c r="H145" t="str">
        <v>CNG</v>
      </c>
      <c r="I145">
        <v>4</v>
      </c>
      <c r="J145">
        <v>8</v>
      </c>
      <c r="K145">
        <v>25000</v>
      </c>
      <c r="L145">
        <v>1000</v>
      </c>
      <c r="M145">
        <v>55</v>
      </c>
      <c r="N145">
        <v>31</v>
      </c>
      <c r="O145" t="str">
        <v>PUN01 Cluster 155</v>
      </c>
      <c r="P145">
        <v>0</v>
      </c>
      <c r="Q145">
        <v>0.14166666666666666</v>
      </c>
      <c r="R145">
        <v>0.17578703703703702</v>
      </c>
      <c r="S145">
        <v>117476</v>
      </c>
      <c r="T145">
        <v>0.46880787037037036</v>
      </c>
      <c r="U145">
        <v>0.46891203703703704</v>
      </c>
      <c r="V145">
        <v>117524</v>
      </c>
      <c r="W145">
        <v>30</v>
      </c>
      <c r="X145">
        <v>0</v>
      </c>
      <c r="Y145">
        <v>30</v>
      </c>
      <c r="Z145">
        <v>48</v>
      </c>
      <c r="AA145">
        <v>48</v>
      </c>
      <c r="AB145">
        <v>0</v>
      </c>
      <c r="AC145">
        <v>0</v>
      </c>
      <c r="AD145">
        <v>4</v>
      </c>
      <c r="AE145">
        <v>600</v>
      </c>
      <c r="AF145">
        <v>0</v>
      </c>
      <c r="AG145">
        <v>0</v>
      </c>
      <c r="AH145">
        <v>0</v>
      </c>
      <c r="AI145">
        <v>0</v>
      </c>
      <c r="AJ145">
        <v>1406.45</v>
      </c>
      <c r="AK145">
        <v>0</v>
      </c>
      <c r="AL145">
        <v>1406.45</v>
      </c>
      <c r="AM145">
        <v>0</v>
      </c>
      <c r="AN145">
        <v>0</v>
      </c>
      <c r="AO145">
        <v>0</v>
      </c>
    </row>
    <row r="146" spans="1:41">
      <c r="A146">
        <v>145</v>
      </c>
      <c r="B146" s="42">
        <v>45937</v>
      </c>
      <c r="C146" t="str">
        <v>HINJEWADI</v>
      </c>
      <c r="D146" t="str">
        <v>SLK1</v>
      </c>
      <c r="E146" t="str">
        <v>SHADOWFAX TECHNOLOGIES PRIVATE LIMITED</v>
      </c>
      <c r="F146" t="str">
        <v>MH14LB6751</v>
      </c>
      <c r="G146" t="str">
        <v>ACE</v>
      </c>
      <c r="H146" t="str">
        <v>CNG</v>
      </c>
      <c r="I146">
        <v>4</v>
      </c>
      <c r="J146">
        <v>8</v>
      </c>
      <c r="K146">
        <v>25000</v>
      </c>
      <c r="L146">
        <v>1000</v>
      </c>
      <c r="M146">
        <v>55</v>
      </c>
      <c r="N146">
        <v>31</v>
      </c>
      <c r="O146" t="str">
        <v>PUN01 NC Cluster 41</v>
      </c>
      <c r="P146">
        <v>0</v>
      </c>
      <c r="Q146">
        <v>5.0694444444444452E-2</v>
      </c>
      <c r="R146">
        <v>0.16236111111111109</v>
      </c>
      <c r="S146">
        <v>82972</v>
      </c>
      <c r="T146">
        <v>0.38806712962962964</v>
      </c>
      <c r="U146">
        <v>0.38817129629629626</v>
      </c>
      <c r="V146">
        <v>82991</v>
      </c>
      <c r="W146">
        <v>34</v>
      </c>
      <c r="X146">
        <v>47</v>
      </c>
      <c r="Y146">
        <v>-13</v>
      </c>
      <c r="Z146">
        <v>19</v>
      </c>
      <c r="AA146">
        <v>19</v>
      </c>
      <c r="AB146">
        <v>0</v>
      </c>
      <c r="AC146">
        <v>0</v>
      </c>
      <c r="AD146">
        <v>2</v>
      </c>
      <c r="AE146">
        <v>300</v>
      </c>
      <c r="AF146">
        <v>0</v>
      </c>
      <c r="AG146">
        <v>0</v>
      </c>
      <c r="AH146">
        <v>0</v>
      </c>
      <c r="AI146">
        <v>0</v>
      </c>
      <c r="AJ146">
        <v>1106.45</v>
      </c>
      <c r="AK146">
        <v>0</v>
      </c>
      <c r="AL146">
        <v>1106.45</v>
      </c>
      <c r="AM146">
        <v>0</v>
      </c>
      <c r="AN146">
        <v>0</v>
      </c>
      <c r="AO146">
        <v>0</v>
      </c>
    </row>
    <row r="147" spans="1:41">
      <c r="A147">
        <v>146</v>
      </c>
      <c r="B147" s="42">
        <v>45937</v>
      </c>
      <c r="C147" t="str">
        <v>HINJEWADI</v>
      </c>
      <c r="D147" t="str">
        <v>SLK1</v>
      </c>
      <c r="E147" t="str">
        <v>SHADOWFAX TECHNOLOGIES PRIVATE LIMITED</v>
      </c>
      <c r="F147" t="str">
        <v>MH14LL5974</v>
      </c>
      <c r="G147" t="str">
        <v>ACE</v>
      </c>
      <c r="H147" t="str">
        <v>CNG</v>
      </c>
      <c r="I147">
        <v>4</v>
      </c>
      <c r="J147">
        <v>8</v>
      </c>
      <c r="K147">
        <v>25000</v>
      </c>
      <c r="L147">
        <v>1000</v>
      </c>
      <c r="M147">
        <v>55</v>
      </c>
      <c r="N147">
        <v>31</v>
      </c>
      <c r="O147" t="str">
        <v>PUN01 NC Cluster 7</v>
      </c>
      <c r="P147">
        <v>0</v>
      </c>
      <c r="Q147">
        <v>9.1666666666666674E-2</v>
      </c>
      <c r="R147">
        <v>0.17494212962962963</v>
      </c>
      <c r="S147">
        <v>36267</v>
      </c>
      <c r="T147">
        <v>0.28891203703703705</v>
      </c>
      <c r="U147">
        <v>0.28899305555555554</v>
      </c>
      <c r="V147">
        <v>36279</v>
      </c>
      <c r="W147">
        <v>70</v>
      </c>
      <c r="X147">
        <v>70</v>
      </c>
      <c r="Y147">
        <v>0</v>
      </c>
      <c r="Z147">
        <v>12</v>
      </c>
      <c r="AA147">
        <v>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806.45</v>
      </c>
      <c r="AK147">
        <v>0</v>
      </c>
      <c r="AL147">
        <v>806.45</v>
      </c>
      <c r="AM147">
        <v>0</v>
      </c>
      <c r="AN147">
        <v>0</v>
      </c>
      <c r="AO147">
        <v>0</v>
      </c>
    </row>
    <row r="148" spans="1:41">
      <c r="A148">
        <v>147</v>
      </c>
      <c r="B148" s="42">
        <v>45937</v>
      </c>
      <c r="C148" t="str">
        <v>HINJEWADI</v>
      </c>
      <c r="D148" t="str">
        <v>SLK1</v>
      </c>
      <c r="E148" t="str">
        <v>SHADOWFAX TECHNOLOGIES PRIVATE LIMITED</v>
      </c>
      <c r="F148" t="str">
        <v>MH14LL6836</v>
      </c>
      <c r="G148" t="str">
        <v>ACE</v>
      </c>
      <c r="H148" t="str">
        <v>CNG</v>
      </c>
      <c r="I148">
        <v>6</v>
      </c>
      <c r="J148">
        <v>8</v>
      </c>
      <c r="K148">
        <v>33000</v>
      </c>
      <c r="L148">
        <v>2000</v>
      </c>
      <c r="M148">
        <v>55</v>
      </c>
      <c r="N148">
        <v>31</v>
      </c>
      <c r="O148" t="str">
        <v>PUN01 NC Cluster 303</v>
      </c>
      <c r="P148">
        <v>0</v>
      </c>
      <c r="Q148">
        <v>8.3333333333333329E-2</v>
      </c>
      <c r="R148">
        <v>0.18042824074074074</v>
      </c>
      <c r="S148">
        <v>32304</v>
      </c>
      <c r="T148">
        <v>0.29873842592592592</v>
      </c>
      <c r="U148">
        <v>0.29887731481481483</v>
      </c>
      <c r="V148">
        <v>32376</v>
      </c>
      <c r="W148">
        <v>35</v>
      </c>
      <c r="X148">
        <v>35</v>
      </c>
      <c r="Y148">
        <v>0</v>
      </c>
      <c r="Z148">
        <v>72</v>
      </c>
      <c r="AA148">
        <v>72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1064.52</v>
      </c>
      <c r="AK148">
        <v>0</v>
      </c>
      <c r="AL148">
        <v>1064.52</v>
      </c>
      <c r="AM148">
        <v>0</v>
      </c>
      <c r="AN148">
        <v>0</v>
      </c>
      <c r="AO148">
        <v>0</v>
      </c>
    </row>
    <row r="149" spans="1:41">
      <c r="A149">
        <v>148</v>
      </c>
      <c r="B149" s="42">
        <v>45937</v>
      </c>
      <c r="C149" t="str">
        <v>HINJEWADI</v>
      </c>
      <c r="D149" t="str">
        <v>SLK1</v>
      </c>
      <c r="E149" t="str">
        <v>SHADOWFAX TECHNOLOGIES PRIVATE LIMITED</v>
      </c>
      <c r="F149" t="str">
        <v>MH14LX6360</v>
      </c>
      <c r="G149" t="str">
        <v>ACE</v>
      </c>
      <c r="H149" t="str">
        <v>CNG</v>
      </c>
      <c r="I149">
        <v>4</v>
      </c>
      <c r="J149">
        <v>8</v>
      </c>
      <c r="K149">
        <v>25000</v>
      </c>
      <c r="L149">
        <v>1000</v>
      </c>
      <c r="M149">
        <v>55</v>
      </c>
      <c r="N149">
        <v>31</v>
      </c>
      <c r="O149" t="str">
        <v>PUN01 NC Cluster 37</v>
      </c>
      <c r="P149">
        <v>0</v>
      </c>
      <c r="Q149">
        <v>9.375E-2</v>
      </c>
      <c r="R149">
        <v>0.16199074074074074</v>
      </c>
      <c r="S149">
        <v>37553</v>
      </c>
      <c r="T149">
        <v>0.33395833333333336</v>
      </c>
      <c r="U149">
        <v>0.33405092592592589</v>
      </c>
      <c r="V149">
        <v>37567</v>
      </c>
      <c r="W149">
        <v>62</v>
      </c>
      <c r="X149">
        <v>62</v>
      </c>
      <c r="Y149">
        <v>0</v>
      </c>
      <c r="Z149">
        <v>14</v>
      </c>
      <c r="AA149">
        <v>14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806.45</v>
      </c>
      <c r="AK149">
        <v>0</v>
      </c>
      <c r="AL149">
        <v>806.45</v>
      </c>
      <c r="AM149">
        <v>0</v>
      </c>
      <c r="AN149">
        <v>0</v>
      </c>
      <c r="AO149">
        <v>0</v>
      </c>
    </row>
    <row r="150" spans="1:41">
      <c r="A150">
        <v>149</v>
      </c>
      <c r="B150" s="42">
        <v>45937</v>
      </c>
      <c r="C150" t="str">
        <v>HINJEWADI</v>
      </c>
      <c r="D150" t="str">
        <v>SLK1</v>
      </c>
      <c r="E150" t="str">
        <v>SHADOWFAX TECHNOLOGIES PRIVATE LIMITED</v>
      </c>
      <c r="F150" t="str">
        <v>MH14MH6374</v>
      </c>
      <c r="G150" t="str">
        <v>ACE</v>
      </c>
      <c r="H150" t="str">
        <v>CNG</v>
      </c>
      <c r="I150">
        <v>4</v>
      </c>
      <c r="J150">
        <v>8</v>
      </c>
      <c r="K150">
        <v>25000</v>
      </c>
      <c r="L150">
        <v>1000</v>
      </c>
      <c r="M150">
        <v>55</v>
      </c>
      <c r="N150">
        <v>31</v>
      </c>
      <c r="O150" t="str">
        <v>PUN01 NC Cluster 201</v>
      </c>
      <c r="P150">
        <v>0</v>
      </c>
      <c r="Q150">
        <v>3.3333333333333333E-2</v>
      </c>
      <c r="R150">
        <v>0.16153935185185184</v>
      </c>
      <c r="S150">
        <v>6721</v>
      </c>
      <c r="T150">
        <v>0.34447916666666667</v>
      </c>
      <c r="U150">
        <v>0.34453703703703703</v>
      </c>
      <c r="V150">
        <v>6753</v>
      </c>
      <c r="W150">
        <v>35</v>
      </c>
      <c r="X150">
        <v>35</v>
      </c>
      <c r="Y150">
        <v>0</v>
      </c>
      <c r="Z150">
        <v>32</v>
      </c>
      <c r="AA150">
        <v>32</v>
      </c>
      <c r="AB150">
        <v>0</v>
      </c>
      <c r="AC150">
        <v>0</v>
      </c>
      <c r="AD150">
        <v>1</v>
      </c>
      <c r="AE150">
        <v>150</v>
      </c>
      <c r="AF150">
        <v>0</v>
      </c>
      <c r="AG150">
        <v>0</v>
      </c>
      <c r="AH150">
        <v>0</v>
      </c>
      <c r="AI150">
        <v>0</v>
      </c>
      <c r="AJ150">
        <v>956.45</v>
      </c>
      <c r="AK150">
        <v>0</v>
      </c>
      <c r="AL150">
        <v>956.45</v>
      </c>
      <c r="AM150">
        <v>0</v>
      </c>
      <c r="AN150">
        <v>0</v>
      </c>
      <c r="AO150">
        <v>0</v>
      </c>
    </row>
    <row r="151" spans="1:41">
      <c r="A151">
        <v>150</v>
      </c>
      <c r="B151" s="42">
        <v>45937</v>
      </c>
      <c r="C151" t="str">
        <v>HINJEWADI</v>
      </c>
      <c r="D151" t="str">
        <v>SLK1</v>
      </c>
      <c r="E151" t="str">
        <v>SHADOWFAX TECHNOLOGIES PRIVATE LIMITED</v>
      </c>
      <c r="F151" t="str">
        <v>MH14MH8276</v>
      </c>
      <c r="G151" t="str">
        <v>ACE</v>
      </c>
      <c r="H151" t="str">
        <v>CNG</v>
      </c>
      <c r="I151">
        <v>4</v>
      </c>
      <c r="J151">
        <v>8</v>
      </c>
      <c r="K151">
        <v>25000</v>
      </c>
      <c r="L151">
        <v>1000</v>
      </c>
      <c r="M151">
        <v>55</v>
      </c>
      <c r="N151">
        <v>31</v>
      </c>
      <c r="O151" t="str">
        <v>PUN01 NC Cluster 36</v>
      </c>
      <c r="P151">
        <v>0</v>
      </c>
      <c r="Q151">
        <v>3.4722222222222224E-2</v>
      </c>
      <c r="R151">
        <v>0.16299768518518518</v>
      </c>
      <c r="S151">
        <v>3906</v>
      </c>
      <c r="T151">
        <v>0.33416666666666667</v>
      </c>
      <c r="U151">
        <v>0.33424768518518522</v>
      </c>
      <c r="V151">
        <v>3923</v>
      </c>
      <c r="W151">
        <v>38</v>
      </c>
      <c r="X151">
        <v>38</v>
      </c>
      <c r="Y151">
        <v>0</v>
      </c>
      <c r="Z151">
        <v>17</v>
      </c>
      <c r="AA151">
        <v>17</v>
      </c>
      <c r="AB151">
        <v>0</v>
      </c>
      <c r="AC151">
        <v>0</v>
      </c>
      <c r="AD151">
        <v>1</v>
      </c>
      <c r="AE151">
        <v>150</v>
      </c>
      <c r="AF151">
        <v>0</v>
      </c>
      <c r="AG151">
        <v>0</v>
      </c>
      <c r="AH151">
        <v>0</v>
      </c>
      <c r="AI151">
        <v>0</v>
      </c>
      <c r="AJ151">
        <v>956.45</v>
      </c>
      <c r="AK151">
        <v>0</v>
      </c>
      <c r="AL151">
        <v>956.45</v>
      </c>
      <c r="AM151">
        <v>0</v>
      </c>
      <c r="AN151">
        <v>0</v>
      </c>
      <c r="AO151">
        <v>0</v>
      </c>
    </row>
    <row r="152" spans="1:41">
      <c r="A152">
        <v>151</v>
      </c>
      <c r="B152" s="42">
        <v>45937</v>
      </c>
      <c r="C152" t="str">
        <v>HINJEWADI</v>
      </c>
      <c r="D152" t="str">
        <v>SLK1</v>
      </c>
      <c r="E152" t="str">
        <v>SHADOWFAX TECHNOLOGIES PRIVATE LIMITED</v>
      </c>
      <c r="F152" t="str">
        <v>MH20GC8804</v>
      </c>
      <c r="G152" t="str">
        <v>ACE</v>
      </c>
      <c r="H152" t="str">
        <v>CNG</v>
      </c>
      <c r="I152">
        <v>4</v>
      </c>
      <c r="J152">
        <v>8</v>
      </c>
      <c r="K152">
        <v>25000</v>
      </c>
      <c r="L152">
        <v>1000</v>
      </c>
      <c r="M152">
        <v>55</v>
      </c>
      <c r="N152">
        <v>31</v>
      </c>
      <c r="O152" t="str">
        <v>PUN01 NC Cluster 124</v>
      </c>
      <c r="P152">
        <v>0</v>
      </c>
      <c r="Q152">
        <v>0.12083333333333333</v>
      </c>
      <c r="R152">
        <v>0.17917824074074074</v>
      </c>
      <c r="S152">
        <v>40963</v>
      </c>
      <c r="T152">
        <v>0.29446759259259259</v>
      </c>
      <c r="U152">
        <v>0.29462962962962963</v>
      </c>
      <c r="V152">
        <v>40992</v>
      </c>
      <c r="W152">
        <v>52</v>
      </c>
      <c r="X152">
        <v>52</v>
      </c>
      <c r="Y152">
        <v>0</v>
      </c>
      <c r="Z152">
        <v>29</v>
      </c>
      <c r="AA152">
        <v>29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806.45</v>
      </c>
      <c r="AK152">
        <v>0</v>
      </c>
      <c r="AL152">
        <v>806.45</v>
      </c>
      <c r="AM152">
        <v>0</v>
      </c>
      <c r="AN152">
        <v>0</v>
      </c>
      <c r="AO152">
        <v>0</v>
      </c>
    </row>
    <row r="153" spans="1:41">
      <c r="A153">
        <v>152</v>
      </c>
      <c r="B153" s="42">
        <v>45937</v>
      </c>
      <c r="C153" t="str">
        <v>HINJEWADI</v>
      </c>
      <c r="D153" t="str">
        <v>SLK1</v>
      </c>
      <c r="E153" t="str">
        <v>SHADOWFAX TECHNOLOGIES PRIVATE LIMITED</v>
      </c>
      <c r="F153" t="str">
        <v>MH14LL4513</v>
      </c>
      <c r="G153" t="str">
        <v>BOLERO</v>
      </c>
      <c r="H153" t="str">
        <v>DIESEL</v>
      </c>
      <c r="I153">
        <v>4</v>
      </c>
      <c r="J153">
        <v>10</v>
      </c>
      <c r="K153">
        <v>29000</v>
      </c>
      <c r="L153">
        <v>1000</v>
      </c>
      <c r="M153">
        <v>55</v>
      </c>
      <c r="N153">
        <v>31</v>
      </c>
      <c r="O153" t="str">
        <v>PUN01 NC Cluster 101</v>
      </c>
      <c r="P153">
        <v>0</v>
      </c>
      <c r="Q153">
        <v>0.12986111111111112</v>
      </c>
      <c r="R153">
        <v>0.18251157407407406</v>
      </c>
      <c r="S153">
        <v>32303</v>
      </c>
      <c r="T153">
        <v>0.34831018518518514</v>
      </c>
      <c r="U153">
        <v>0.34840277777777778</v>
      </c>
      <c r="V153">
        <v>32320</v>
      </c>
      <c r="W153">
        <v>52</v>
      </c>
      <c r="X153">
        <v>52</v>
      </c>
      <c r="Y153">
        <v>0</v>
      </c>
      <c r="Z153">
        <v>17</v>
      </c>
      <c r="AA153">
        <v>17</v>
      </c>
      <c r="AB153">
        <v>0</v>
      </c>
      <c r="AC153">
        <v>0</v>
      </c>
      <c r="AD153">
        <v>1</v>
      </c>
      <c r="AE153">
        <v>150</v>
      </c>
      <c r="AF153">
        <v>0</v>
      </c>
      <c r="AG153">
        <v>0</v>
      </c>
      <c r="AH153">
        <v>0</v>
      </c>
      <c r="AI153">
        <v>0</v>
      </c>
      <c r="AJ153">
        <v>1085.48</v>
      </c>
      <c r="AK153">
        <v>0</v>
      </c>
      <c r="AL153">
        <v>1085.48</v>
      </c>
      <c r="AM153">
        <v>0</v>
      </c>
      <c r="AN153">
        <v>0</v>
      </c>
      <c r="AO153">
        <v>0</v>
      </c>
    </row>
    <row r="154" spans="1:41">
      <c r="A154">
        <v>153</v>
      </c>
      <c r="B154" s="42">
        <v>45937</v>
      </c>
      <c r="C154" t="str">
        <v>HINJEWADI</v>
      </c>
      <c r="D154" t="str">
        <v>SLK1</v>
      </c>
      <c r="E154" t="str">
        <v>SHADOWFAX TECHNOLOGIES PRIVATE LIMITED</v>
      </c>
      <c r="F154" t="str">
        <v>MH14MH7322</v>
      </c>
      <c r="G154" t="str">
        <v>BOLERO</v>
      </c>
      <c r="H154" t="str">
        <v>DIESEL</v>
      </c>
      <c r="I154">
        <v>4</v>
      </c>
      <c r="J154">
        <v>10</v>
      </c>
      <c r="K154">
        <v>29000</v>
      </c>
      <c r="L154">
        <v>1000</v>
      </c>
      <c r="M154">
        <v>55</v>
      </c>
      <c r="N154">
        <v>31</v>
      </c>
      <c r="O154" t="str">
        <v>PUN01 NC Cluster 209</v>
      </c>
      <c r="P154">
        <v>0</v>
      </c>
      <c r="Q154">
        <v>0.10694444444444444</v>
      </c>
      <c r="R154">
        <v>0.18028935185185183</v>
      </c>
      <c r="S154">
        <v>2771</v>
      </c>
      <c r="T154">
        <v>0.34557870370370369</v>
      </c>
      <c r="U154">
        <v>0.34568287037037032</v>
      </c>
      <c r="V154">
        <v>2808</v>
      </c>
      <c r="W154">
        <v>28</v>
      </c>
      <c r="X154">
        <v>28</v>
      </c>
      <c r="Y154">
        <v>0</v>
      </c>
      <c r="Z154">
        <v>37</v>
      </c>
      <c r="AA154">
        <v>37</v>
      </c>
      <c r="AB154">
        <v>0</v>
      </c>
      <c r="AC154">
        <v>0</v>
      </c>
      <c r="AD154">
        <v>1</v>
      </c>
      <c r="AE154">
        <v>150</v>
      </c>
      <c r="AF154">
        <v>0</v>
      </c>
      <c r="AG154">
        <v>0</v>
      </c>
      <c r="AH154">
        <v>0</v>
      </c>
      <c r="AI154">
        <v>0</v>
      </c>
      <c r="AJ154">
        <v>1085.48</v>
      </c>
      <c r="AK154">
        <v>0</v>
      </c>
      <c r="AL154">
        <v>1085.48</v>
      </c>
      <c r="AM154">
        <v>0</v>
      </c>
      <c r="AN154">
        <v>0</v>
      </c>
      <c r="AO154">
        <v>0</v>
      </c>
    </row>
    <row r="155" spans="1:41">
      <c r="A155">
        <v>154</v>
      </c>
      <c r="B155" s="42">
        <v>45937</v>
      </c>
      <c r="C155" t="str">
        <v>HINJEWADI</v>
      </c>
      <c r="D155" t="str">
        <v>SLK1</v>
      </c>
      <c r="E155" t="str">
        <v>SHADOWFAX TECHNOLOGIES PRIVATE LIMITED</v>
      </c>
      <c r="F155" t="str">
        <v>MH16CD7321</v>
      </c>
      <c r="G155" t="str">
        <v>BOLERO</v>
      </c>
      <c r="H155" t="str">
        <v>DIESEL</v>
      </c>
      <c r="I155">
        <v>4</v>
      </c>
      <c r="J155">
        <v>10</v>
      </c>
      <c r="K155">
        <v>29000</v>
      </c>
      <c r="L155">
        <v>1000</v>
      </c>
      <c r="M155">
        <v>55</v>
      </c>
      <c r="N155">
        <v>31</v>
      </c>
      <c r="O155" t="str">
        <v>PUN01 NC Cluster 24</v>
      </c>
      <c r="P155">
        <v>0</v>
      </c>
      <c r="Q155">
        <v>8.6805555555555566E-2</v>
      </c>
      <c r="R155">
        <v>0.15972222222222224</v>
      </c>
      <c r="S155">
        <v>138790</v>
      </c>
      <c r="T155">
        <v>0.33306712962962964</v>
      </c>
      <c r="U155">
        <v>0.33320601851851855</v>
      </c>
      <c r="V155">
        <v>138818</v>
      </c>
      <c r="W155">
        <v>55</v>
      </c>
      <c r="X155">
        <v>55</v>
      </c>
      <c r="Y155">
        <v>0</v>
      </c>
      <c r="Z155">
        <v>28</v>
      </c>
      <c r="AA155">
        <v>28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935.48</v>
      </c>
      <c r="AK155">
        <v>0</v>
      </c>
      <c r="AL155">
        <v>935.48</v>
      </c>
      <c r="AM155">
        <v>0</v>
      </c>
      <c r="AN155">
        <v>0</v>
      </c>
      <c r="AO155">
        <v>0</v>
      </c>
    </row>
    <row r="156" spans="1:41">
      <c r="A156">
        <v>155</v>
      </c>
      <c r="B156" s="42">
        <v>45938</v>
      </c>
      <c r="C156" t="str">
        <v>HINJEWADI</v>
      </c>
      <c r="D156" t="str">
        <v>SLK1</v>
      </c>
      <c r="E156" t="str">
        <v>SHADOWFAX TECHNOLOGIES PRIVATE LIMITED</v>
      </c>
      <c r="F156" t="str">
        <v>MH03AH8989</v>
      </c>
      <c r="G156" t="str">
        <v>ACE</v>
      </c>
      <c r="H156" t="str">
        <v>CNG</v>
      </c>
      <c r="I156">
        <v>4</v>
      </c>
      <c r="J156">
        <v>8</v>
      </c>
      <c r="K156">
        <v>25000</v>
      </c>
      <c r="L156">
        <v>1000</v>
      </c>
      <c r="M156">
        <v>55</v>
      </c>
      <c r="N156">
        <v>31</v>
      </c>
      <c r="O156" t="str">
        <v>PUN01 NC Cluster 61</v>
      </c>
      <c r="P156">
        <v>0</v>
      </c>
      <c r="Q156">
        <v>5.347222222222222E-2</v>
      </c>
      <c r="R156">
        <v>0.1922800925925926</v>
      </c>
      <c r="S156">
        <v>55845</v>
      </c>
      <c r="T156">
        <v>0.37041666666666667</v>
      </c>
      <c r="U156">
        <v>0.3706712962962963</v>
      </c>
      <c r="V156">
        <v>55875</v>
      </c>
      <c r="W156">
        <v>31</v>
      </c>
      <c r="X156">
        <v>31</v>
      </c>
      <c r="Y156">
        <v>0</v>
      </c>
      <c r="Z156">
        <v>30</v>
      </c>
      <c r="AA156">
        <v>30</v>
      </c>
      <c r="AB156">
        <v>0</v>
      </c>
      <c r="AC156">
        <v>0</v>
      </c>
      <c r="AD156">
        <v>1</v>
      </c>
      <c r="AE156">
        <v>150</v>
      </c>
      <c r="AF156">
        <v>0</v>
      </c>
      <c r="AG156">
        <v>0</v>
      </c>
      <c r="AH156">
        <v>0</v>
      </c>
      <c r="AI156">
        <v>0</v>
      </c>
      <c r="AJ156">
        <v>956.45</v>
      </c>
      <c r="AK156">
        <v>0</v>
      </c>
      <c r="AL156">
        <v>956.45</v>
      </c>
      <c r="AM156">
        <v>0</v>
      </c>
      <c r="AN156">
        <v>0</v>
      </c>
      <c r="AO156">
        <v>0</v>
      </c>
    </row>
    <row r="157" spans="1:41">
      <c r="A157">
        <v>156</v>
      </c>
      <c r="B157" s="42">
        <v>45938</v>
      </c>
      <c r="C157" t="str">
        <v>HINJEWADI</v>
      </c>
      <c r="D157" t="str">
        <v>SLK1</v>
      </c>
      <c r="E157" t="str">
        <v>SHADOWFAX TECHNOLOGIES PRIVATE LIMITED</v>
      </c>
      <c r="F157" t="str">
        <v>MH12RN4983</v>
      </c>
      <c r="G157" t="str">
        <v>ACE</v>
      </c>
      <c r="H157" t="str">
        <v>CNG</v>
      </c>
      <c r="I157">
        <v>4</v>
      </c>
      <c r="J157">
        <v>8</v>
      </c>
      <c r="K157">
        <v>25000</v>
      </c>
      <c r="L157">
        <v>1000</v>
      </c>
      <c r="M157">
        <v>55</v>
      </c>
      <c r="N157">
        <v>31</v>
      </c>
      <c r="O157" t="str">
        <v>PUN01 NC Cluster 38</v>
      </c>
      <c r="P157">
        <v>0</v>
      </c>
      <c r="Q157">
        <v>6.3194444444444442E-2</v>
      </c>
      <c r="R157">
        <v>0.26228009259259261</v>
      </c>
      <c r="S157">
        <v>191214</v>
      </c>
      <c r="T157">
        <v>0.271400462962963</v>
      </c>
      <c r="U157">
        <v>0.27157407407407408</v>
      </c>
      <c r="V157">
        <v>191224</v>
      </c>
      <c r="W157">
        <v>0</v>
      </c>
      <c r="X157">
        <v>0</v>
      </c>
      <c r="Y157">
        <v>0</v>
      </c>
      <c r="Z157">
        <v>10</v>
      </c>
      <c r="AA157">
        <v>10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806.45</v>
      </c>
      <c r="AK157">
        <v>0</v>
      </c>
      <c r="AL157">
        <v>806.45</v>
      </c>
      <c r="AM157">
        <v>0</v>
      </c>
      <c r="AN157">
        <v>0</v>
      </c>
      <c r="AO157">
        <v>0</v>
      </c>
    </row>
    <row r="158" spans="1:41">
      <c r="A158">
        <v>157</v>
      </c>
      <c r="B158" s="42">
        <v>45938</v>
      </c>
      <c r="C158" t="str">
        <v>HINJEWADI</v>
      </c>
      <c r="D158" t="str">
        <v>SLK1</v>
      </c>
      <c r="E158" t="str">
        <v>SHADOWFAX TECHNOLOGIES PRIVATE LIMITED</v>
      </c>
      <c r="F158" t="str">
        <v>MH12SF9859</v>
      </c>
      <c r="G158" t="str">
        <v>ACE</v>
      </c>
      <c r="H158" t="str">
        <v>CNG</v>
      </c>
      <c r="I158">
        <v>4</v>
      </c>
      <c r="J158">
        <v>8</v>
      </c>
      <c r="K158">
        <v>25000</v>
      </c>
      <c r="L158">
        <v>1000</v>
      </c>
      <c r="M158">
        <v>55</v>
      </c>
      <c r="N158">
        <v>31</v>
      </c>
      <c r="O158" t="str">
        <v>PUN01 NC Cluster 148</v>
      </c>
      <c r="P158">
        <v>0</v>
      </c>
      <c r="Q158">
        <v>4.8611111111111112E-2</v>
      </c>
      <c r="R158">
        <v>0.20381944444444444</v>
      </c>
      <c r="S158">
        <v>109819</v>
      </c>
      <c r="T158">
        <v>0.29380787037037037</v>
      </c>
      <c r="U158">
        <v>0.29401620370370368</v>
      </c>
      <c r="V158">
        <v>109840</v>
      </c>
      <c r="W158">
        <v>35</v>
      </c>
      <c r="X158">
        <v>35</v>
      </c>
      <c r="Y158">
        <v>0</v>
      </c>
      <c r="Z158">
        <v>21</v>
      </c>
      <c r="AA158">
        <v>21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806.45</v>
      </c>
      <c r="AK158">
        <v>0</v>
      </c>
      <c r="AL158">
        <v>806.45</v>
      </c>
      <c r="AM158">
        <v>0</v>
      </c>
      <c r="AN158">
        <v>0</v>
      </c>
      <c r="AO158">
        <v>0</v>
      </c>
    </row>
    <row r="159" spans="1:41">
      <c r="A159">
        <v>158</v>
      </c>
      <c r="B159" s="42">
        <v>45938</v>
      </c>
      <c r="C159" t="str">
        <v>HINJEWADI</v>
      </c>
      <c r="D159" t="str">
        <v>SLK1</v>
      </c>
      <c r="E159" t="str">
        <v>SHADOWFAX TECHNOLOGIES PRIVATE LIMITED</v>
      </c>
      <c r="F159" t="str">
        <v>MH12UM3063</v>
      </c>
      <c r="G159" t="str">
        <v>ACE</v>
      </c>
      <c r="H159" t="str">
        <v>CNG</v>
      </c>
      <c r="I159">
        <v>6</v>
      </c>
      <c r="J159">
        <v>8</v>
      </c>
      <c r="K159">
        <v>33000</v>
      </c>
      <c r="L159">
        <v>2000</v>
      </c>
      <c r="M159">
        <v>55</v>
      </c>
      <c r="N159">
        <v>31</v>
      </c>
      <c r="O159" t="str">
        <v>PUN01 NC Cluster 229</v>
      </c>
      <c r="P159">
        <v>0</v>
      </c>
      <c r="Q159">
        <v>7.7777777777777779E-2</v>
      </c>
      <c r="R159">
        <v>0.19703703703703704</v>
      </c>
      <c r="S159">
        <v>99049</v>
      </c>
      <c r="T159">
        <v>0.41604166666666664</v>
      </c>
      <c r="U159">
        <v>0.41609953703703706</v>
      </c>
      <c r="V159">
        <v>99090</v>
      </c>
      <c r="W159">
        <v>24</v>
      </c>
      <c r="X159">
        <v>31</v>
      </c>
      <c r="Y159">
        <v>-7</v>
      </c>
      <c r="Z159">
        <v>41</v>
      </c>
      <c r="AA159">
        <v>41</v>
      </c>
      <c r="AB159">
        <v>0</v>
      </c>
      <c r="AC159">
        <v>0</v>
      </c>
      <c r="AD159">
        <v>1</v>
      </c>
      <c r="AE159">
        <v>150</v>
      </c>
      <c r="AF159">
        <v>0</v>
      </c>
      <c r="AG159">
        <v>0</v>
      </c>
      <c r="AH159">
        <v>0</v>
      </c>
      <c r="AI159">
        <v>0</v>
      </c>
      <c r="AJ159">
        <v>1214.52</v>
      </c>
      <c r="AK159">
        <v>0</v>
      </c>
      <c r="AL159">
        <v>1214.52</v>
      </c>
      <c r="AM159">
        <v>0</v>
      </c>
      <c r="AN159">
        <v>0</v>
      </c>
      <c r="AO159">
        <v>0</v>
      </c>
    </row>
    <row r="160" spans="1:41">
      <c r="A160">
        <v>159</v>
      </c>
      <c r="B160" s="42">
        <v>45938</v>
      </c>
      <c r="C160" t="str">
        <v>HINJEWADI</v>
      </c>
      <c r="D160" t="str">
        <v>SLK1</v>
      </c>
      <c r="E160" t="str">
        <v>SHADOWFAX TECHNOLOGIES PRIVATE LIMITED</v>
      </c>
      <c r="F160" t="str">
        <v>MH12VF3782</v>
      </c>
      <c r="G160" t="str">
        <v>ACE</v>
      </c>
      <c r="H160" t="str">
        <v>CNG</v>
      </c>
      <c r="I160">
        <v>4</v>
      </c>
      <c r="J160">
        <v>8</v>
      </c>
      <c r="K160">
        <v>25000</v>
      </c>
      <c r="L160">
        <v>1000</v>
      </c>
      <c r="M160">
        <v>55</v>
      </c>
      <c r="N160">
        <v>31</v>
      </c>
      <c r="O160" t="str">
        <v>PUN01 NC Cluster 1</v>
      </c>
      <c r="P160">
        <v>0</v>
      </c>
      <c r="Q160">
        <v>0.12708333333333333</v>
      </c>
      <c r="R160">
        <v>0.28966435185185185</v>
      </c>
      <c r="S160">
        <v>83554</v>
      </c>
      <c r="T160">
        <v>0.28976851851851854</v>
      </c>
      <c r="U160">
        <v>0.28983796296296299</v>
      </c>
      <c r="V160">
        <v>83554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806.45</v>
      </c>
      <c r="AK160">
        <v>0</v>
      </c>
      <c r="AL160">
        <v>806.45</v>
      </c>
      <c r="AM160">
        <v>0</v>
      </c>
      <c r="AN160">
        <v>0</v>
      </c>
      <c r="AO160">
        <v>0</v>
      </c>
    </row>
    <row r="161" spans="1:41">
      <c r="A161">
        <v>160</v>
      </c>
      <c r="B161" s="42">
        <v>45938</v>
      </c>
      <c r="C161" t="str">
        <v>HINJEWADI</v>
      </c>
      <c r="D161" t="str">
        <v>SLK1</v>
      </c>
      <c r="E161" t="str">
        <v>SHADOWFAX TECHNOLOGIES PRIVATE LIMITED</v>
      </c>
      <c r="F161" t="str">
        <v>MH12WX6236</v>
      </c>
      <c r="G161" t="str">
        <v>ACE</v>
      </c>
      <c r="H161" t="str">
        <v>CNG</v>
      </c>
      <c r="I161">
        <v>4</v>
      </c>
      <c r="J161">
        <v>8</v>
      </c>
      <c r="K161">
        <v>25000</v>
      </c>
      <c r="L161">
        <v>1000</v>
      </c>
      <c r="M161">
        <v>55</v>
      </c>
      <c r="N161">
        <v>31</v>
      </c>
      <c r="O161" t="str">
        <v>PUN01 NC Cluster 125A</v>
      </c>
      <c r="P161">
        <v>0</v>
      </c>
      <c r="Q161">
        <v>4.9305555555555554E-2</v>
      </c>
      <c r="R161">
        <v>0.19931712962962964</v>
      </c>
      <c r="S161">
        <v>37198</v>
      </c>
      <c r="T161">
        <v>0.36052083333333335</v>
      </c>
      <c r="U161">
        <v>0.3752314814814815</v>
      </c>
      <c r="V161">
        <v>37198</v>
      </c>
      <c r="W161">
        <v>31</v>
      </c>
      <c r="X161">
        <v>33</v>
      </c>
      <c r="Y161">
        <v>-2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150</v>
      </c>
      <c r="AF161">
        <v>0</v>
      </c>
      <c r="AG161">
        <v>0</v>
      </c>
      <c r="AH161">
        <v>0</v>
      </c>
      <c r="AI161">
        <v>0</v>
      </c>
      <c r="AJ161">
        <v>956.45</v>
      </c>
      <c r="AK161">
        <v>0</v>
      </c>
      <c r="AL161">
        <v>956.45</v>
      </c>
      <c r="AM161">
        <v>0</v>
      </c>
      <c r="AN161">
        <v>0</v>
      </c>
      <c r="AO161">
        <v>0</v>
      </c>
    </row>
    <row r="162" spans="1:41">
      <c r="A162">
        <v>161</v>
      </c>
      <c r="B162" s="42">
        <v>45938</v>
      </c>
      <c r="C162" t="str">
        <v>HINJEWADI</v>
      </c>
      <c r="D162" t="str">
        <v>SLK1</v>
      </c>
      <c r="E162" t="str">
        <v>SHADOWFAX TECHNOLOGIES PRIVATE LIMITED</v>
      </c>
      <c r="F162" t="str">
        <v>MH12XM2801</v>
      </c>
      <c r="G162" t="str">
        <v>ACE</v>
      </c>
      <c r="H162" t="str">
        <v>CNG</v>
      </c>
      <c r="I162">
        <v>4</v>
      </c>
      <c r="J162">
        <v>8</v>
      </c>
      <c r="K162">
        <v>25000</v>
      </c>
      <c r="L162">
        <v>1000</v>
      </c>
      <c r="M162">
        <v>55</v>
      </c>
      <c r="N162">
        <v>31</v>
      </c>
      <c r="O162" t="str">
        <v>PUN01 NC Cluster 68</v>
      </c>
      <c r="P162">
        <v>0</v>
      </c>
      <c r="Q162">
        <v>0.11875000000000001</v>
      </c>
      <c r="R162">
        <v>0.19427083333333331</v>
      </c>
      <c r="S162">
        <v>11422</v>
      </c>
      <c r="T162">
        <v>0.37706018518518519</v>
      </c>
      <c r="U162">
        <v>0.37722222222222218</v>
      </c>
      <c r="V162">
        <v>11444</v>
      </c>
      <c r="W162">
        <v>61</v>
      </c>
      <c r="X162">
        <v>61</v>
      </c>
      <c r="Y162">
        <v>0</v>
      </c>
      <c r="Z162">
        <v>22</v>
      </c>
      <c r="AA162">
        <v>22</v>
      </c>
      <c r="AB162">
        <v>0</v>
      </c>
      <c r="AC162">
        <v>0</v>
      </c>
      <c r="AD162">
        <v>2</v>
      </c>
      <c r="AE162">
        <v>300</v>
      </c>
      <c r="AF162">
        <v>0</v>
      </c>
      <c r="AG162">
        <v>0</v>
      </c>
      <c r="AH162">
        <v>0</v>
      </c>
      <c r="AI162">
        <v>0</v>
      </c>
      <c r="AJ162">
        <v>1106.45</v>
      </c>
      <c r="AK162">
        <v>0</v>
      </c>
      <c r="AL162">
        <v>1106.45</v>
      </c>
      <c r="AM162">
        <v>0</v>
      </c>
      <c r="AN162">
        <v>0</v>
      </c>
      <c r="AO162">
        <v>0</v>
      </c>
    </row>
    <row r="163" spans="1:41">
      <c r="A163">
        <v>162</v>
      </c>
      <c r="B163" s="42">
        <v>45938</v>
      </c>
      <c r="C163" t="str">
        <v>HINJEWADI</v>
      </c>
      <c r="D163" t="str">
        <v>SLK1</v>
      </c>
      <c r="E163" t="str">
        <v>SHADOWFAX TECHNOLOGIES PRIVATE LIMITED</v>
      </c>
      <c r="F163" t="str">
        <v>MH14CP4610</v>
      </c>
      <c r="G163" t="str">
        <v>ACE</v>
      </c>
      <c r="H163" t="str">
        <v>CNG</v>
      </c>
      <c r="I163">
        <v>4</v>
      </c>
      <c r="J163">
        <v>8</v>
      </c>
      <c r="K163">
        <v>25000</v>
      </c>
      <c r="L163">
        <v>1000</v>
      </c>
      <c r="M163">
        <v>55</v>
      </c>
      <c r="N163">
        <v>31</v>
      </c>
      <c r="O163" t="str">
        <v>PUN01 NC Cluster 87</v>
      </c>
      <c r="P163">
        <v>0</v>
      </c>
      <c r="Q163">
        <v>9.2361111111111116E-2</v>
      </c>
      <c r="R163">
        <v>0.1973263888888889</v>
      </c>
      <c r="S163">
        <v>145190</v>
      </c>
      <c r="T163">
        <v>0.3536111111111111</v>
      </c>
      <c r="U163">
        <v>0.35375000000000001</v>
      </c>
      <c r="V163">
        <v>145213</v>
      </c>
      <c r="W163">
        <v>30</v>
      </c>
      <c r="X163">
        <v>30</v>
      </c>
      <c r="Y163">
        <v>0</v>
      </c>
      <c r="Z163">
        <v>23</v>
      </c>
      <c r="AA163">
        <v>23</v>
      </c>
      <c r="AB163">
        <v>0</v>
      </c>
      <c r="AC163">
        <v>0</v>
      </c>
      <c r="AD163">
        <v>1</v>
      </c>
      <c r="AE163">
        <v>150</v>
      </c>
      <c r="AF163">
        <v>0</v>
      </c>
      <c r="AG163">
        <v>0</v>
      </c>
      <c r="AH163">
        <v>0</v>
      </c>
      <c r="AI163">
        <v>0</v>
      </c>
      <c r="AJ163">
        <v>956.45</v>
      </c>
      <c r="AK163">
        <v>0</v>
      </c>
      <c r="AL163">
        <v>956.45</v>
      </c>
      <c r="AM163">
        <v>0</v>
      </c>
      <c r="AN163">
        <v>0</v>
      </c>
      <c r="AO163">
        <v>0</v>
      </c>
    </row>
    <row r="164" spans="1:41">
      <c r="A164">
        <v>163</v>
      </c>
      <c r="B164" s="42">
        <v>45938</v>
      </c>
      <c r="C164" t="str">
        <v>HINJEWADI</v>
      </c>
      <c r="D164" t="str">
        <v>SLK1</v>
      </c>
      <c r="E164" t="str">
        <v>SHADOWFAX TECHNOLOGIES PRIVATE LIMITED</v>
      </c>
      <c r="F164" t="str">
        <v>MH14KA0766</v>
      </c>
      <c r="G164" t="str">
        <v>ACE</v>
      </c>
      <c r="H164" t="str">
        <v>CNG</v>
      </c>
      <c r="I164">
        <v>4</v>
      </c>
      <c r="J164">
        <v>8</v>
      </c>
      <c r="K164">
        <v>25000</v>
      </c>
      <c r="L164">
        <v>1000</v>
      </c>
      <c r="M164">
        <v>55</v>
      </c>
      <c r="N164">
        <v>31</v>
      </c>
      <c r="O164" t="str">
        <v>PUN01 NC Cluster 10</v>
      </c>
      <c r="P164">
        <v>0</v>
      </c>
      <c r="Q164">
        <v>5.2777777777777778E-2</v>
      </c>
      <c r="R164">
        <v>0.19575231481481481</v>
      </c>
      <c r="S164">
        <v>142455</v>
      </c>
      <c r="T164">
        <v>0.36364583333333328</v>
      </c>
      <c r="U164">
        <v>0.36376157407407406</v>
      </c>
      <c r="V164">
        <v>142476</v>
      </c>
      <c r="W164">
        <v>54</v>
      </c>
      <c r="X164">
        <v>54</v>
      </c>
      <c r="Y164">
        <v>0</v>
      </c>
      <c r="Z164">
        <v>21</v>
      </c>
      <c r="AA164">
        <v>21</v>
      </c>
      <c r="AB164">
        <v>0</v>
      </c>
      <c r="AC164">
        <v>0</v>
      </c>
      <c r="AD164">
        <v>1</v>
      </c>
      <c r="AE164">
        <v>150</v>
      </c>
      <c r="AF164">
        <v>0</v>
      </c>
      <c r="AG164">
        <v>0</v>
      </c>
      <c r="AH164">
        <v>0</v>
      </c>
      <c r="AI164">
        <v>0</v>
      </c>
      <c r="AJ164">
        <v>956.45</v>
      </c>
      <c r="AK164">
        <v>0</v>
      </c>
      <c r="AL164">
        <v>956.45</v>
      </c>
      <c r="AM164">
        <v>0</v>
      </c>
      <c r="AN164">
        <v>0</v>
      </c>
      <c r="AO164">
        <v>0</v>
      </c>
    </row>
    <row r="165" spans="1:41">
      <c r="A165">
        <v>164</v>
      </c>
      <c r="B165" s="42">
        <v>45938</v>
      </c>
      <c r="C165" t="str">
        <v>HINJEWADI</v>
      </c>
      <c r="D165" t="str">
        <v>SLK1</v>
      </c>
      <c r="E165" t="str">
        <v>SHADOWFAX TECHNOLOGIES PRIVATE LIMITED</v>
      </c>
      <c r="F165" t="str">
        <v>MH14KA1228</v>
      </c>
      <c r="G165" t="str">
        <v>ACE</v>
      </c>
      <c r="H165" t="str">
        <v>CNG</v>
      </c>
      <c r="I165">
        <v>4</v>
      </c>
      <c r="J165">
        <v>8</v>
      </c>
      <c r="K165">
        <v>25000</v>
      </c>
      <c r="L165">
        <v>1000</v>
      </c>
      <c r="M165">
        <v>55</v>
      </c>
      <c r="N165">
        <v>31</v>
      </c>
      <c r="O165" t="str">
        <v>PUN01 NC Cluster 201</v>
      </c>
      <c r="P165">
        <v>0</v>
      </c>
      <c r="Q165">
        <v>0.14444444444444446</v>
      </c>
      <c r="R165">
        <v>0.20680555555555555</v>
      </c>
      <c r="S165">
        <v>158523</v>
      </c>
      <c r="T165">
        <v>0.35451388888888885</v>
      </c>
      <c r="U165">
        <v>0.35474537037037041</v>
      </c>
      <c r="V165">
        <v>158546</v>
      </c>
      <c r="W165">
        <v>44</v>
      </c>
      <c r="X165">
        <v>44</v>
      </c>
      <c r="Y165">
        <v>0</v>
      </c>
      <c r="Z165">
        <v>23</v>
      </c>
      <c r="AA165">
        <v>23</v>
      </c>
      <c r="AB165">
        <v>0</v>
      </c>
      <c r="AC165">
        <v>0</v>
      </c>
      <c r="AD165">
        <v>1</v>
      </c>
      <c r="AE165">
        <v>150</v>
      </c>
      <c r="AF165">
        <v>0</v>
      </c>
      <c r="AG165">
        <v>0</v>
      </c>
      <c r="AH165">
        <v>0</v>
      </c>
      <c r="AI165">
        <v>0</v>
      </c>
      <c r="AJ165">
        <v>956.45</v>
      </c>
      <c r="AK165">
        <v>0</v>
      </c>
      <c r="AL165">
        <v>956.45</v>
      </c>
      <c r="AM165">
        <v>0</v>
      </c>
      <c r="AN165">
        <v>0</v>
      </c>
      <c r="AO165">
        <v>0</v>
      </c>
    </row>
    <row r="166" spans="1:41">
      <c r="A166">
        <v>165</v>
      </c>
      <c r="B166" s="42">
        <v>45938</v>
      </c>
      <c r="C166" t="str">
        <v>HINJEWADI</v>
      </c>
      <c r="D166" t="str">
        <v>SLK1</v>
      </c>
      <c r="E166" t="str">
        <v>SHADOWFAX TECHNOLOGIES PRIVATE LIMITED</v>
      </c>
      <c r="F166" t="str">
        <v>MH14KA1873</v>
      </c>
      <c r="G166" t="str">
        <v>ACE</v>
      </c>
      <c r="H166" t="str">
        <v>CNG</v>
      </c>
      <c r="I166">
        <v>4</v>
      </c>
      <c r="J166">
        <v>8</v>
      </c>
      <c r="K166">
        <v>25000</v>
      </c>
      <c r="L166">
        <v>1000</v>
      </c>
      <c r="M166">
        <v>55</v>
      </c>
      <c r="N166">
        <v>31</v>
      </c>
      <c r="O166" t="str">
        <v>PUN01 NC Cluster 38</v>
      </c>
      <c r="P166">
        <v>0</v>
      </c>
      <c r="Q166">
        <v>5.6250000000000001E-2</v>
      </c>
      <c r="R166">
        <v>0.19530092592592593</v>
      </c>
      <c r="S166">
        <v>112583</v>
      </c>
      <c r="T166">
        <v>0.34392361111111108</v>
      </c>
      <c r="U166">
        <v>0.34406249999999999</v>
      </c>
      <c r="V166">
        <v>112598</v>
      </c>
      <c r="W166">
        <v>55</v>
      </c>
      <c r="X166">
        <v>55</v>
      </c>
      <c r="Y166">
        <v>0</v>
      </c>
      <c r="Z166">
        <v>15</v>
      </c>
      <c r="AA166">
        <v>15</v>
      </c>
      <c r="AB166">
        <v>0</v>
      </c>
      <c r="AC166">
        <v>0</v>
      </c>
      <c r="AD166">
        <v>1</v>
      </c>
      <c r="AE166">
        <v>150</v>
      </c>
      <c r="AF166">
        <v>0</v>
      </c>
      <c r="AG166">
        <v>0</v>
      </c>
      <c r="AH166">
        <v>0</v>
      </c>
      <c r="AI166">
        <v>0</v>
      </c>
      <c r="AJ166">
        <v>956.45</v>
      </c>
      <c r="AK166">
        <v>0</v>
      </c>
      <c r="AL166">
        <v>956.45</v>
      </c>
      <c r="AM166">
        <v>0</v>
      </c>
      <c r="AN166">
        <v>0</v>
      </c>
      <c r="AO166">
        <v>0</v>
      </c>
    </row>
    <row r="167" spans="1:41">
      <c r="A167">
        <v>166</v>
      </c>
      <c r="B167" s="42">
        <v>45938</v>
      </c>
      <c r="C167" t="str">
        <v>HINJEWADI</v>
      </c>
      <c r="D167" t="str">
        <v>SLK1</v>
      </c>
      <c r="E167" t="str">
        <v>SHADOWFAX TECHNOLOGIES PRIVATE LIMITED</v>
      </c>
      <c r="F167" t="str">
        <v>MH14KA6513</v>
      </c>
      <c r="G167" t="str">
        <v>ACE</v>
      </c>
      <c r="H167" t="str">
        <v>CNG</v>
      </c>
      <c r="I167">
        <v>6</v>
      </c>
      <c r="J167">
        <v>8</v>
      </c>
      <c r="K167">
        <v>33000</v>
      </c>
      <c r="L167">
        <v>2000</v>
      </c>
      <c r="M167">
        <v>55</v>
      </c>
      <c r="N167">
        <v>31</v>
      </c>
      <c r="O167" t="str">
        <v>PUN01 NC Cluster 299</v>
      </c>
      <c r="P167">
        <v>0</v>
      </c>
      <c r="Q167">
        <v>6.9444444444444434E-2</v>
      </c>
      <c r="R167">
        <v>0.19893518518518519</v>
      </c>
      <c r="S167">
        <v>47389</v>
      </c>
      <c r="T167">
        <v>0.41692129629629626</v>
      </c>
      <c r="U167">
        <v>0.41704861111111113</v>
      </c>
      <c r="V167">
        <v>47475</v>
      </c>
      <c r="W167">
        <v>45</v>
      </c>
      <c r="X167">
        <v>22</v>
      </c>
      <c r="Y167">
        <v>23</v>
      </c>
      <c r="Z167">
        <v>86</v>
      </c>
      <c r="AA167">
        <v>86</v>
      </c>
      <c r="AB167">
        <v>0</v>
      </c>
      <c r="AC167">
        <v>0</v>
      </c>
      <c r="AD167">
        <v>1</v>
      </c>
      <c r="AE167">
        <v>150</v>
      </c>
      <c r="AF167">
        <v>0</v>
      </c>
      <c r="AG167">
        <v>0</v>
      </c>
      <c r="AH167">
        <v>0</v>
      </c>
      <c r="AI167">
        <v>0</v>
      </c>
      <c r="AJ167">
        <v>1214.52</v>
      </c>
      <c r="AK167">
        <v>0</v>
      </c>
      <c r="AL167">
        <v>1214.52</v>
      </c>
      <c r="AM167">
        <v>0</v>
      </c>
      <c r="AN167">
        <v>0</v>
      </c>
      <c r="AO167">
        <v>0</v>
      </c>
    </row>
    <row r="168" spans="1:41">
      <c r="A168">
        <v>167</v>
      </c>
      <c r="B168" s="42">
        <v>45938</v>
      </c>
      <c r="C168" t="str">
        <v>HINJEWADI</v>
      </c>
      <c r="D168" t="str">
        <v>SLK1</v>
      </c>
      <c r="E168" t="str">
        <v>SHADOWFAX TECHNOLOGIES PRIVATE LIMITED</v>
      </c>
      <c r="F168" t="str">
        <v>MH14KA6730</v>
      </c>
      <c r="G168" t="str">
        <v>ACE</v>
      </c>
      <c r="H168" t="str">
        <v>CNG</v>
      </c>
      <c r="I168">
        <v>4</v>
      </c>
      <c r="J168">
        <v>8</v>
      </c>
      <c r="K168">
        <v>25000</v>
      </c>
      <c r="L168">
        <v>1000</v>
      </c>
      <c r="M168">
        <v>55</v>
      </c>
      <c r="N168">
        <v>31</v>
      </c>
      <c r="O168" t="str">
        <v>PUN01 NC Cluster 59</v>
      </c>
      <c r="P168">
        <v>0</v>
      </c>
      <c r="Q168">
        <v>5.5555555555555552E-2</v>
      </c>
      <c r="R168">
        <v>0.19452546296296294</v>
      </c>
      <c r="S168">
        <v>86742</v>
      </c>
      <c r="T168">
        <v>0.35975694444444445</v>
      </c>
      <c r="U168">
        <v>0.35984953703703698</v>
      </c>
      <c r="V168">
        <v>86761</v>
      </c>
      <c r="W168">
        <v>24</v>
      </c>
      <c r="X168">
        <v>24</v>
      </c>
      <c r="Y168">
        <v>0</v>
      </c>
      <c r="Z168">
        <v>19</v>
      </c>
      <c r="AA168">
        <v>19</v>
      </c>
      <c r="AB168">
        <v>0</v>
      </c>
      <c r="AC168">
        <v>0</v>
      </c>
      <c r="AD168">
        <v>1</v>
      </c>
      <c r="AE168">
        <v>150</v>
      </c>
      <c r="AF168">
        <v>0</v>
      </c>
      <c r="AG168">
        <v>0</v>
      </c>
      <c r="AH168">
        <v>0</v>
      </c>
      <c r="AI168">
        <v>0</v>
      </c>
      <c r="AJ168">
        <v>956.45</v>
      </c>
      <c r="AK168">
        <v>0</v>
      </c>
      <c r="AL168">
        <v>956.45</v>
      </c>
      <c r="AM168">
        <v>0</v>
      </c>
      <c r="AN168">
        <v>0</v>
      </c>
      <c r="AO168">
        <v>0</v>
      </c>
    </row>
    <row r="169" spans="1:41">
      <c r="A169">
        <v>168</v>
      </c>
      <c r="B169" s="42">
        <v>45938</v>
      </c>
      <c r="C169" t="str">
        <v>HINJEWADI</v>
      </c>
      <c r="D169" t="str">
        <v>SLK1</v>
      </c>
      <c r="E169" t="str">
        <v>SHADOWFAX TECHNOLOGIES PRIVATE LIMITED</v>
      </c>
      <c r="F169" t="str">
        <v>MH14KQ0279</v>
      </c>
      <c r="G169" t="str">
        <v>ACE</v>
      </c>
      <c r="H169" t="str">
        <v>CNG</v>
      </c>
      <c r="I169">
        <v>4</v>
      </c>
      <c r="J169">
        <v>8</v>
      </c>
      <c r="K169">
        <v>25000</v>
      </c>
      <c r="L169">
        <v>1000</v>
      </c>
      <c r="M169">
        <v>55</v>
      </c>
      <c r="N169">
        <v>31</v>
      </c>
      <c r="O169" t="str">
        <v>PUN01 NC Cluster 121</v>
      </c>
      <c r="P169">
        <v>0</v>
      </c>
      <c r="Q169">
        <v>0.13055555555555556</v>
      </c>
      <c r="R169">
        <v>0.20653935185185182</v>
      </c>
      <c r="S169">
        <v>117551</v>
      </c>
      <c r="T169">
        <v>0.34748842592592594</v>
      </c>
      <c r="U169">
        <v>0.34761574074074075</v>
      </c>
      <c r="V169">
        <v>117589</v>
      </c>
      <c r="W169">
        <v>29</v>
      </c>
      <c r="X169">
        <v>29</v>
      </c>
      <c r="Y169">
        <v>0</v>
      </c>
      <c r="Z169">
        <v>38</v>
      </c>
      <c r="AA169">
        <v>38</v>
      </c>
      <c r="AB169">
        <v>0</v>
      </c>
      <c r="AC169">
        <v>0</v>
      </c>
      <c r="AD169">
        <v>1</v>
      </c>
      <c r="AE169">
        <v>150</v>
      </c>
      <c r="AF169">
        <v>0</v>
      </c>
      <c r="AG169">
        <v>0</v>
      </c>
      <c r="AH169">
        <v>0</v>
      </c>
      <c r="AI169">
        <v>0</v>
      </c>
      <c r="AJ169">
        <v>956.45</v>
      </c>
      <c r="AK169">
        <v>0</v>
      </c>
      <c r="AL169">
        <v>956.45</v>
      </c>
      <c r="AM169">
        <v>0</v>
      </c>
      <c r="AN169">
        <v>0</v>
      </c>
      <c r="AO169">
        <v>0</v>
      </c>
    </row>
    <row r="170" spans="1:41">
      <c r="A170">
        <v>169</v>
      </c>
      <c r="B170" s="42">
        <v>45938</v>
      </c>
      <c r="C170" t="str">
        <v>HINJEWADI</v>
      </c>
      <c r="D170" t="str">
        <v>SLK1</v>
      </c>
      <c r="E170" t="str">
        <v>SHADOWFAX TECHNOLOGIES PRIVATE LIMITED</v>
      </c>
      <c r="F170" t="str">
        <v>MH14KQ4401</v>
      </c>
      <c r="G170" t="str">
        <v>ACE</v>
      </c>
      <c r="H170" t="str">
        <v>CNG</v>
      </c>
      <c r="I170">
        <v>4</v>
      </c>
      <c r="J170">
        <v>8</v>
      </c>
      <c r="K170">
        <v>25000</v>
      </c>
      <c r="L170">
        <v>1000</v>
      </c>
      <c r="M170">
        <v>55</v>
      </c>
      <c r="N170">
        <v>31</v>
      </c>
      <c r="O170" t="str">
        <v>PUN01 NC Cluster 15</v>
      </c>
      <c r="P170">
        <v>0</v>
      </c>
      <c r="Q170">
        <v>8.0555555555555561E-2</v>
      </c>
      <c r="R170">
        <v>0.20357638888888888</v>
      </c>
      <c r="S170">
        <v>74246</v>
      </c>
      <c r="T170">
        <v>0.3520949074074074</v>
      </c>
      <c r="U170">
        <v>0.35217592592592589</v>
      </c>
      <c r="V170">
        <v>74260</v>
      </c>
      <c r="W170">
        <v>29</v>
      </c>
      <c r="X170">
        <v>29</v>
      </c>
      <c r="Y170">
        <v>0</v>
      </c>
      <c r="Z170">
        <v>14</v>
      </c>
      <c r="AA170">
        <v>14</v>
      </c>
      <c r="AB170">
        <v>0</v>
      </c>
      <c r="AC170">
        <v>0</v>
      </c>
      <c r="AD170">
        <v>1</v>
      </c>
      <c r="AE170">
        <v>150</v>
      </c>
      <c r="AF170">
        <v>0</v>
      </c>
      <c r="AG170">
        <v>0</v>
      </c>
      <c r="AH170">
        <v>0</v>
      </c>
      <c r="AI170">
        <v>0</v>
      </c>
      <c r="AJ170">
        <v>956.45</v>
      </c>
      <c r="AK170">
        <v>0</v>
      </c>
      <c r="AL170">
        <v>956.45</v>
      </c>
      <c r="AM170">
        <v>0</v>
      </c>
      <c r="AN170">
        <v>0</v>
      </c>
      <c r="AO170">
        <v>0</v>
      </c>
    </row>
    <row r="171" spans="1:41">
      <c r="A171">
        <v>170</v>
      </c>
      <c r="B171" s="42">
        <v>45938</v>
      </c>
      <c r="C171" t="str">
        <v>HINJEWADI</v>
      </c>
      <c r="D171" t="str">
        <v>SLK1</v>
      </c>
      <c r="E171" t="str">
        <v>SHADOWFAX TECHNOLOGIES PRIVATE LIMITED</v>
      </c>
      <c r="F171" t="str">
        <v>MH14LB6751</v>
      </c>
      <c r="G171" t="str">
        <v>ACE</v>
      </c>
      <c r="H171" t="str">
        <v>CNG</v>
      </c>
      <c r="I171">
        <v>4</v>
      </c>
      <c r="J171">
        <v>8</v>
      </c>
      <c r="K171">
        <v>25000</v>
      </c>
      <c r="L171">
        <v>1000</v>
      </c>
      <c r="M171">
        <v>55</v>
      </c>
      <c r="N171">
        <v>31</v>
      </c>
      <c r="O171" t="str">
        <v>PUN01 NC Cluster 41</v>
      </c>
      <c r="P171">
        <v>0</v>
      </c>
      <c r="Q171">
        <v>5.486111111111111E-2</v>
      </c>
      <c r="R171">
        <v>0.19114583333333335</v>
      </c>
      <c r="S171">
        <v>83078</v>
      </c>
      <c r="T171">
        <v>0.34361111111111109</v>
      </c>
      <c r="U171">
        <v>0.34372685185185187</v>
      </c>
      <c r="V171">
        <v>83093</v>
      </c>
      <c r="W171">
        <v>58</v>
      </c>
      <c r="X171">
        <v>58</v>
      </c>
      <c r="Y171">
        <v>0</v>
      </c>
      <c r="Z171">
        <v>15</v>
      </c>
      <c r="AA171">
        <v>15</v>
      </c>
      <c r="AB171">
        <v>0</v>
      </c>
      <c r="AC171">
        <v>0</v>
      </c>
      <c r="AD171">
        <v>1</v>
      </c>
      <c r="AE171">
        <v>150</v>
      </c>
      <c r="AF171">
        <v>0</v>
      </c>
      <c r="AG171">
        <v>0</v>
      </c>
      <c r="AH171">
        <v>0</v>
      </c>
      <c r="AI171">
        <v>0</v>
      </c>
      <c r="AJ171">
        <v>956.45</v>
      </c>
      <c r="AK171">
        <v>0</v>
      </c>
      <c r="AL171">
        <v>956.45</v>
      </c>
      <c r="AM171">
        <v>0</v>
      </c>
      <c r="AN171">
        <v>0</v>
      </c>
      <c r="AO171">
        <v>0</v>
      </c>
    </row>
    <row r="172" spans="1:41">
      <c r="A172">
        <v>171</v>
      </c>
      <c r="B172" s="42">
        <v>45938</v>
      </c>
      <c r="C172" t="str">
        <v>HINJEWADI</v>
      </c>
      <c r="D172" t="str">
        <v>SLK1</v>
      </c>
      <c r="E172" t="str">
        <v>SHADOWFAX TECHNOLOGIES PRIVATE LIMITED</v>
      </c>
      <c r="F172" t="str">
        <v>MH14LL5974</v>
      </c>
      <c r="G172" t="str">
        <v>ACE</v>
      </c>
      <c r="H172" t="str">
        <v>CNG</v>
      </c>
      <c r="I172">
        <v>4</v>
      </c>
      <c r="J172">
        <v>8</v>
      </c>
      <c r="K172">
        <v>25000</v>
      </c>
      <c r="L172">
        <v>1000</v>
      </c>
      <c r="M172">
        <v>55</v>
      </c>
      <c r="N172">
        <v>31</v>
      </c>
      <c r="O172" t="str">
        <v>PUN01 NC Cluster 60</v>
      </c>
      <c r="P172">
        <v>0</v>
      </c>
      <c r="Q172">
        <v>9.0972222222222218E-2</v>
      </c>
      <c r="R172">
        <v>0.20523148148148149</v>
      </c>
      <c r="S172">
        <v>36328</v>
      </c>
      <c r="T172">
        <v>0</v>
      </c>
      <c r="U172">
        <v>0</v>
      </c>
      <c r="V172">
        <v>36353</v>
      </c>
      <c r="W172">
        <v>0</v>
      </c>
      <c r="X172">
        <v>31</v>
      </c>
      <c r="Y172">
        <v>-31</v>
      </c>
      <c r="Z172">
        <v>25</v>
      </c>
      <c r="AA172">
        <v>25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806.45</v>
      </c>
      <c r="AK172">
        <v>0</v>
      </c>
      <c r="AL172">
        <v>806.45</v>
      </c>
      <c r="AM172">
        <v>0</v>
      </c>
      <c r="AN172">
        <v>0</v>
      </c>
      <c r="AO172">
        <v>0</v>
      </c>
    </row>
    <row r="173" spans="1:41">
      <c r="A173">
        <v>172</v>
      </c>
      <c r="B173" s="42">
        <v>45938</v>
      </c>
      <c r="C173" t="str">
        <v>HINJEWADI</v>
      </c>
      <c r="D173" t="str">
        <v>SLK1</v>
      </c>
      <c r="E173" t="str">
        <v>SHADOWFAX TECHNOLOGIES PRIVATE LIMITED</v>
      </c>
      <c r="F173" t="str">
        <v>MH14LL6836</v>
      </c>
      <c r="G173" t="str">
        <v>ACE</v>
      </c>
      <c r="H173" t="str">
        <v>CNG</v>
      </c>
      <c r="I173">
        <v>6</v>
      </c>
      <c r="J173">
        <v>8</v>
      </c>
      <c r="K173">
        <v>33000</v>
      </c>
      <c r="L173">
        <v>2000</v>
      </c>
      <c r="M173">
        <v>55</v>
      </c>
      <c r="N173">
        <v>31</v>
      </c>
      <c r="O173" t="str">
        <v>PUN01 NC Cluster 303</v>
      </c>
      <c r="P173">
        <v>0</v>
      </c>
      <c r="Q173">
        <v>6.1805555555555558E-2</v>
      </c>
      <c r="R173">
        <v>0.19839120370370369</v>
      </c>
      <c r="S173">
        <v>32454</v>
      </c>
      <c r="T173">
        <v>0.31582175925925926</v>
      </c>
      <c r="U173">
        <v>0.31592592592592594</v>
      </c>
      <c r="V173">
        <v>32527</v>
      </c>
      <c r="W173">
        <v>28</v>
      </c>
      <c r="X173">
        <v>28</v>
      </c>
      <c r="Y173">
        <v>0</v>
      </c>
      <c r="Z173">
        <v>73</v>
      </c>
      <c r="AA173">
        <v>73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1064.52</v>
      </c>
      <c r="AK173">
        <v>0</v>
      </c>
      <c r="AL173">
        <v>1064.52</v>
      </c>
      <c r="AM173">
        <v>0</v>
      </c>
      <c r="AN173">
        <v>0</v>
      </c>
      <c r="AO173">
        <v>0</v>
      </c>
    </row>
    <row r="174" spans="1:41">
      <c r="A174">
        <v>173</v>
      </c>
      <c r="B174" s="42">
        <v>45938</v>
      </c>
      <c r="C174" t="str">
        <v>HINJEWADI</v>
      </c>
      <c r="D174" t="str">
        <v>SLK1</v>
      </c>
      <c r="E174" t="str">
        <v>SHADOWFAX TECHNOLOGIES PRIVATE LIMITED</v>
      </c>
      <c r="F174" t="str">
        <v>MH14LX6360</v>
      </c>
      <c r="G174" t="str">
        <v>ACE</v>
      </c>
      <c r="H174" t="str">
        <v>CNG</v>
      </c>
      <c r="I174">
        <v>4</v>
      </c>
      <c r="J174">
        <v>8</v>
      </c>
      <c r="K174">
        <v>25000</v>
      </c>
      <c r="L174">
        <v>1000</v>
      </c>
      <c r="M174">
        <v>55</v>
      </c>
      <c r="N174">
        <v>31</v>
      </c>
      <c r="O174" t="str">
        <v>PUN01 NC Cluster 37</v>
      </c>
      <c r="P174">
        <v>0</v>
      </c>
      <c r="Q174">
        <v>5.4166666666666669E-2</v>
      </c>
      <c r="R174">
        <v>0.1950925925925926</v>
      </c>
      <c r="S174">
        <v>37733</v>
      </c>
      <c r="T174">
        <v>0.37760416666666669</v>
      </c>
      <c r="U174">
        <v>0.37777777777777777</v>
      </c>
      <c r="V174">
        <v>37745</v>
      </c>
      <c r="W174">
        <v>42</v>
      </c>
      <c r="X174">
        <v>42</v>
      </c>
      <c r="Y174">
        <v>0</v>
      </c>
      <c r="Z174">
        <v>12</v>
      </c>
      <c r="AA174">
        <v>12</v>
      </c>
      <c r="AB174">
        <v>0</v>
      </c>
      <c r="AC174">
        <v>0</v>
      </c>
      <c r="AD174">
        <v>2</v>
      </c>
      <c r="AE174">
        <v>300</v>
      </c>
      <c r="AF174">
        <v>0</v>
      </c>
      <c r="AG174">
        <v>0</v>
      </c>
      <c r="AH174">
        <v>0</v>
      </c>
      <c r="AI174">
        <v>0</v>
      </c>
      <c r="AJ174">
        <v>1106.45</v>
      </c>
      <c r="AK174">
        <v>0</v>
      </c>
      <c r="AL174">
        <v>1106.45</v>
      </c>
      <c r="AM174">
        <v>0</v>
      </c>
      <c r="AN174">
        <v>0</v>
      </c>
      <c r="AO174">
        <v>0</v>
      </c>
    </row>
    <row r="175" spans="1:41">
      <c r="A175">
        <v>174</v>
      </c>
      <c r="B175" s="42">
        <v>45938</v>
      </c>
      <c r="C175" t="str">
        <v>HINJEWADI</v>
      </c>
      <c r="D175" t="str">
        <v>SLK1</v>
      </c>
      <c r="E175" t="str">
        <v>SHADOWFAX TECHNOLOGIES PRIVATE LIMITED</v>
      </c>
      <c r="F175" t="str">
        <v>MH14MH6374</v>
      </c>
      <c r="G175" t="str">
        <v>ACE</v>
      </c>
      <c r="H175" t="str">
        <v>CNG</v>
      </c>
      <c r="I175">
        <v>4</v>
      </c>
      <c r="J175">
        <v>8</v>
      </c>
      <c r="K175">
        <v>25000</v>
      </c>
      <c r="L175">
        <v>1000</v>
      </c>
      <c r="M175">
        <v>55</v>
      </c>
      <c r="N175">
        <v>31</v>
      </c>
      <c r="O175" t="str">
        <v>PUN01 NC Cluster 199</v>
      </c>
      <c r="P175">
        <v>0</v>
      </c>
      <c r="Q175">
        <v>5.6250000000000001E-2</v>
      </c>
      <c r="R175">
        <v>0.1939814814814815</v>
      </c>
      <c r="S175">
        <v>6788</v>
      </c>
      <c r="T175">
        <v>0.39004629629629628</v>
      </c>
      <c r="U175">
        <v>0.39177083333333335</v>
      </c>
      <c r="V175">
        <v>6818</v>
      </c>
      <c r="W175">
        <v>30</v>
      </c>
      <c r="X175">
        <v>15</v>
      </c>
      <c r="Y175">
        <v>15</v>
      </c>
      <c r="Z175">
        <v>30</v>
      </c>
      <c r="AA175">
        <v>30</v>
      </c>
      <c r="AB175">
        <v>0</v>
      </c>
      <c r="AC175">
        <v>0</v>
      </c>
      <c r="AD175">
        <v>2</v>
      </c>
      <c r="AE175">
        <v>300</v>
      </c>
      <c r="AF175">
        <v>0</v>
      </c>
      <c r="AG175">
        <v>0</v>
      </c>
      <c r="AH175">
        <v>0</v>
      </c>
      <c r="AI175">
        <v>0</v>
      </c>
      <c r="AJ175">
        <v>1106.45</v>
      </c>
      <c r="AK175">
        <v>0</v>
      </c>
      <c r="AL175">
        <v>1106.45</v>
      </c>
      <c r="AM175">
        <v>0</v>
      </c>
      <c r="AN175">
        <v>0</v>
      </c>
      <c r="AO175">
        <v>0</v>
      </c>
    </row>
    <row r="176" spans="1:41">
      <c r="A176">
        <v>175</v>
      </c>
      <c r="B176" s="42">
        <v>45938</v>
      </c>
      <c r="C176" t="str">
        <v>HINJEWADI</v>
      </c>
      <c r="D176" t="str">
        <v>SLK1</v>
      </c>
      <c r="E176" t="str">
        <v>SHADOWFAX TECHNOLOGIES PRIVATE LIMITED</v>
      </c>
      <c r="F176" t="str">
        <v>MH14MH8276</v>
      </c>
      <c r="G176" t="str">
        <v>ACE</v>
      </c>
      <c r="H176" t="str">
        <v>CNG</v>
      </c>
      <c r="I176">
        <v>4</v>
      </c>
      <c r="J176">
        <v>8</v>
      </c>
      <c r="K176">
        <v>25000</v>
      </c>
      <c r="L176">
        <v>1000</v>
      </c>
      <c r="M176">
        <v>55</v>
      </c>
      <c r="N176">
        <v>31</v>
      </c>
      <c r="O176" t="str">
        <v>PUN01 NC Cluster 36</v>
      </c>
      <c r="P176">
        <v>0</v>
      </c>
      <c r="Q176">
        <v>5.4166666666666669E-2</v>
      </c>
      <c r="R176">
        <v>0.19486111111111112</v>
      </c>
      <c r="S176">
        <v>4020</v>
      </c>
      <c r="T176">
        <v>0.34334490740740736</v>
      </c>
      <c r="U176">
        <v>0.34425925925925926</v>
      </c>
      <c r="V176">
        <v>4037</v>
      </c>
      <c r="W176">
        <v>0</v>
      </c>
      <c r="X176">
        <v>36</v>
      </c>
      <c r="Y176">
        <v>-36</v>
      </c>
      <c r="Z176">
        <v>17</v>
      </c>
      <c r="AA176">
        <v>17</v>
      </c>
      <c r="AB176">
        <v>0</v>
      </c>
      <c r="AC176">
        <v>0</v>
      </c>
      <c r="AD176">
        <v>1</v>
      </c>
      <c r="AE176">
        <v>150</v>
      </c>
      <c r="AF176">
        <v>0</v>
      </c>
      <c r="AG176">
        <v>0</v>
      </c>
      <c r="AH176">
        <v>0</v>
      </c>
      <c r="AI176">
        <v>0</v>
      </c>
      <c r="AJ176">
        <v>956.45</v>
      </c>
      <c r="AK176">
        <v>0</v>
      </c>
      <c r="AL176">
        <v>956.45</v>
      </c>
      <c r="AM176">
        <v>0</v>
      </c>
      <c r="AN176">
        <v>0</v>
      </c>
      <c r="AO176">
        <v>0</v>
      </c>
    </row>
    <row r="177" spans="1:41">
      <c r="A177">
        <v>176</v>
      </c>
      <c r="B177" s="42">
        <v>45938</v>
      </c>
      <c r="C177" t="str">
        <v>HINJEWADI</v>
      </c>
      <c r="D177" t="str">
        <v>SLK1</v>
      </c>
      <c r="E177" t="str">
        <v>SHADOWFAX TECHNOLOGIES PRIVATE LIMITED</v>
      </c>
      <c r="F177" t="str">
        <v>MH20GC8804</v>
      </c>
      <c r="G177" t="str">
        <v>ACE</v>
      </c>
      <c r="H177" t="str">
        <v>CNG</v>
      </c>
      <c r="I177">
        <v>4</v>
      </c>
      <c r="J177">
        <v>8</v>
      </c>
      <c r="K177">
        <v>25000</v>
      </c>
      <c r="L177">
        <v>1000</v>
      </c>
      <c r="M177">
        <v>55</v>
      </c>
      <c r="N177">
        <v>31</v>
      </c>
      <c r="O177" t="str">
        <v>PUN01 NC Cluster 200</v>
      </c>
      <c r="P177">
        <v>0</v>
      </c>
      <c r="Q177">
        <v>0.11805555555555557</v>
      </c>
      <c r="R177">
        <v>0.19181712962962963</v>
      </c>
      <c r="S177">
        <v>41044</v>
      </c>
      <c r="T177">
        <v>0.30373842592592593</v>
      </c>
      <c r="U177">
        <v>0.30386574074074074</v>
      </c>
      <c r="V177">
        <v>41071</v>
      </c>
      <c r="W177">
        <v>61</v>
      </c>
      <c r="X177">
        <v>61</v>
      </c>
      <c r="Y177">
        <v>0</v>
      </c>
      <c r="Z177">
        <v>27</v>
      </c>
      <c r="AA177">
        <v>27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806.45</v>
      </c>
      <c r="AK177">
        <v>0</v>
      </c>
      <c r="AL177">
        <v>806.45</v>
      </c>
      <c r="AM177">
        <v>0</v>
      </c>
      <c r="AN177">
        <v>0</v>
      </c>
      <c r="AO177">
        <v>0</v>
      </c>
    </row>
    <row r="178" spans="1:41">
      <c r="A178">
        <v>177</v>
      </c>
      <c r="B178" s="42">
        <v>45938</v>
      </c>
      <c r="C178" t="str">
        <v>HINJEWADI</v>
      </c>
      <c r="D178" t="str">
        <v>SLK1</v>
      </c>
      <c r="E178" t="str">
        <v>SHADOWFAX TECHNOLOGIES PRIVATE LIMITED</v>
      </c>
      <c r="F178" t="str">
        <v>MH14LX4839</v>
      </c>
      <c r="G178" t="str">
        <v>BOLERO</v>
      </c>
      <c r="H178" t="str">
        <v>DIESEL</v>
      </c>
      <c r="I178">
        <v>4</v>
      </c>
      <c r="J178">
        <v>10</v>
      </c>
      <c r="K178">
        <v>29000</v>
      </c>
      <c r="L178">
        <v>1000</v>
      </c>
      <c r="M178">
        <v>55</v>
      </c>
      <c r="N178">
        <v>31</v>
      </c>
      <c r="O178" t="str">
        <v>PUN01 NC Cluster 14</v>
      </c>
      <c r="P178">
        <v>0</v>
      </c>
      <c r="Q178">
        <v>5.7638888888888885E-2</v>
      </c>
      <c r="R178">
        <v>0.20700231481481482</v>
      </c>
      <c r="S178">
        <v>38202</v>
      </c>
      <c r="T178">
        <v>0.34837962962962959</v>
      </c>
      <c r="U178">
        <v>0.34850694444444441</v>
      </c>
      <c r="V178">
        <v>38220</v>
      </c>
      <c r="W178">
        <v>22</v>
      </c>
      <c r="X178">
        <v>22</v>
      </c>
      <c r="Y178">
        <v>0</v>
      </c>
      <c r="Z178">
        <v>18</v>
      </c>
      <c r="AA178">
        <v>18</v>
      </c>
      <c r="AB178">
        <v>0</v>
      </c>
      <c r="AC178">
        <v>0</v>
      </c>
      <c r="AD178">
        <v>1</v>
      </c>
      <c r="AE178">
        <v>150</v>
      </c>
      <c r="AF178">
        <v>0</v>
      </c>
      <c r="AG178">
        <v>0</v>
      </c>
      <c r="AH178">
        <v>0</v>
      </c>
      <c r="AI178">
        <v>0</v>
      </c>
      <c r="AJ178">
        <v>1085.48</v>
      </c>
      <c r="AK178">
        <v>0</v>
      </c>
      <c r="AL178">
        <v>1085.48</v>
      </c>
      <c r="AM178">
        <v>0</v>
      </c>
      <c r="AN178">
        <v>0</v>
      </c>
      <c r="AO178">
        <v>0</v>
      </c>
    </row>
    <row r="179" spans="1:41">
      <c r="A179">
        <v>178</v>
      </c>
      <c r="B179" s="42">
        <v>45938</v>
      </c>
      <c r="C179" t="str">
        <v>HINJEWADI</v>
      </c>
      <c r="D179" t="str">
        <v>SLK1</v>
      </c>
      <c r="E179" t="str">
        <v>SHADOWFAX TECHNOLOGIES PRIVATE LIMITED</v>
      </c>
      <c r="F179" t="str">
        <v>MH14LX4840</v>
      </c>
      <c r="G179" t="str">
        <v>BOLERO</v>
      </c>
      <c r="H179" t="str">
        <v>DIESEL</v>
      </c>
      <c r="I179">
        <v>4</v>
      </c>
      <c r="J179">
        <v>10</v>
      </c>
      <c r="K179">
        <v>29000</v>
      </c>
      <c r="L179">
        <v>1000</v>
      </c>
      <c r="M179">
        <v>55</v>
      </c>
      <c r="N179">
        <v>31</v>
      </c>
      <c r="O179" t="str">
        <v>PUN01 NC Cluster 103</v>
      </c>
      <c r="P179">
        <v>0</v>
      </c>
      <c r="Q179">
        <v>0.1111111111111111</v>
      </c>
      <c r="R179">
        <v>0.20193287037037036</v>
      </c>
      <c r="S179">
        <v>60144</v>
      </c>
      <c r="T179">
        <v>0.31702546296296297</v>
      </c>
      <c r="U179">
        <v>0.31851851851851848</v>
      </c>
      <c r="V179">
        <v>60167</v>
      </c>
      <c r="W179">
        <v>79</v>
      </c>
      <c r="X179">
        <v>79</v>
      </c>
      <c r="Y179">
        <v>0</v>
      </c>
      <c r="Z179">
        <v>23</v>
      </c>
      <c r="AA179">
        <v>23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935.48</v>
      </c>
      <c r="AK179">
        <v>0</v>
      </c>
      <c r="AL179">
        <v>935.48</v>
      </c>
      <c r="AM179">
        <v>0</v>
      </c>
      <c r="AN179">
        <v>0</v>
      </c>
      <c r="AO179">
        <v>0</v>
      </c>
    </row>
    <row r="180" spans="1:41">
      <c r="A180">
        <v>179</v>
      </c>
      <c r="B180" s="42">
        <v>45938</v>
      </c>
      <c r="C180" t="str">
        <v>HINJEWADI</v>
      </c>
      <c r="D180" t="str">
        <v>SLK1</v>
      </c>
      <c r="E180" t="str">
        <v>SHADOWFAX TECHNOLOGIES PRIVATE LIMITED</v>
      </c>
      <c r="F180" t="str">
        <v>MH14MH7322</v>
      </c>
      <c r="G180" t="str">
        <v>BOLERO</v>
      </c>
      <c r="H180" t="str">
        <v>DIESEL</v>
      </c>
      <c r="I180">
        <v>4</v>
      </c>
      <c r="J180">
        <v>10</v>
      </c>
      <c r="K180">
        <v>29000</v>
      </c>
      <c r="L180">
        <v>1000</v>
      </c>
      <c r="M180">
        <v>55</v>
      </c>
      <c r="N180">
        <v>31</v>
      </c>
      <c r="O180" t="str">
        <v>PUN01 NC Cluster 175</v>
      </c>
      <c r="P180">
        <v>0</v>
      </c>
      <c r="Q180">
        <v>0.11180555555555556</v>
      </c>
      <c r="R180">
        <v>0.20194444444444445</v>
      </c>
      <c r="S180">
        <v>2827</v>
      </c>
      <c r="T180">
        <v>0.45664351851851853</v>
      </c>
      <c r="U180">
        <v>0</v>
      </c>
      <c r="V180">
        <v>2868</v>
      </c>
      <c r="W180">
        <v>30</v>
      </c>
      <c r="X180">
        <v>82</v>
      </c>
      <c r="Y180">
        <v>-52</v>
      </c>
      <c r="Z180">
        <v>41</v>
      </c>
      <c r="AA180">
        <v>41</v>
      </c>
      <c r="AB180">
        <v>0</v>
      </c>
      <c r="AC180">
        <v>0</v>
      </c>
      <c r="AD180">
        <v>3</v>
      </c>
      <c r="AE180">
        <v>450</v>
      </c>
      <c r="AF180">
        <v>0</v>
      </c>
      <c r="AG180">
        <v>0</v>
      </c>
      <c r="AH180">
        <v>0</v>
      </c>
      <c r="AI180">
        <v>0</v>
      </c>
      <c r="AJ180">
        <v>1385.48</v>
      </c>
      <c r="AK180">
        <v>0</v>
      </c>
      <c r="AL180">
        <v>1385.48</v>
      </c>
      <c r="AM180">
        <v>0</v>
      </c>
      <c r="AN180">
        <v>0</v>
      </c>
      <c r="AO180">
        <v>0</v>
      </c>
    </row>
    <row r="181" spans="1:41">
      <c r="A181">
        <v>180</v>
      </c>
      <c r="B181" s="42">
        <v>45938</v>
      </c>
      <c r="C181" t="str">
        <v>HINJEWADI</v>
      </c>
      <c r="D181" t="str">
        <v>SLK1</v>
      </c>
      <c r="E181" t="str">
        <v>SHADOWFAX TECHNOLOGIES PRIVATE LIMITED</v>
      </c>
      <c r="F181" t="str">
        <v>MH16CD7321</v>
      </c>
      <c r="G181" t="str">
        <v>BOLERO</v>
      </c>
      <c r="H181" t="str">
        <v>DIESEL</v>
      </c>
      <c r="I181">
        <v>4</v>
      </c>
      <c r="J181">
        <v>10</v>
      </c>
      <c r="K181">
        <v>29000</v>
      </c>
      <c r="L181">
        <v>1000</v>
      </c>
      <c r="M181">
        <v>55</v>
      </c>
      <c r="N181">
        <v>31</v>
      </c>
      <c r="O181" t="str">
        <v>PUN01 NC Cluster 24</v>
      </c>
      <c r="P181">
        <v>0</v>
      </c>
      <c r="Q181">
        <v>9.1666666666666674E-2</v>
      </c>
      <c r="R181">
        <v>0.20454861111111111</v>
      </c>
      <c r="S181">
        <v>138846</v>
      </c>
      <c r="T181">
        <v>0.36967592592592591</v>
      </c>
      <c r="U181">
        <v>0.36984953703703699</v>
      </c>
      <c r="V181">
        <v>138875</v>
      </c>
      <c r="W181">
        <v>61</v>
      </c>
      <c r="X181">
        <v>61</v>
      </c>
      <c r="Y181">
        <v>0</v>
      </c>
      <c r="Z181">
        <v>29</v>
      </c>
      <c r="AA181">
        <v>29</v>
      </c>
      <c r="AB181">
        <v>0</v>
      </c>
      <c r="AC181">
        <v>0</v>
      </c>
      <c r="AD181">
        <v>1</v>
      </c>
      <c r="AE181">
        <v>150</v>
      </c>
      <c r="AF181">
        <v>0</v>
      </c>
      <c r="AG181">
        <v>0</v>
      </c>
      <c r="AH181">
        <v>0</v>
      </c>
      <c r="AI181">
        <v>0</v>
      </c>
      <c r="AJ181">
        <v>1085.48</v>
      </c>
      <c r="AK181">
        <v>0</v>
      </c>
      <c r="AL181">
        <v>1085.48</v>
      </c>
      <c r="AM181">
        <v>0</v>
      </c>
      <c r="AN181">
        <v>0</v>
      </c>
      <c r="AO181">
        <v>0</v>
      </c>
    </row>
    <row r="182" spans="1:41">
      <c r="A182">
        <v>181</v>
      </c>
      <c r="B182" s="42">
        <v>45939</v>
      </c>
      <c r="C182" t="str">
        <v>HINJEWADI</v>
      </c>
      <c r="D182" t="str">
        <v>SLK1</v>
      </c>
      <c r="E182" t="str">
        <v>SHADOWFAX TECHNOLOGIES PRIVATE LIMITED</v>
      </c>
      <c r="F182" t="str">
        <v>MH12RN4983</v>
      </c>
      <c r="G182" t="str">
        <v>ACE</v>
      </c>
      <c r="H182" t="str">
        <v>CNG</v>
      </c>
      <c r="I182">
        <v>4</v>
      </c>
      <c r="J182">
        <v>8</v>
      </c>
      <c r="K182">
        <v>25000</v>
      </c>
      <c r="L182">
        <v>1000</v>
      </c>
      <c r="M182">
        <v>55</v>
      </c>
      <c r="N182">
        <v>31</v>
      </c>
      <c r="O182" t="str">
        <v>PUN01 NC Cluster 190</v>
      </c>
      <c r="P182">
        <v>0</v>
      </c>
      <c r="Q182">
        <v>0.12916666666666668</v>
      </c>
      <c r="R182">
        <v>0.20063657407407409</v>
      </c>
      <c r="S182">
        <v>191266</v>
      </c>
      <c r="T182">
        <v>0.3621759259259259</v>
      </c>
      <c r="U182">
        <v>0.36230324074074072</v>
      </c>
      <c r="V182">
        <v>191315</v>
      </c>
      <c r="W182">
        <v>53</v>
      </c>
      <c r="X182">
        <v>53</v>
      </c>
      <c r="Y182">
        <v>0</v>
      </c>
      <c r="Z182">
        <v>49</v>
      </c>
      <c r="AA182">
        <v>49</v>
      </c>
      <c r="AB182">
        <v>0</v>
      </c>
      <c r="AC182">
        <v>0</v>
      </c>
      <c r="AD182">
        <v>1</v>
      </c>
      <c r="AE182">
        <v>150</v>
      </c>
      <c r="AF182">
        <v>0</v>
      </c>
      <c r="AG182">
        <v>0</v>
      </c>
      <c r="AH182">
        <v>0</v>
      </c>
      <c r="AI182">
        <v>0</v>
      </c>
      <c r="AJ182">
        <v>956.45</v>
      </c>
      <c r="AK182">
        <v>0</v>
      </c>
      <c r="AL182">
        <v>956.45</v>
      </c>
      <c r="AM182">
        <v>0</v>
      </c>
      <c r="AN182">
        <v>0</v>
      </c>
      <c r="AO182">
        <v>0</v>
      </c>
    </row>
    <row r="183" spans="1:41">
      <c r="A183">
        <v>182</v>
      </c>
      <c r="B183" s="42">
        <v>45939</v>
      </c>
      <c r="C183" t="str">
        <v>HINJEWADI</v>
      </c>
      <c r="D183" t="str">
        <v>SLK1</v>
      </c>
      <c r="E183" t="str">
        <v>SHADOWFAX TECHNOLOGIES PRIVATE LIMITED</v>
      </c>
      <c r="F183" t="str">
        <v>MH12SF9859</v>
      </c>
      <c r="G183" t="str">
        <v>ACE</v>
      </c>
      <c r="H183" t="str">
        <v>CNG</v>
      </c>
      <c r="I183">
        <v>4</v>
      </c>
      <c r="J183">
        <v>8</v>
      </c>
      <c r="K183">
        <v>25000</v>
      </c>
      <c r="L183">
        <v>1000</v>
      </c>
      <c r="M183">
        <v>55</v>
      </c>
      <c r="N183">
        <v>31</v>
      </c>
      <c r="O183" t="str">
        <v>PUN01 NC Cluster 100</v>
      </c>
      <c r="P183">
        <v>0</v>
      </c>
      <c r="Q183">
        <v>0.13819444444444443</v>
      </c>
      <c r="R183">
        <v>0.19822916666666668</v>
      </c>
      <c r="S183">
        <v>109913</v>
      </c>
      <c r="T183">
        <v>0.30363425925925924</v>
      </c>
      <c r="U183">
        <v>0.30371527777777779</v>
      </c>
      <c r="V183">
        <v>109930</v>
      </c>
      <c r="W183">
        <v>24</v>
      </c>
      <c r="X183">
        <v>24</v>
      </c>
      <c r="Y183">
        <v>0</v>
      </c>
      <c r="Z183">
        <v>17</v>
      </c>
      <c r="AA183">
        <v>17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806.45</v>
      </c>
      <c r="AK183">
        <v>0</v>
      </c>
      <c r="AL183">
        <v>806.45</v>
      </c>
      <c r="AM183">
        <v>0</v>
      </c>
      <c r="AN183">
        <v>0</v>
      </c>
      <c r="AO183">
        <v>0</v>
      </c>
    </row>
    <row r="184" spans="1:41">
      <c r="A184">
        <v>183</v>
      </c>
      <c r="B184" s="42">
        <v>45939</v>
      </c>
      <c r="C184" t="str">
        <v>HINJEWADI</v>
      </c>
      <c r="D184" t="str">
        <v>SLK1</v>
      </c>
      <c r="E184" t="str">
        <v>SHADOWFAX TECHNOLOGIES PRIVATE LIMITED</v>
      </c>
      <c r="F184" t="str">
        <v>MH12UM3063</v>
      </c>
      <c r="G184" t="str">
        <v>ACE</v>
      </c>
      <c r="H184" t="str">
        <v>CNG</v>
      </c>
      <c r="I184">
        <v>6</v>
      </c>
      <c r="J184">
        <v>8</v>
      </c>
      <c r="K184">
        <v>33000</v>
      </c>
      <c r="L184">
        <v>2000</v>
      </c>
      <c r="M184">
        <v>55</v>
      </c>
      <c r="N184">
        <v>31</v>
      </c>
      <c r="O184" t="str">
        <v>PUN01 NC Cluster 229</v>
      </c>
      <c r="P184">
        <v>0</v>
      </c>
      <c r="Q184">
        <v>4.5833333333333337E-2</v>
      </c>
      <c r="R184">
        <v>0.18373842592592593</v>
      </c>
      <c r="S184">
        <v>99134</v>
      </c>
      <c r="T184">
        <v>0.37690972222222219</v>
      </c>
      <c r="U184">
        <v>0.37700231481481478</v>
      </c>
      <c r="V184">
        <v>99190</v>
      </c>
      <c r="W184">
        <v>45</v>
      </c>
      <c r="X184">
        <v>45</v>
      </c>
      <c r="Y184">
        <v>0</v>
      </c>
      <c r="Z184">
        <v>56</v>
      </c>
      <c r="AA184">
        <v>56</v>
      </c>
      <c r="AB184">
        <v>0</v>
      </c>
      <c r="AC184">
        <v>0</v>
      </c>
      <c r="AD184">
        <v>1</v>
      </c>
      <c r="AE184">
        <v>150</v>
      </c>
      <c r="AF184">
        <v>0</v>
      </c>
      <c r="AG184">
        <v>0</v>
      </c>
      <c r="AH184">
        <v>0</v>
      </c>
      <c r="AI184">
        <v>0</v>
      </c>
      <c r="AJ184">
        <v>1214.52</v>
      </c>
      <c r="AK184">
        <v>0</v>
      </c>
      <c r="AL184">
        <v>1214.52</v>
      </c>
      <c r="AM184">
        <v>0</v>
      </c>
      <c r="AN184">
        <v>0</v>
      </c>
      <c r="AO184">
        <v>0</v>
      </c>
    </row>
    <row r="185" spans="1:41">
      <c r="A185">
        <v>184</v>
      </c>
      <c r="B185" s="42">
        <v>45939</v>
      </c>
      <c r="C185" t="str">
        <v>HINJEWADI</v>
      </c>
      <c r="D185" t="str">
        <v>SLK1</v>
      </c>
      <c r="E185" t="str">
        <v>SHADOWFAX TECHNOLOGIES PRIVATE LIMITED</v>
      </c>
      <c r="F185" t="str">
        <v>MH12WX6236</v>
      </c>
      <c r="G185" t="str">
        <v>ACE</v>
      </c>
      <c r="H185" t="str">
        <v>CNG</v>
      </c>
      <c r="I185">
        <v>4</v>
      </c>
      <c r="J185">
        <v>8</v>
      </c>
      <c r="K185">
        <v>25000</v>
      </c>
      <c r="L185">
        <v>1000</v>
      </c>
      <c r="M185">
        <v>55</v>
      </c>
      <c r="N185">
        <v>31</v>
      </c>
      <c r="O185" t="str">
        <v>PUN01 NC Cluster 12</v>
      </c>
      <c r="P185">
        <v>0</v>
      </c>
      <c r="Q185">
        <v>0.13819444444444443</v>
      </c>
      <c r="R185">
        <v>0.19854166666666664</v>
      </c>
      <c r="S185">
        <v>37385</v>
      </c>
      <c r="T185">
        <v>0.37228009259259259</v>
      </c>
      <c r="U185">
        <v>0.37253472222222223</v>
      </c>
      <c r="V185">
        <v>37405</v>
      </c>
      <c r="W185">
        <v>40</v>
      </c>
      <c r="X185">
        <v>40</v>
      </c>
      <c r="Y185">
        <v>0</v>
      </c>
      <c r="Z185">
        <v>20</v>
      </c>
      <c r="AA185">
        <v>20</v>
      </c>
      <c r="AB185">
        <v>0</v>
      </c>
      <c r="AC185">
        <v>0</v>
      </c>
      <c r="AD185">
        <v>1</v>
      </c>
      <c r="AE185">
        <v>150</v>
      </c>
      <c r="AF185">
        <v>0</v>
      </c>
      <c r="AG185">
        <v>0</v>
      </c>
      <c r="AH185">
        <v>0</v>
      </c>
      <c r="AI185">
        <v>0</v>
      </c>
      <c r="AJ185">
        <v>956.45</v>
      </c>
      <c r="AK185">
        <v>0</v>
      </c>
      <c r="AL185">
        <v>956.45</v>
      </c>
      <c r="AM185">
        <v>0</v>
      </c>
      <c r="AN185">
        <v>0</v>
      </c>
      <c r="AO185">
        <v>0</v>
      </c>
    </row>
    <row r="186" spans="1:41">
      <c r="A186">
        <v>185</v>
      </c>
      <c r="B186" s="42">
        <v>45939</v>
      </c>
      <c r="C186" t="str">
        <v>HINJEWADI</v>
      </c>
      <c r="D186" t="str">
        <v>SLK1</v>
      </c>
      <c r="E186" t="str">
        <v>SHADOWFAX TECHNOLOGIES PRIVATE LIMITED</v>
      </c>
      <c r="F186" t="str">
        <v>MH12XM2801</v>
      </c>
      <c r="G186" t="str">
        <v>ACE</v>
      </c>
      <c r="H186" t="str">
        <v>CNG</v>
      </c>
      <c r="I186">
        <v>4</v>
      </c>
      <c r="J186">
        <v>8</v>
      </c>
      <c r="K186">
        <v>25000</v>
      </c>
      <c r="L186">
        <v>1000</v>
      </c>
      <c r="M186">
        <v>55</v>
      </c>
      <c r="N186">
        <v>31</v>
      </c>
      <c r="O186" t="str">
        <v>PUN01 NC Cluster 36</v>
      </c>
      <c r="P186">
        <v>0</v>
      </c>
      <c r="Q186">
        <v>0.12986111111111112</v>
      </c>
      <c r="R186">
        <v>0.18881944444444443</v>
      </c>
      <c r="S186">
        <v>11470</v>
      </c>
      <c r="T186">
        <v>0.39898148148148144</v>
      </c>
      <c r="U186">
        <v>0.40027777777777779</v>
      </c>
      <c r="V186">
        <v>11486</v>
      </c>
      <c r="W186">
        <v>27</v>
      </c>
      <c r="X186">
        <v>27</v>
      </c>
      <c r="Y186">
        <v>0</v>
      </c>
      <c r="Z186">
        <v>16</v>
      </c>
      <c r="AA186">
        <v>16</v>
      </c>
      <c r="AB186">
        <v>0</v>
      </c>
      <c r="AC186">
        <v>0</v>
      </c>
      <c r="AD186">
        <v>2</v>
      </c>
      <c r="AE186">
        <v>300</v>
      </c>
      <c r="AF186">
        <v>0</v>
      </c>
      <c r="AG186">
        <v>0</v>
      </c>
      <c r="AH186">
        <v>0</v>
      </c>
      <c r="AI186">
        <v>0</v>
      </c>
      <c r="AJ186">
        <v>1106.45</v>
      </c>
      <c r="AK186">
        <v>0</v>
      </c>
      <c r="AL186">
        <v>1106.45</v>
      </c>
      <c r="AM186">
        <v>0</v>
      </c>
      <c r="AN186">
        <v>0</v>
      </c>
      <c r="AO186">
        <v>0</v>
      </c>
    </row>
    <row r="187" spans="1:41">
      <c r="A187">
        <v>186</v>
      </c>
      <c r="B187" s="42">
        <v>45939</v>
      </c>
      <c r="C187" t="str">
        <v>HINJEWADI</v>
      </c>
      <c r="D187" t="str">
        <v>SLK1</v>
      </c>
      <c r="E187" t="str">
        <v>SHADOWFAX TECHNOLOGIES PRIVATE LIMITED</v>
      </c>
      <c r="F187" t="str">
        <v>MH14CP4610</v>
      </c>
      <c r="G187" t="str">
        <v>ACE</v>
      </c>
      <c r="H187" t="str">
        <v>CNG</v>
      </c>
      <c r="I187">
        <v>4</v>
      </c>
      <c r="J187">
        <v>8</v>
      </c>
      <c r="K187">
        <v>25000</v>
      </c>
      <c r="L187">
        <v>1000</v>
      </c>
      <c r="M187">
        <v>55</v>
      </c>
      <c r="N187">
        <v>31</v>
      </c>
      <c r="O187" t="str">
        <v>PUN01 NC Cluster 87</v>
      </c>
      <c r="P187">
        <v>0</v>
      </c>
      <c r="Q187">
        <v>8.4027777777777771E-2</v>
      </c>
      <c r="R187">
        <v>0.18377314814814816</v>
      </c>
      <c r="S187">
        <v>145218</v>
      </c>
      <c r="T187">
        <v>0.30079861111111111</v>
      </c>
      <c r="U187">
        <v>0.3009027777777778</v>
      </c>
      <c r="V187">
        <v>145235</v>
      </c>
      <c r="W187">
        <v>31</v>
      </c>
      <c r="X187">
        <v>31</v>
      </c>
      <c r="Y187">
        <v>0</v>
      </c>
      <c r="Z187">
        <v>17</v>
      </c>
      <c r="AA187">
        <v>17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806.45</v>
      </c>
      <c r="AK187">
        <v>0</v>
      </c>
      <c r="AL187">
        <v>806.45</v>
      </c>
      <c r="AM187">
        <v>0</v>
      </c>
      <c r="AN187">
        <v>0</v>
      </c>
      <c r="AO187">
        <v>0</v>
      </c>
    </row>
    <row r="188" spans="1:41">
      <c r="A188">
        <v>187</v>
      </c>
      <c r="B188" s="42">
        <v>45939</v>
      </c>
      <c r="C188" t="str">
        <v>HINJEWADI</v>
      </c>
      <c r="D188" t="str">
        <v>SLK1</v>
      </c>
      <c r="E188" t="str">
        <v>SHADOWFAX TECHNOLOGIES PRIVATE LIMITED</v>
      </c>
      <c r="F188" t="str">
        <v>MH14KA0766</v>
      </c>
      <c r="G188" t="str">
        <v>ACE</v>
      </c>
      <c r="H188" t="str">
        <v>CNG</v>
      </c>
      <c r="I188">
        <v>4</v>
      </c>
      <c r="J188">
        <v>8</v>
      </c>
      <c r="K188">
        <v>25000</v>
      </c>
      <c r="L188">
        <v>1000</v>
      </c>
      <c r="M188">
        <v>55</v>
      </c>
      <c r="N188">
        <v>31</v>
      </c>
      <c r="O188" t="str">
        <v>PUN01 NC Cluster 10</v>
      </c>
      <c r="P188">
        <v>0</v>
      </c>
      <c r="Q188">
        <v>4.7222222222222221E-2</v>
      </c>
      <c r="R188">
        <v>0.18515046296296298</v>
      </c>
      <c r="S188">
        <v>142571</v>
      </c>
      <c r="T188">
        <v>0.38496527777777773</v>
      </c>
      <c r="U188">
        <v>0.3855555555555556</v>
      </c>
      <c r="V188">
        <v>142599</v>
      </c>
      <c r="W188">
        <v>34</v>
      </c>
      <c r="X188">
        <v>34</v>
      </c>
      <c r="Y188">
        <v>0</v>
      </c>
      <c r="Z188">
        <v>28</v>
      </c>
      <c r="AA188">
        <v>28</v>
      </c>
      <c r="AB188">
        <v>0</v>
      </c>
      <c r="AC188">
        <v>0</v>
      </c>
      <c r="AD188">
        <v>2</v>
      </c>
      <c r="AE188">
        <v>300</v>
      </c>
      <c r="AF188">
        <v>0</v>
      </c>
      <c r="AG188">
        <v>0</v>
      </c>
      <c r="AH188">
        <v>0</v>
      </c>
      <c r="AI188">
        <v>0</v>
      </c>
      <c r="AJ188">
        <v>1106.45</v>
      </c>
      <c r="AK188">
        <v>0</v>
      </c>
      <c r="AL188">
        <v>1106.45</v>
      </c>
      <c r="AM188">
        <v>0</v>
      </c>
      <c r="AN188">
        <v>0</v>
      </c>
      <c r="AO188">
        <v>0</v>
      </c>
    </row>
    <row r="189" spans="1:41">
      <c r="A189">
        <v>188</v>
      </c>
      <c r="B189" s="42">
        <v>45939</v>
      </c>
      <c r="C189" t="str">
        <v>HINJEWADI</v>
      </c>
      <c r="D189" t="str">
        <v>SLK1</v>
      </c>
      <c r="E189" t="str">
        <v>SHADOWFAX TECHNOLOGIES PRIVATE LIMITED</v>
      </c>
      <c r="F189" t="str">
        <v>MH14KA1228</v>
      </c>
      <c r="G189" t="str">
        <v>ACE</v>
      </c>
      <c r="H189" t="str">
        <v>CNG</v>
      </c>
      <c r="I189">
        <v>4</v>
      </c>
      <c r="J189">
        <v>8</v>
      </c>
      <c r="K189">
        <v>25000</v>
      </c>
      <c r="L189">
        <v>1000</v>
      </c>
      <c r="M189">
        <v>55</v>
      </c>
      <c r="N189">
        <v>31</v>
      </c>
      <c r="O189" t="str">
        <v>PUN01 NC Cluster 11</v>
      </c>
      <c r="P189">
        <v>0</v>
      </c>
      <c r="Q189">
        <v>0.12708333333333333</v>
      </c>
      <c r="R189">
        <v>0.19005787037037036</v>
      </c>
      <c r="S189">
        <v>158599</v>
      </c>
      <c r="T189">
        <v>0.36853009259259256</v>
      </c>
      <c r="U189">
        <v>0.3689236111111111</v>
      </c>
      <c r="V189">
        <v>158617</v>
      </c>
      <c r="W189">
        <v>54</v>
      </c>
      <c r="X189">
        <v>54</v>
      </c>
      <c r="Y189">
        <v>0</v>
      </c>
      <c r="Z189">
        <v>18</v>
      </c>
      <c r="AA189">
        <v>18</v>
      </c>
      <c r="AB189">
        <v>0</v>
      </c>
      <c r="AC189">
        <v>0</v>
      </c>
      <c r="AD189">
        <v>1</v>
      </c>
      <c r="AE189">
        <v>150</v>
      </c>
      <c r="AF189">
        <v>0</v>
      </c>
      <c r="AG189">
        <v>0</v>
      </c>
      <c r="AH189">
        <v>0</v>
      </c>
      <c r="AI189">
        <v>0</v>
      </c>
      <c r="AJ189">
        <v>956.45</v>
      </c>
      <c r="AK189">
        <v>0</v>
      </c>
      <c r="AL189">
        <v>956.45</v>
      </c>
      <c r="AM189">
        <v>0</v>
      </c>
      <c r="AN189">
        <v>0</v>
      </c>
      <c r="AO189">
        <v>0</v>
      </c>
    </row>
    <row r="190" spans="1:41">
      <c r="A190">
        <v>189</v>
      </c>
      <c r="B190" s="42">
        <v>45939</v>
      </c>
      <c r="C190" t="str">
        <v>HINJEWADI</v>
      </c>
      <c r="D190" t="str">
        <v>SLK1</v>
      </c>
      <c r="E190" t="str">
        <v>SHADOWFAX TECHNOLOGIES PRIVATE LIMITED</v>
      </c>
      <c r="F190" t="str">
        <v>MH14KA1873</v>
      </c>
      <c r="G190" t="str">
        <v>ACE</v>
      </c>
      <c r="H190" t="str">
        <v>CNG</v>
      </c>
      <c r="I190">
        <v>4</v>
      </c>
      <c r="J190">
        <v>8</v>
      </c>
      <c r="K190">
        <v>25000</v>
      </c>
      <c r="L190">
        <v>1000</v>
      </c>
      <c r="M190">
        <v>55</v>
      </c>
      <c r="N190">
        <v>31</v>
      </c>
      <c r="O190" t="str">
        <v>PUN01 NC Cluster 37</v>
      </c>
      <c r="P190">
        <v>0</v>
      </c>
      <c r="Q190">
        <v>4.4444444444444446E-2</v>
      </c>
      <c r="R190">
        <v>0.18899305555555557</v>
      </c>
      <c r="S190">
        <v>112611</v>
      </c>
      <c r="T190">
        <v>0.40482638888888894</v>
      </c>
      <c r="U190">
        <v>0.40605324074074073</v>
      </c>
      <c r="V190">
        <v>112628</v>
      </c>
      <c r="W190">
        <v>37</v>
      </c>
      <c r="X190">
        <v>37</v>
      </c>
      <c r="Y190">
        <v>0</v>
      </c>
      <c r="Z190">
        <v>17</v>
      </c>
      <c r="AA190">
        <v>17</v>
      </c>
      <c r="AB190">
        <v>0</v>
      </c>
      <c r="AC190">
        <v>0</v>
      </c>
      <c r="AD190">
        <v>2</v>
      </c>
      <c r="AE190">
        <v>300</v>
      </c>
      <c r="AF190">
        <v>0</v>
      </c>
      <c r="AG190">
        <v>0</v>
      </c>
      <c r="AH190">
        <v>0</v>
      </c>
      <c r="AI190">
        <v>0</v>
      </c>
      <c r="AJ190">
        <v>1106.45</v>
      </c>
      <c r="AK190">
        <v>0</v>
      </c>
      <c r="AL190">
        <v>1106.45</v>
      </c>
      <c r="AM190">
        <v>0</v>
      </c>
      <c r="AN190">
        <v>0</v>
      </c>
      <c r="AO190">
        <v>0</v>
      </c>
    </row>
    <row r="191" spans="1:41">
      <c r="A191">
        <v>190</v>
      </c>
      <c r="B191" s="42">
        <v>45939</v>
      </c>
      <c r="C191" t="str">
        <v>HINJEWADI</v>
      </c>
      <c r="D191" t="str">
        <v>SLK1</v>
      </c>
      <c r="E191" t="str">
        <v>SHADOWFAX TECHNOLOGIES PRIVATE LIMITED</v>
      </c>
      <c r="F191" t="str">
        <v>MH14KA2871</v>
      </c>
      <c r="G191" t="str">
        <v>ACE</v>
      </c>
      <c r="H191" t="str">
        <v>CNG</v>
      </c>
      <c r="I191">
        <v>4</v>
      </c>
      <c r="J191">
        <v>8</v>
      </c>
      <c r="K191">
        <v>25000</v>
      </c>
      <c r="L191">
        <v>1000</v>
      </c>
      <c r="M191">
        <v>55</v>
      </c>
      <c r="N191">
        <v>31</v>
      </c>
      <c r="O191" t="str">
        <v>PUN01 NC Cluster 132</v>
      </c>
      <c r="P191">
        <v>0</v>
      </c>
      <c r="Q191">
        <v>4.6527777777777779E-2</v>
      </c>
      <c r="R191">
        <v>0.1955324074074074</v>
      </c>
      <c r="S191">
        <v>77537</v>
      </c>
      <c r="T191">
        <v>0.35818287037037039</v>
      </c>
      <c r="U191">
        <v>0.35826388888888888</v>
      </c>
      <c r="V191">
        <v>77569</v>
      </c>
      <c r="W191">
        <v>55</v>
      </c>
      <c r="X191">
        <v>55</v>
      </c>
      <c r="Y191">
        <v>0</v>
      </c>
      <c r="Z191">
        <v>32</v>
      </c>
      <c r="AA191">
        <v>32</v>
      </c>
      <c r="AB191">
        <v>0</v>
      </c>
      <c r="AC191">
        <v>0</v>
      </c>
      <c r="AD191">
        <v>1</v>
      </c>
      <c r="AE191">
        <v>150</v>
      </c>
      <c r="AF191">
        <v>0</v>
      </c>
      <c r="AG191">
        <v>0</v>
      </c>
      <c r="AH191">
        <v>0</v>
      </c>
      <c r="AI191">
        <v>0</v>
      </c>
      <c r="AJ191">
        <v>956.45</v>
      </c>
      <c r="AK191">
        <v>0</v>
      </c>
      <c r="AL191">
        <v>956.45</v>
      </c>
      <c r="AM191">
        <v>0</v>
      </c>
      <c r="AN191">
        <v>0</v>
      </c>
      <c r="AO191">
        <v>0</v>
      </c>
    </row>
    <row r="192" spans="1:41">
      <c r="A192">
        <v>191</v>
      </c>
      <c r="B192" s="42">
        <v>45939</v>
      </c>
      <c r="C192" t="str">
        <v>HINJEWADI</v>
      </c>
      <c r="D192" t="str">
        <v>SLK1</v>
      </c>
      <c r="E192" t="str">
        <v>SHADOWFAX TECHNOLOGIES PRIVATE LIMITED</v>
      </c>
      <c r="F192" t="str">
        <v>MH14KA6513</v>
      </c>
      <c r="G192" t="str">
        <v>ACE</v>
      </c>
      <c r="H192" t="str">
        <v>CNG</v>
      </c>
      <c r="I192">
        <v>6</v>
      </c>
      <c r="J192">
        <v>8</v>
      </c>
      <c r="K192">
        <v>33000</v>
      </c>
      <c r="L192">
        <v>2000</v>
      </c>
      <c r="M192">
        <v>55</v>
      </c>
      <c r="N192">
        <v>31</v>
      </c>
      <c r="O192" t="str">
        <v>PUN01 NC Cluster 299</v>
      </c>
      <c r="P192">
        <v>0</v>
      </c>
      <c r="Q192">
        <v>4.7222222222222221E-2</v>
      </c>
      <c r="R192">
        <v>0.18618055555555557</v>
      </c>
      <c r="S192">
        <v>47484</v>
      </c>
      <c r="T192">
        <v>0</v>
      </c>
      <c r="U192">
        <v>0</v>
      </c>
      <c r="V192">
        <v>47555</v>
      </c>
      <c r="W192">
        <v>0</v>
      </c>
      <c r="X192">
        <v>0</v>
      </c>
      <c r="Y192">
        <v>0</v>
      </c>
      <c r="Z192">
        <v>71</v>
      </c>
      <c r="AA192">
        <v>71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1064.52</v>
      </c>
      <c r="AK192">
        <v>0</v>
      </c>
      <c r="AL192">
        <v>1064.52</v>
      </c>
      <c r="AM192">
        <v>0</v>
      </c>
      <c r="AN192">
        <v>0</v>
      </c>
      <c r="AO192">
        <v>0</v>
      </c>
    </row>
    <row r="193" spans="1:41">
      <c r="A193">
        <v>192</v>
      </c>
      <c r="B193" s="42">
        <v>45939</v>
      </c>
      <c r="C193" t="str">
        <v>HINJEWADI</v>
      </c>
      <c r="D193" t="str">
        <v>SLK1</v>
      </c>
      <c r="E193" t="str">
        <v>SHADOWFAX TECHNOLOGIES PRIVATE LIMITED</v>
      </c>
      <c r="F193" t="str">
        <v>MH14KQ0279</v>
      </c>
      <c r="G193" t="str">
        <v>ACE</v>
      </c>
      <c r="H193" t="str">
        <v>CNG</v>
      </c>
      <c r="I193">
        <v>4</v>
      </c>
      <c r="J193">
        <v>8</v>
      </c>
      <c r="K193">
        <v>25000</v>
      </c>
      <c r="L193">
        <v>1000</v>
      </c>
      <c r="M193">
        <v>55</v>
      </c>
      <c r="N193">
        <v>31</v>
      </c>
      <c r="O193" t="str">
        <v>PUN01 NC Cluster 1</v>
      </c>
      <c r="P193">
        <v>0</v>
      </c>
      <c r="Q193">
        <v>0.11527777777777777</v>
      </c>
      <c r="R193">
        <v>0.27626157407407409</v>
      </c>
      <c r="S193">
        <v>117652</v>
      </c>
      <c r="T193">
        <v>0.27653935185185186</v>
      </c>
      <c r="U193">
        <v>0.27673611111111113</v>
      </c>
      <c r="V193">
        <v>117652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806.45</v>
      </c>
      <c r="AK193">
        <v>0</v>
      </c>
      <c r="AL193">
        <v>806.45</v>
      </c>
      <c r="AM193">
        <v>0</v>
      </c>
      <c r="AN193">
        <v>0</v>
      </c>
      <c r="AO193">
        <v>0</v>
      </c>
    </row>
    <row r="194" spans="1:41">
      <c r="A194">
        <v>193</v>
      </c>
      <c r="B194" s="42">
        <v>45939</v>
      </c>
      <c r="C194" t="str">
        <v>HINJEWADI</v>
      </c>
      <c r="D194" t="str">
        <v>SLK1</v>
      </c>
      <c r="E194" t="str">
        <v>SHADOWFAX TECHNOLOGIES PRIVATE LIMITED</v>
      </c>
      <c r="F194" t="str">
        <v>MH14KQ4401</v>
      </c>
      <c r="G194" t="str">
        <v>ACE</v>
      </c>
      <c r="H194" t="str">
        <v>CNG</v>
      </c>
      <c r="I194">
        <v>4</v>
      </c>
      <c r="J194">
        <v>8</v>
      </c>
      <c r="K194">
        <v>25000</v>
      </c>
      <c r="L194">
        <v>1000</v>
      </c>
      <c r="M194">
        <v>55</v>
      </c>
      <c r="N194">
        <v>31</v>
      </c>
      <c r="O194" t="str">
        <v>PUN01 NC Cluster 24</v>
      </c>
      <c r="P194">
        <v>0</v>
      </c>
      <c r="Q194">
        <v>5.0694444444444452E-2</v>
      </c>
      <c r="R194">
        <v>0.19781250000000003</v>
      </c>
      <c r="S194">
        <v>74358</v>
      </c>
      <c r="T194">
        <v>0.34097222222222223</v>
      </c>
      <c r="U194">
        <v>0.3520138888888889</v>
      </c>
      <c r="V194">
        <v>74385</v>
      </c>
      <c r="W194">
        <v>25</v>
      </c>
      <c r="X194">
        <v>25</v>
      </c>
      <c r="Y194">
        <v>0</v>
      </c>
      <c r="Z194">
        <v>27</v>
      </c>
      <c r="AA194">
        <v>27</v>
      </c>
      <c r="AB194">
        <v>0</v>
      </c>
      <c r="AC194">
        <v>0</v>
      </c>
      <c r="AD194">
        <v>1</v>
      </c>
      <c r="AE194">
        <v>150</v>
      </c>
      <c r="AF194">
        <v>0</v>
      </c>
      <c r="AG194">
        <v>0</v>
      </c>
      <c r="AH194">
        <v>0</v>
      </c>
      <c r="AI194">
        <v>0</v>
      </c>
      <c r="AJ194">
        <v>956.45</v>
      </c>
      <c r="AK194">
        <v>0</v>
      </c>
      <c r="AL194">
        <v>956.45</v>
      </c>
      <c r="AM194">
        <v>0</v>
      </c>
      <c r="AN194">
        <v>0</v>
      </c>
      <c r="AO194">
        <v>0</v>
      </c>
    </row>
    <row r="195" spans="1:41">
      <c r="A195">
        <v>194</v>
      </c>
      <c r="B195" s="42">
        <v>45939</v>
      </c>
      <c r="C195" t="str">
        <v>HINJEWADI</v>
      </c>
      <c r="D195" t="str">
        <v>SLK1</v>
      </c>
      <c r="E195" t="str">
        <v>SHADOWFAX TECHNOLOGIES PRIVATE LIMITED</v>
      </c>
      <c r="F195" t="str">
        <v>MH14LB6751</v>
      </c>
      <c r="G195" t="str">
        <v>ACE</v>
      </c>
      <c r="H195" t="str">
        <v>CNG</v>
      </c>
      <c r="I195">
        <v>4</v>
      </c>
      <c r="J195">
        <v>8</v>
      </c>
      <c r="K195">
        <v>25000</v>
      </c>
      <c r="L195">
        <v>1000</v>
      </c>
      <c r="M195">
        <v>55</v>
      </c>
      <c r="N195">
        <v>31</v>
      </c>
      <c r="O195" t="str">
        <v>PUN01 NC Cluster 43</v>
      </c>
      <c r="P195">
        <v>0</v>
      </c>
      <c r="Q195">
        <v>4.3750000000000004E-2</v>
      </c>
      <c r="R195">
        <v>0.18440972222222221</v>
      </c>
      <c r="S195">
        <v>83181</v>
      </c>
      <c r="T195">
        <v>0.32818287037037036</v>
      </c>
      <c r="U195">
        <v>0.32832175925925927</v>
      </c>
      <c r="V195">
        <v>83198</v>
      </c>
      <c r="W195">
        <v>50</v>
      </c>
      <c r="X195">
        <v>50</v>
      </c>
      <c r="Y195">
        <v>0</v>
      </c>
      <c r="Z195">
        <v>17</v>
      </c>
      <c r="AA195">
        <v>17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806.45</v>
      </c>
      <c r="AK195">
        <v>0</v>
      </c>
      <c r="AL195">
        <v>806.45</v>
      </c>
      <c r="AM195">
        <v>0</v>
      </c>
      <c r="AN195">
        <v>0</v>
      </c>
      <c r="AO195">
        <v>0</v>
      </c>
    </row>
    <row r="196" spans="1:41">
      <c r="A196">
        <v>195</v>
      </c>
      <c r="B196" s="42">
        <v>45939</v>
      </c>
      <c r="C196" t="str">
        <v>HINJEWADI</v>
      </c>
      <c r="D196" t="str">
        <v>SLK1</v>
      </c>
      <c r="E196" t="str">
        <v>SHADOWFAX TECHNOLOGIES PRIVATE LIMITED</v>
      </c>
      <c r="F196" t="str">
        <v>MH14LL5974</v>
      </c>
      <c r="G196" t="str">
        <v>ACE</v>
      </c>
      <c r="H196" t="str">
        <v>CNG</v>
      </c>
      <c r="I196">
        <v>4</v>
      </c>
      <c r="J196">
        <v>8</v>
      </c>
      <c r="K196">
        <v>25000</v>
      </c>
      <c r="L196">
        <v>1000</v>
      </c>
      <c r="M196">
        <v>55</v>
      </c>
      <c r="N196">
        <v>31</v>
      </c>
      <c r="O196" t="str">
        <v>PUN01 NC Cluster 136</v>
      </c>
      <c r="P196">
        <v>0</v>
      </c>
      <c r="Q196">
        <v>9.0277777777777776E-2</v>
      </c>
      <c r="R196">
        <v>0.1915162037037037</v>
      </c>
      <c r="S196">
        <v>36398</v>
      </c>
      <c r="T196">
        <v>0.33788194444444447</v>
      </c>
      <c r="U196">
        <v>0.33811342592592591</v>
      </c>
      <c r="V196">
        <v>36432</v>
      </c>
      <c r="W196">
        <v>55</v>
      </c>
      <c r="X196">
        <v>55</v>
      </c>
      <c r="Y196">
        <v>0</v>
      </c>
      <c r="Z196">
        <v>34</v>
      </c>
      <c r="AA196">
        <v>34</v>
      </c>
      <c r="AB196">
        <v>0</v>
      </c>
      <c r="AC196">
        <v>0</v>
      </c>
      <c r="AD196">
        <v>1</v>
      </c>
      <c r="AE196">
        <v>150</v>
      </c>
      <c r="AF196">
        <v>0</v>
      </c>
      <c r="AG196">
        <v>0</v>
      </c>
      <c r="AH196">
        <v>0</v>
      </c>
      <c r="AI196">
        <v>0</v>
      </c>
      <c r="AJ196">
        <v>956.45</v>
      </c>
      <c r="AK196">
        <v>0</v>
      </c>
      <c r="AL196">
        <v>956.45</v>
      </c>
      <c r="AM196">
        <v>0</v>
      </c>
      <c r="AN196">
        <v>0</v>
      </c>
      <c r="AO196">
        <v>0</v>
      </c>
    </row>
    <row r="197" spans="1:41">
      <c r="A197">
        <v>196</v>
      </c>
      <c r="B197" s="42">
        <v>45939</v>
      </c>
      <c r="C197" t="str">
        <v>HINJEWADI</v>
      </c>
      <c r="D197" t="str">
        <v>SLK1</v>
      </c>
      <c r="E197" t="str">
        <v>SHADOWFAX TECHNOLOGIES PRIVATE LIMITED</v>
      </c>
      <c r="F197" t="str">
        <v>MH14LL6836</v>
      </c>
      <c r="G197" t="str">
        <v>ACE</v>
      </c>
      <c r="H197" t="str">
        <v>CNG</v>
      </c>
      <c r="I197">
        <v>6</v>
      </c>
      <c r="J197">
        <v>8</v>
      </c>
      <c r="K197">
        <v>33000</v>
      </c>
      <c r="L197">
        <v>2000</v>
      </c>
      <c r="M197">
        <v>55</v>
      </c>
      <c r="N197">
        <v>31</v>
      </c>
      <c r="O197" t="str">
        <v>PUN01 NC Cluster 303</v>
      </c>
      <c r="P197">
        <v>0</v>
      </c>
      <c r="Q197">
        <v>0.11180555555555556</v>
      </c>
      <c r="R197">
        <v>0.18598379629629627</v>
      </c>
      <c r="S197">
        <v>32618</v>
      </c>
      <c r="T197">
        <v>0.35266203703703702</v>
      </c>
      <c r="U197">
        <v>0.35276620370370365</v>
      </c>
      <c r="V197">
        <v>32698</v>
      </c>
      <c r="W197">
        <v>33</v>
      </c>
      <c r="X197">
        <v>33</v>
      </c>
      <c r="Y197">
        <v>0</v>
      </c>
      <c r="Z197">
        <v>80</v>
      </c>
      <c r="AA197">
        <v>80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1064.52</v>
      </c>
      <c r="AK197">
        <v>0</v>
      </c>
      <c r="AL197">
        <v>1064.52</v>
      </c>
      <c r="AM197">
        <v>0</v>
      </c>
      <c r="AN197">
        <v>0</v>
      </c>
      <c r="AO197">
        <v>0</v>
      </c>
    </row>
    <row r="198" spans="1:41">
      <c r="A198">
        <v>197</v>
      </c>
      <c r="B198" s="42">
        <v>45939</v>
      </c>
      <c r="C198" t="str">
        <v>HINJEWADI</v>
      </c>
      <c r="D198" t="str">
        <v>SLK1</v>
      </c>
      <c r="E198" t="str">
        <v>SHADOWFAX TECHNOLOGIES PRIVATE LIMITED</v>
      </c>
      <c r="F198" t="str">
        <v>MH14LX6360</v>
      </c>
      <c r="G198" t="str">
        <v>ACE</v>
      </c>
      <c r="H198" t="str">
        <v>CNG</v>
      </c>
      <c r="I198">
        <v>4</v>
      </c>
      <c r="J198">
        <v>8</v>
      </c>
      <c r="K198">
        <v>25000</v>
      </c>
      <c r="L198">
        <v>1000</v>
      </c>
      <c r="M198">
        <v>55</v>
      </c>
      <c r="N198">
        <v>31</v>
      </c>
      <c r="O198" t="str">
        <v>PUN01 NC Cluster 62</v>
      </c>
      <c r="P198">
        <v>0</v>
      </c>
      <c r="Q198">
        <v>4.4444444444444446E-2</v>
      </c>
      <c r="R198">
        <v>0.18550925925925923</v>
      </c>
      <c r="S198">
        <v>37917</v>
      </c>
      <c r="T198">
        <v>0.31797453703703704</v>
      </c>
      <c r="U198">
        <v>0.31805555555555554</v>
      </c>
      <c r="V198">
        <v>37944</v>
      </c>
      <c r="W198">
        <v>33</v>
      </c>
      <c r="X198">
        <v>33</v>
      </c>
      <c r="Y198">
        <v>0</v>
      </c>
      <c r="Z198">
        <v>27</v>
      </c>
      <c r="AA198">
        <v>27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806.45</v>
      </c>
      <c r="AK198">
        <v>0</v>
      </c>
      <c r="AL198">
        <v>806.45</v>
      </c>
      <c r="AM198">
        <v>0</v>
      </c>
      <c r="AN198">
        <v>0</v>
      </c>
      <c r="AO198">
        <v>0</v>
      </c>
    </row>
    <row r="199" spans="1:41">
      <c r="A199">
        <v>198</v>
      </c>
      <c r="B199" s="42">
        <v>45939</v>
      </c>
      <c r="C199" t="str">
        <v>HINJEWADI</v>
      </c>
      <c r="D199" t="str">
        <v>SLK1</v>
      </c>
      <c r="E199" t="str">
        <v>SHADOWFAX TECHNOLOGIES PRIVATE LIMITED</v>
      </c>
      <c r="F199" t="str">
        <v>MH14MH6374</v>
      </c>
      <c r="G199" t="str">
        <v>ACE</v>
      </c>
      <c r="H199" t="str">
        <v>CNG</v>
      </c>
      <c r="I199">
        <v>4</v>
      </c>
      <c r="J199">
        <v>8</v>
      </c>
      <c r="K199">
        <v>25000</v>
      </c>
      <c r="L199">
        <v>1000</v>
      </c>
      <c r="M199">
        <v>55</v>
      </c>
      <c r="N199">
        <v>31</v>
      </c>
      <c r="O199" t="str">
        <v>PUN01 NC Cluster 201</v>
      </c>
      <c r="P199">
        <v>0</v>
      </c>
      <c r="Q199">
        <v>7.8472222222222221E-2</v>
      </c>
      <c r="R199">
        <v>0.18627314814814813</v>
      </c>
      <c r="S199">
        <v>6859</v>
      </c>
      <c r="T199">
        <v>0.38896990740740739</v>
      </c>
      <c r="U199">
        <v>0.38947916666666665</v>
      </c>
      <c r="V199">
        <v>6901</v>
      </c>
      <c r="W199">
        <v>0</v>
      </c>
      <c r="X199">
        <v>0</v>
      </c>
      <c r="Y199">
        <v>0</v>
      </c>
      <c r="Z199">
        <v>42</v>
      </c>
      <c r="AA199">
        <v>42</v>
      </c>
      <c r="AB199">
        <v>0</v>
      </c>
      <c r="AC199">
        <v>0</v>
      </c>
      <c r="AD199">
        <v>2</v>
      </c>
      <c r="AE199">
        <v>300</v>
      </c>
      <c r="AF199">
        <v>0</v>
      </c>
      <c r="AG199">
        <v>0</v>
      </c>
      <c r="AH199">
        <v>0</v>
      </c>
      <c r="AI199">
        <v>0</v>
      </c>
      <c r="AJ199">
        <v>1106.45</v>
      </c>
      <c r="AK199">
        <v>0</v>
      </c>
      <c r="AL199">
        <v>1106.45</v>
      </c>
      <c r="AM199">
        <v>0</v>
      </c>
      <c r="AN199">
        <v>0</v>
      </c>
      <c r="AO199">
        <v>0</v>
      </c>
    </row>
    <row r="200" spans="1:41">
      <c r="A200">
        <v>199</v>
      </c>
      <c r="B200" s="42">
        <v>45939</v>
      </c>
      <c r="C200" t="str">
        <v>HINJEWADI</v>
      </c>
      <c r="D200" t="str">
        <v>SLK1</v>
      </c>
      <c r="E200" t="str">
        <v>SHADOWFAX TECHNOLOGIES PRIVATE LIMITED</v>
      </c>
      <c r="F200" t="str">
        <v>MH14MH8276</v>
      </c>
      <c r="G200" t="str">
        <v>ACE</v>
      </c>
      <c r="H200" t="str">
        <v>CNG</v>
      </c>
      <c r="I200">
        <v>4</v>
      </c>
      <c r="J200">
        <v>8</v>
      </c>
      <c r="K200">
        <v>25000</v>
      </c>
      <c r="L200">
        <v>1000</v>
      </c>
      <c r="M200">
        <v>55</v>
      </c>
      <c r="N200">
        <v>31</v>
      </c>
      <c r="O200" t="str">
        <v>PUN01 NC Cluster 59</v>
      </c>
      <c r="P200">
        <v>0</v>
      </c>
      <c r="Q200">
        <v>4.3750000000000004E-2</v>
      </c>
      <c r="R200">
        <v>0.18528935185185183</v>
      </c>
      <c r="S200">
        <v>4161</v>
      </c>
      <c r="T200">
        <v>0.31847222222222221</v>
      </c>
      <c r="U200">
        <v>0.31854166666666667</v>
      </c>
      <c r="V200">
        <v>4176</v>
      </c>
      <c r="W200">
        <v>29</v>
      </c>
      <c r="X200">
        <v>29</v>
      </c>
      <c r="Y200">
        <v>0</v>
      </c>
      <c r="Z200">
        <v>15</v>
      </c>
      <c r="AA200">
        <v>15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806.45</v>
      </c>
      <c r="AK200">
        <v>0</v>
      </c>
      <c r="AL200">
        <v>806.45</v>
      </c>
      <c r="AM200">
        <v>0</v>
      </c>
      <c r="AN200">
        <v>0</v>
      </c>
      <c r="AO200">
        <v>0</v>
      </c>
    </row>
    <row r="201" spans="1:41">
      <c r="A201">
        <v>200</v>
      </c>
      <c r="B201" s="42">
        <v>45939</v>
      </c>
      <c r="C201" t="str">
        <v>HINJEWADI</v>
      </c>
      <c r="D201" t="str">
        <v>SLK1</v>
      </c>
      <c r="E201" t="str">
        <v>SHADOWFAX TECHNOLOGIES PRIVATE LIMITED</v>
      </c>
      <c r="F201" t="str">
        <v>MH20GC8804</v>
      </c>
      <c r="G201" t="str">
        <v>ACE</v>
      </c>
      <c r="H201" t="str">
        <v>CNG</v>
      </c>
      <c r="I201">
        <v>4</v>
      </c>
      <c r="J201">
        <v>8</v>
      </c>
      <c r="K201">
        <v>25000</v>
      </c>
      <c r="L201">
        <v>1000</v>
      </c>
      <c r="M201">
        <v>55</v>
      </c>
      <c r="N201">
        <v>31</v>
      </c>
      <c r="O201" t="str">
        <v>PUN01 NC Cluster 124</v>
      </c>
      <c r="P201">
        <v>0</v>
      </c>
      <c r="Q201">
        <v>0.11875000000000001</v>
      </c>
      <c r="R201">
        <v>0.19569444444444442</v>
      </c>
      <c r="S201">
        <v>41116</v>
      </c>
      <c r="T201">
        <v>0.32030092592592591</v>
      </c>
      <c r="U201">
        <v>0.32043981481481482</v>
      </c>
      <c r="V201">
        <v>41150</v>
      </c>
      <c r="W201">
        <v>50</v>
      </c>
      <c r="X201">
        <v>50</v>
      </c>
      <c r="Y201">
        <v>0</v>
      </c>
      <c r="Z201">
        <v>34</v>
      </c>
      <c r="AA201">
        <v>34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806.45</v>
      </c>
      <c r="AK201">
        <v>0</v>
      </c>
      <c r="AL201">
        <v>806.45</v>
      </c>
      <c r="AM201">
        <v>0</v>
      </c>
      <c r="AN201">
        <v>0</v>
      </c>
      <c r="AO201">
        <v>0</v>
      </c>
    </row>
    <row r="202" spans="1:41">
      <c r="A202">
        <v>201</v>
      </c>
      <c r="B202" s="42">
        <v>45939</v>
      </c>
      <c r="C202" t="str">
        <v>HINJEWADI</v>
      </c>
      <c r="D202" t="str">
        <v>SLK1</v>
      </c>
      <c r="E202" t="str">
        <v>SHADOWFAX TECHNOLOGIES PRIVATE LIMITED</v>
      </c>
      <c r="F202" t="str">
        <v>MH14LL4513</v>
      </c>
      <c r="G202" t="str">
        <v>BOLERO</v>
      </c>
      <c r="H202" t="str">
        <v>DIESEL</v>
      </c>
      <c r="I202">
        <v>4</v>
      </c>
      <c r="J202">
        <v>10</v>
      </c>
      <c r="K202">
        <v>29000</v>
      </c>
      <c r="L202">
        <v>1000</v>
      </c>
      <c r="M202">
        <v>55</v>
      </c>
      <c r="N202">
        <v>31</v>
      </c>
      <c r="O202" t="str">
        <v>PUN01 NC Cluster 73A</v>
      </c>
      <c r="P202">
        <v>0</v>
      </c>
      <c r="Q202">
        <v>0.11597222222222221</v>
      </c>
      <c r="R202">
        <v>0.18686342592592595</v>
      </c>
      <c r="S202">
        <v>32327</v>
      </c>
      <c r="T202">
        <v>0.35686342592592596</v>
      </c>
      <c r="U202">
        <v>0.35696759259259259</v>
      </c>
      <c r="V202">
        <v>32339</v>
      </c>
      <c r="W202">
        <v>39</v>
      </c>
      <c r="X202">
        <v>39</v>
      </c>
      <c r="Y202">
        <v>0</v>
      </c>
      <c r="Z202">
        <v>12</v>
      </c>
      <c r="AA202">
        <v>12</v>
      </c>
      <c r="AB202">
        <v>0</v>
      </c>
      <c r="AC202">
        <v>0</v>
      </c>
      <c r="AD202">
        <v>1</v>
      </c>
      <c r="AE202">
        <v>150</v>
      </c>
      <c r="AF202">
        <v>0</v>
      </c>
      <c r="AG202">
        <v>0</v>
      </c>
      <c r="AH202">
        <v>0</v>
      </c>
      <c r="AI202">
        <v>0</v>
      </c>
      <c r="AJ202">
        <v>1085.48</v>
      </c>
      <c r="AK202">
        <v>0</v>
      </c>
      <c r="AL202">
        <v>1085.48</v>
      </c>
      <c r="AM202">
        <v>0</v>
      </c>
      <c r="AN202">
        <v>0</v>
      </c>
      <c r="AO202">
        <v>0</v>
      </c>
    </row>
    <row r="203" spans="1:41">
      <c r="A203">
        <v>202</v>
      </c>
      <c r="B203" s="42">
        <v>45939</v>
      </c>
      <c r="C203" t="str">
        <v>HINJEWADI</v>
      </c>
      <c r="D203" t="str">
        <v>SLK1</v>
      </c>
      <c r="E203" t="str">
        <v>SHADOWFAX TECHNOLOGIES PRIVATE LIMITED</v>
      </c>
      <c r="F203" t="str">
        <v>MH14LX4839</v>
      </c>
      <c r="G203" t="str">
        <v>BOLERO</v>
      </c>
      <c r="H203" t="str">
        <v>DIESEL</v>
      </c>
      <c r="I203">
        <v>4</v>
      </c>
      <c r="J203">
        <v>10</v>
      </c>
      <c r="K203">
        <v>29000</v>
      </c>
      <c r="L203">
        <v>1000</v>
      </c>
      <c r="M203">
        <v>55</v>
      </c>
      <c r="N203">
        <v>31</v>
      </c>
      <c r="O203" t="str">
        <v>PUN01 NC Cluster 13</v>
      </c>
      <c r="P203">
        <v>0</v>
      </c>
      <c r="Q203">
        <v>0.12638888888888888</v>
      </c>
      <c r="R203">
        <v>0.18638888888888891</v>
      </c>
      <c r="S203">
        <v>38287</v>
      </c>
      <c r="T203">
        <v>0.39046296296296296</v>
      </c>
      <c r="U203">
        <v>0.39252314814814815</v>
      </c>
      <c r="V203">
        <v>38308</v>
      </c>
      <c r="W203">
        <v>35</v>
      </c>
      <c r="X203">
        <v>35</v>
      </c>
      <c r="Y203">
        <v>0</v>
      </c>
      <c r="Z203">
        <v>21</v>
      </c>
      <c r="AA203">
        <v>21</v>
      </c>
      <c r="AB203">
        <v>0</v>
      </c>
      <c r="AC203">
        <v>0</v>
      </c>
      <c r="AD203">
        <v>2</v>
      </c>
      <c r="AE203">
        <v>300</v>
      </c>
      <c r="AF203">
        <v>0</v>
      </c>
      <c r="AG203">
        <v>0</v>
      </c>
      <c r="AH203">
        <v>0</v>
      </c>
      <c r="AI203">
        <v>0</v>
      </c>
      <c r="AJ203">
        <v>1235.48</v>
      </c>
      <c r="AK203">
        <v>0</v>
      </c>
      <c r="AL203">
        <v>1235.48</v>
      </c>
      <c r="AM203">
        <v>0</v>
      </c>
      <c r="AN203">
        <v>0</v>
      </c>
      <c r="AO203">
        <v>0</v>
      </c>
    </row>
    <row r="204" spans="1:41">
      <c r="A204">
        <v>203</v>
      </c>
      <c r="B204" s="42">
        <v>45939</v>
      </c>
      <c r="C204" t="str">
        <v>HINJEWADI</v>
      </c>
      <c r="D204" t="str">
        <v>SLK1</v>
      </c>
      <c r="E204" t="str">
        <v>SHADOWFAX TECHNOLOGIES PRIVATE LIMITED</v>
      </c>
      <c r="F204" t="str">
        <v>MH14LX4840</v>
      </c>
      <c r="G204" t="str">
        <v>BOLERO</v>
      </c>
      <c r="H204" t="str">
        <v>DIESEL</v>
      </c>
      <c r="I204">
        <v>4</v>
      </c>
      <c r="J204">
        <v>10</v>
      </c>
      <c r="K204">
        <v>29000</v>
      </c>
      <c r="L204">
        <v>1000</v>
      </c>
      <c r="M204">
        <v>55</v>
      </c>
      <c r="N204">
        <v>31</v>
      </c>
      <c r="O204" t="str">
        <v>PUN01 NC Cluster 135</v>
      </c>
      <c r="P204">
        <v>0</v>
      </c>
      <c r="Q204">
        <v>0.12083333333333333</v>
      </c>
      <c r="R204">
        <v>0.19660879629629627</v>
      </c>
      <c r="S204">
        <v>60186</v>
      </c>
      <c r="T204">
        <v>0.32621527777777776</v>
      </c>
      <c r="U204">
        <v>0.32629629629629631</v>
      </c>
      <c r="V204">
        <v>60214</v>
      </c>
      <c r="W204">
        <v>47</v>
      </c>
      <c r="X204">
        <v>47</v>
      </c>
      <c r="Y204">
        <v>0</v>
      </c>
      <c r="Z204">
        <v>28</v>
      </c>
      <c r="AA204">
        <v>28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935.48</v>
      </c>
      <c r="AK204">
        <v>0</v>
      </c>
      <c r="AL204">
        <v>935.48</v>
      </c>
      <c r="AM204">
        <v>0</v>
      </c>
      <c r="AN204">
        <v>0</v>
      </c>
      <c r="AO204">
        <v>0</v>
      </c>
    </row>
    <row r="205" spans="1:41">
      <c r="A205">
        <v>204</v>
      </c>
      <c r="B205" s="42">
        <v>45939</v>
      </c>
      <c r="C205" t="str">
        <v>HINJEWADI</v>
      </c>
      <c r="D205" t="str">
        <v>SLK1</v>
      </c>
      <c r="E205" t="str">
        <v>SHADOWFAX TECHNOLOGIES PRIVATE LIMITED</v>
      </c>
      <c r="F205" t="str">
        <v>MH14MH7322</v>
      </c>
      <c r="G205" t="str">
        <v>BOLERO</v>
      </c>
      <c r="H205" t="str">
        <v>DIESEL</v>
      </c>
      <c r="I205">
        <v>4</v>
      </c>
      <c r="J205">
        <v>10</v>
      </c>
      <c r="K205">
        <v>29000</v>
      </c>
      <c r="L205">
        <v>1000</v>
      </c>
      <c r="M205">
        <v>55</v>
      </c>
      <c r="N205">
        <v>31</v>
      </c>
      <c r="O205" t="str">
        <v>PUN01 NC Cluster 175</v>
      </c>
      <c r="P205">
        <v>0</v>
      </c>
      <c r="Q205">
        <v>0.11527777777777777</v>
      </c>
      <c r="R205">
        <v>0.19597222222222221</v>
      </c>
      <c r="S205">
        <v>2888</v>
      </c>
      <c r="T205">
        <v>0.4614583333333333</v>
      </c>
      <c r="U205">
        <v>0.46156250000000004</v>
      </c>
      <c r="V205">
        <v>2914</v>
      </c>
      <c r="W205">
        <v>23</v>
      </c>
      <c r="X205">
        <v>23</v>
      </c>
      <c r="Y205">
        <v>0</v>
      </c>
      <c r="Z205">
        <v>26</v>
      </c>
      <c r="AA205">
        <v>26</v>
      </c>
      <c r="AB205">
        <v>0</v>
      </c>
      <c r="AC205">
        <v>0</v>
      </c>
      <c r="AD205">
        <v>4</v>
      </c>
      <c r="AE205">
        <v>600</v>
      </c>
      <c r="AF205">
        <v>0</v>
      </c>
      <c r="AG205">
        <v>0</v>
      </c>
      <c r="AH205">
        <v>0</v>
      </c>
      <c r="AI205">
        <v>0</v>
      </c>
      <c r="AJ205">
        <v>1535.48</v>
      </c>
      <c r="AK205">
        <v>0</v>
      </c>
      <c r="AL205">
        <v>1535.48</v>
      </c>
      <c r="AM205">
        <v>0</v>
      </c>
      <c r="AN205">
        <v>0</v>
      </c>
      <c r="AO205">
        <v>0</v>
      </c>
    </row>
    <row r="206" spans="1:41">
      <c r="A206">
        <v>205</v>
      </c>
      <c r="B206" s="42">
        <v>45939</v>
      </c>
      <c r="C206" t="str">
        <v>HINJEWADI</v>
      </c>
      <c r="D206" t="str">
        <v>SLK1</v>
      </c>
      <c r="E206" t="str">
        <v>SHADOWFAX TECHNOLOGIES PRIVATE LIMITED</v>
      </c>
      <c r="F206" t="str">
        <v>MH16CD7321</v>
      </c>
      <c r="G206" t="str">
        <v>BOLERO</v>
      </c>
      <c r="H206" t="str">
        <v>DIESEL</v>
      </c>
      <c r="I206">
        <v>4</v>
      </c>
      <c r="J206">
        <v>10</v>
      </c>
      <c r="K206">
        <v>29000</v>
      </c>
      <c r="L206">
        <v>1000</v>
      </c>
      <c r="M206">
        <v>55</v>
      </c>
      <c r="N206">
        <v>31</v>
      </c>
      <c r="O206" t="str">
        <v>PUN01 NC Cluster 23</v>
      </c>
      <c r="P206">
        <v>0</v>
      </c>
      <c r="Q206">
        <v>8.819444444444445E-2</v>
      </c>
      <c r="R206">
        <v>0.30664351851851851</v>
      </c>
      <c r="S206">
        <v>138901</v>
      </c>
      <c r="T206">
        <v>0.33861111111111114</v>
      </c>
      <c r="U206">
        <v>0.34822916666666665</v>
      </c>
      <c r="V206">
        <v>138968</v>
      </c>
      <c r="W206">
        <v>13</v>
      </c>
      <c r="X206">
        <v>13</v>
      </c>
      <c r="Y206">
        <v>0</v>
      </c>
      <c r="Z206">
        <v>67</v>
      </c>
      <c r="AA206">
        <v>67</v>
      </c>
      <c r="AB206">
        <v>0</v>
      </c>
      <c r="AC206">
        <v>0</v>
      </c>
      <c r="AD206">
        <v>1</v>
      </c>
      <c r="AE206">
        <v>150</v>
      </c>
      <c r="AF206">
        <v>0</v>
      </c>
      <c r="AG206">
        <v>0</v>
      </c>
      <c r="AH206">
        <v>0</v>
      </c>
      <c r="AI206">
        <v>0</v>
      </c>
      <c r="AJ206">
        <v>1085.48</v>
      </c>
      <c r="AK206">
        <v>0</v>
      </c>
      <c r="AL206">
        <v>1085.48</v>
      </c>
      <c r="AM206">
        <v>0</v>
      </c>
      <c r="AN206">
        <v>0</v>
      </c>
      <c r="AO206">
        <v>0</v>
      </c>
    </row>
    <row r="207" spans="1:41">
      <c r="A207">
        <v>206</v>
      </c>
      <c r="B207" s="42">
        <v>45940</v>
      </c>
      <c r="C207" t="str">
        <v>HINJEWADI</v>
      </c>
      <c r="D207" t="str">
        <v>SLK1</v>
      </c>
      <c r="E207" t="str">
        <v>SHADOWFAX TECHNOLOGIES PRIVATE LIMITED</v>
      </c>
      <c r="F207" t="str">
        <v>MH03AH8989</v>
      </c>
      <c r="G207" t="str">
        <v>ACE</v>
      </c>
      <c r="H207" t="str">
        <v>CNG</v>
      </c>
      <c r="I207">
        <v>4</v>
      </c>
      <c r="J207">
        <v>8</v>
      </c>
      <c r="K207">
        <v>25000</v>
      </c>
      <c r="L207">
        <v>1000</v>
      </c>
      <c r="M207">
        <v>55</v>
      </c>
      <c r="N207">
        <v>31</v>
      </c>
      <c r="O207" t="str">
        <v>PUN01 NC Cluster 59</v>
      </c>
      <c r="P207">
        <v>0</v>
      </c>
      <c r="Q207">
        <v>5.1388888888888894E-2</v>
      </c>
      <c r="R207">
        <v>0.17833333333333334</v>
      </c>
      <c r="S207">
        <v>56492</v>
      </c>
      <c r="T207">
        <v>0.35640046296296296</v>
      </c>
      <c r="U207">
        <v>0.35652777777777778</v>
      </c>
      <c r="V207">
        <v>56514</v>
      </c>
      <c r="W207">
        <v>25</v>
      </c>
      <c r="X207">
        <v>25</v>
      </c>
      <c r="Y207">
        <v>0</v>
      </c>
      <c r="Z207">
        <v>22</v>
      </c>
      <c r="AA207">
        <v>22</v>
      </c>
      <c r="AB207">
        <v>0</v>
      </c>
      <c r="AC207">
        <v>0</v>
      </c>
      <c r="AD207">
        <v>1</v>
      </c>
      <c r="AE207">
        <v>150</v>
      </c>
      <c r="AF207">
        <v>0</v>
      </c>
      <c r="AG207">
        <v>0</v>
      </c>
      <c r="AH207">
        <v>0</v>
      </c>
      <c r="AI207">
        <v>0</v>
      </c>
      <c r="AJ207">
        <v>956.45</v>
      </c>
      <c r="AK207">
        <v>0</v>
      </c>
      <c r="AL207">
        <v>956.45</v>
      </c>
      <c r="AM207">
        <v>0</v>
      </c>
      <c r="AN207">
        <v>0</v>
      </c>
      <c r="AO207">
        <v>0</v>
      </c>
    </row>
    <row r="208" spans="1:41">
      <c r="A208">
        <v>207</v>
      </c>
      <c r="B208" s="42">
        <v>45940</v>
      </c>
      <c r="C208" t="str">
        <v>HINJEWADI</v>
      </c>
      <c r="D208" t="str">
        <v>SLK1</v>
      </c>
      <c r="E208" t="str">
        <v>SHADOWFAX TECHNOLOGIES PRIVATE LIMITED</v>
      </c>
      <c r="F208" t="str">
        <v>MH12RN4983</v>
      </c>
      <c r="G208" t="str">
        <v>ACE</v>
      </c>
      <c r="H208" t="str">
        <v>CNG</v>
      </c>
      <c r="I208">
        <v>4</v>
      </c>
      <c r="J208">
        <v>8</v>
      </c>
      <c r="K208">
        <v>25000</v>
      </c>
      <c r="L208">
        <v>1000</v>
      </c>
      <c r="M208">
        <v>55</v>
      </c>
      <c r="N208">
        <v>31</v>
      </c>
      <c r="O208" t="str">
        <v>PUN01 NC Cluster 73</v>
      </c>
      <c r="P208">
        <v>0</v>
      </c>
      <c r="Q208">
        <v>0.13402777777777777</v>
      </c>
      <c r="R208">
        <v>0.18184027777777778</v>
      </c>
      <c r="S208">
        <v>191370</v>
      </c>
      <c r="T208">
        <v>0.30682870370370369</v>
      </c>
      <c r="U208">
        <v>0.30693287037037037</v>
      </c>
      <c r="V208">
        <v>191390</v>
      </c>
      <c r="W208">
        <v>18</v>
      </c>
      <c r="X208">
        <v>18</v>
      </c>
      <c r="Y208">
        <v>0</v>
      </c>
      <c r="Z208">
        <v>20</v>
      </c>
      <c r="AA208">
        <v>20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806.45</v>
      </c>
      <c r="AK208">
        <v>0</v>
      </c>
      <c r="AL208">
        <v>806.45</v>
      </c>
      <c r="AM208">
        <v>0</v>
      </c>
      <c r="AN208">
        <v>0</v>
      </c>
      <c r="AO208">
        <v>0</v>
      </c>
    </row>
    <row r="209" spans="1:41">
      <c r="A209">
        <v>208</v>
      </c>
      <c r="B209" s="42">
        <v>45940</v>
      </c>
      <c r="C209" t="str">
        <v>HINJEWADI</v>
      </c>
      <c r="D209" t="str">
        <v>SLK1</v>
      </c>
      <c r="E209" t="str">
        <v>SHADOWFAX TECHNOLOGIES PRIVATE LIMITED</v>
      </c>
      <c r="F209" t="str">
        <v>MH12SF9859</v>
      </c>
      <c r="G209" t="str">
        <v>ACE</v>
      </c>
      <c r="H209" t="str">
        <v>CNG</v>
      </c>
      <c r="I209">
        <v>4</v>
      </c>
      <c r="J209">
        <v>8</v>
      </c>
      <c r="K209">
        <v>25000</v>
      </c>
      <c r="L209">
        <v>1000</v>
      </c>
      <c r="M209">
        <v>55</v>
      </c>
      <c r="N209">
        <v>31</v>
      </c>
      <c r="O209" t="str">
        <v>PUN01 NC Cluster 128</v>
      </c>
      <c r="P209">
        <v>0</v>
      </c>
      <c r="Q209">
        <v>4.7916666666666663E-2</v>
      </c>
      <c r="R209">
        <v>0.18422453703703703</v>
      </c>
      <c r="S209">
        <v>110058</v>
      </c>
      <c r="T209">
        <v>0.33121527777777776</v>
      </c>
      <c r="U209">
        <v>0.33129629629629631</v>
      </c>
      <c r="V209">
        <v>110099</v>
      </c>
      <c r="W209">
        <v>56</v>
      </c>
      <c r="X209">
        <v>56</v>
      </c>
      <c r="Y209">
        <v>0</v>
      </c>
      <c r="Z209">
        <v>41</v>
      </c>
      <c r="AA209">
        <v>41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806.45</v>
      </c>
      <c r="AK209">
        <v>0</v>
      </c>
      <c r="AL209">
        <v>806.45</v>
      </c>
      <c r="AM209">
        <v>0</v>
      </c>
      <c r="AN209">
        <v>0</v>
      </c>
      <c r="AO209">
        <v>0</v>
      </c>
    </row>
    <row r="210" spans="1:41">
      <c r="A210">
        <v>209</v>
      </c>
      <c r="B210" s="42">
        <v>45940</v>
      </c>
      <c r="C210" t="str">
        <v>HINJEWADI</v>
      </c>
      <c r="D210" t="str">
        <v>SLK1</v>
      </c>
      <c r="E210" t="str">
        <v>SHADOWFAX TECHNOLOGIES PRIVATE LIMITED</v>
      </c>
      <c r="F210" t="str">
        <v>MH12UM3063</v>
      </c>
      <c r="G210" t="str">
        <v>ACE</v>
      </c>
      <c r="H210" t="str">
        <v>CNG</v>
      </c>
      <c r="I210">
        <v>6</v>
      </c>
      <c r="J210">
        <v>8</v>
      </c>
      <c r="K210">
        <v>33000</v>
      </c>
      <c r="L210">
        <v>2000</v>
      </c>
      <c r="M210">
        <v>55</v>
      </c>
      <c r="N210">
        <v>31</v>
      </c>
      <c r="O210" t="str">
        <v>PUN01 NC Cluster 230</v>
      </c>
      <c r="P210">
        <v>0</v>
      </c>
      <c r="Q210">
        <v>5.4166666666666669E-2</v>
      </c>
      <c r="R210">
        <v>0.18099537037037036</v>
      </c>
      <c r="S210">
        <v>99244</v>
      </c>
      <c r="T210">
        <v>0.30655092592592592</v>
      </c>
      <c r="U210">
        <v>0.30670138888888887</v>
      </c>
      <c r="V210">
        <v>99286</v>
      </c>
      <c r="W210">
        <v>65</v>
      </c>
      <c r="X210">
        <v>65</v>
      </c>
      <c r="Y210">
        <v>0</v>
      </c>
      <c r="Z210">
        <v>42</v>
      </c>
      <c r="AA210">
        <v>42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1064.52</v>
      </c>
      <c r="AK210">
        <v>0</v>
      </c>
      <c r="AL210">
        <v>1064.52</v>
      </c>
      <c r="AM210">
        <v>0</v>
      </c>
      <c r="AN210">
        <v>0</v>
      </c>
      <c r="AO210">
        <v>0</v>
      </c>
    </row>
    <row r="211" spans="1:41">
      <c r="A211">
        <v>210</v>
      </c>
      <c r="B211" s="42">
        <v>45940</v>
      </c>
      <c r="C211" t="str">
        <v>HINJEWADI</v>
      </c>
      <c r="D211" t="str">
        <v>SLK1</v>
      </c>
      <c r="E211" t="str">
        <v>SHADOWFAX TECHNOLOGIES PRIVATE LIMITED</v>
      </c>
      <c r="F211" t="str">
        <v>MH12VF3782</v>
      </c>
      <c r="G211" t="str">
        <v>ACE</v>
      </c>
      <c r="H211" t="str">
        <v>CNG</v>
      </c>
      <c r="I211">
        <v>4</v>
      </c>
      <c r="J211">
        <v>8</v>
      </c>
      <c r="K211">
        <v>25000</v>
      </c>
      <c r="L211">
        <v>1000</v>
      </c>
      <c r="M211">
        <v>55</v>
      </c>
      <c r="N211">
        <v>31</v>
      </c>
      <c r="O211" t="str">
        <v>PUN01 NC Cluster 19</v>
      </c>
      <c r="P211">
        <v>0</v>
      </c>
      <c r="Q211">
        <v>6.0416666666666667E-2</v>
      </c>
      <c r="R211">
        <v>0.18893518518518518</v>
      </c>
      <c r="S211">
        <v>83807</v>
      </c>
      <c r="T211">
        <v>0.31163194444444448</v>
      </c>
      <c r="U211">
        <v>0.31187500000000001</v>
      </c>
      <c r="V211">
        <v>83828</v>
      </c>
      <c r="W211">
        <v>18</v>
      </c>
      <c r="X211">
        <v>18</v>
      </c>
      <c r="Y211">
        <v>0</v>
      </c>
      <c r="Z211">
        <v>21</v>
      </c>
      <c r="AA211">
        <v>21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806.45</v>
      </c>
      <c r="AK211">
        <v>0</v>
      </c>
      <c r="AL211">
        <v>806.45</v>
      </c>
      <c r="AM211">
        <v>0</v>
      </c>
      <c r="AN211">
        <v>0</v>
      </c>
      <c r="AO211">
        <v>0</v>
      </c>
    </row>
    <row r="212" spans="1:41">
      <c r="A212">
        <v>211</v>
      </c>
      <c r="B212" s="42">
        <v>45940</v>
      </c>
      <c r="C212" t="str">
        <v>HINJEWADI</v>
      </c>
      <c r="D212" t="str">
        <v>SLK1</v>
      </c>
      <c r="E212" t="str">
        <v>SHADOWFAX TECHNOLOGIES PRIVATE LIMITED</v>
      </c>
      <c r="F212" t="str">
        <v>MH12WX6236</v>
      </c>
      <c r="G212" t="str">
        <v>ACE</v>
      </c>
      <c r="H212" t="str">
        <v>CNG</v>
      </c>
      <c r="I212">
        <v>4</v>
      </c>
      <c r="J212">
        <v>8</v>
      </c>
      <c r="K212">
        <v>25000</v>
      </c>
      <c r="L212">
        <v>1000</v>
      </c>
      <c r="M212">
        <v>55</v>
      </c>
      <c r="N212">
        <v>31</v>
      </c>
      <c r="O212" t="str">
        <v>PUN01 NC Cluster 137</v>
      </c>
      <c r="P212">
        <v>0</v>
      </c>
      <c r="Q212">
        <v>4.7916666666666663E-2</v>
      </c>
      <c r="R212">
        <v>0.18230324074074075</v>
      </c>
      <c r="S212">
        <v>37500</v>
      </c>
      <c r="T212">
        <v>0.32914351851851853</v>
      </c>
      <c r="U212">
        <v>0.32966435185185183</v>
      </c>
      <c r="V212">
        <v>37533</v>
      </c>
      <c r="W212">
        <v>53</v>
      </c>
      <c r="X212">
        <v>53</v>
      </c>
      <c r="Y212">
        <v>0</v>
      </c>
      <c r="Z212">
        <v>33</v>
      </c>
      <c r="AA212">
        <v>33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806.45</v>
      </c>
      <c r="AK212">
        <v>0</v>
      </c>
      <c r="AL212">
        <v>806.45</v>
      </c>
      <c r="AM212">
        <v>0</v>
      </c>
      <c r="AN212">
        <v>0</v>
      </c>
      <c r="AO212">
        <v>0</v>
      </c>
    </row>
    <row r="213" spans="1:41">
      <c r="A213">
        <v>212</v>
      </c>
      <c r="B213" s="42">
        <v>45940</v>
      </c>
      <c r="C213" t="str">
        <v>HINJEWADI</v>
      </c>
      <c r="D213" t="str">
        <v>SLK1</v>
      </c>
      <c r="E213" t="str">
        <v>SHADOWFAX TECHNOLOGIES PRIVATE LIMITED</v>
      </c>
      <c r="F213" t="str">
        <v>MH12XM2801</v>
      </c>
      <c r="G213" t="str">
        <v>ACE</v>
      </c>
      <c r="H213" t="str">
        <v>CNG</v>
      </c>
      <c r="I213">
        <v>4</v>
      </c>
      <c r="J213">
        <v>8</v>
      </c>
      <c r="K213">
        <v>25000</v>
      </c>
      <c r="L213">
        <v>1000</v>
      </c>
      <c r="M213">
        <v>55</v>
      </c>
      <c r="N213">
        <v>31</v>
      </c>
      <c r="O213" t="str">
        <v>PUN01 NC Cluster 36</v>
      </c>
      <c r="P213">
        <v>0</v>
      </c>
      <c r="Q213">
        <v>0.12638888888888888</v>
      </c>
      <c r="R213">
        <v>0.18028935185185183</v>
      </c>
      <c r="S213">
        <v>11653</v>
      </c>
      <c r="T213">
        <v>0.40334490740740742</v>
      </c>
      <c r="U213">
        <v>0.40386574074074072</v>
      </c>
      <c r="V213">
        <v>11672</v>
      </c>
      <c r="W213">
        <v>23</v>
      </c>
      <c r="X213">
        <v>39</v>
      </c>
      <c r="Y213">
        <v>-16</v>
      </c>
      <c r="Z213">
        <v>19</v>
      </c>
      <c r="AA213">
        <v>19</v>
      </c>
      <c r="AB213">
        <v>0</v>
      </c>
      <c r="AC213">
        <v>0</v>
      </c>
      <c r="AD213">
        <v>2</v>
      </c>
      <c r="AE213">
        <v>300</v>
      </c>
      <c r="AF213">
        <v>0</v>
      </c>
      <c r="AG213">
        <v>0</v>
      </c>
      <c r="AH213">
        <v>0</v>
      </c>
      <c r="AI213">
        <v>0</v>
      </c>
      <c r="AJ213">
        <v>1106.45</v>
      </c>
      <c r="AK213">
        <v>0</v>
      </c>
      <c r="AL213">
        <v>1106.45</v>
      </c>
      <c r="AM213">
        <v>0</v>
      </c>
      <c r="AN213">
        <v>0</v>
      </c>
      <c r="AO213">
        <v>0</v>
      </c>
    </row>
    <row r="214" spans="1:41">
      <c r="A214">
        <v>213</v>
      </c>
      <c r="B214" s="42">
        <v>45940</v>
      </c>
      <c r="C214" t="str">
        <v>HINJEWADI</v>
      </c>
      <c r="D214" t="str">
        <v>SLK1</v>
      </c>
      <c r="E214" t="str">
        <v>SHADOWFAX TECHNOLOGIES PRIVATE LIMITED</v>
      </c>
      <c r="F214" t="str">
        <v>MH14CP4610</v>
      </c>
      <c r="G214" t="str">
        <v>ACE</v>
      </c>
      <c r="H214" t="str">
        <v>CNG</v>
      </c>
      <c r="I214">
        <v>4</v>
      </c>
      <c r="J214">
        <v>8</v>
      </c>
      <c r="K214">
        <v>25000</v>
      </c>
      <c r="L214">
        <v>1000</v>
      </c>
      <c r="M214">
        <v>55</v>
      </c>
      <c r="N214">
        <v>31</v>
      </c>
      <c r="O214" t="str">
        <v>PUN01 NC Cluster 87</v>
      </c>
      <c r="P214">
        <v>0</v>
      </c>
      <c r="Q214">
        <v>0.11944444444444445</v>
      </c>
      <c r="R214">
        <v>0.17849537037037036</v>
      </c>
      <c r="S214">
        <v>145239</v>
      </c>
      <c r="T214">
        <v>0.30093750000000002</v>
      </c>
      <c r="U214">
        <v>0.30113425925925924</v>
      </c>
      <c r="V214">
        <v>145256</v>
      </c>
      <c r="W214">
        <v>31</v>
      </c>
      <c r="X214">
        <v>32</v>
      </c>
      <c r="Y214">
        <v>-1</v>
      </c>
      <c r="Z214">
        <v>17</v>
      </c>
      <c r="AA214">
        <v>17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806.45</v>
      </c>
      <c r="AK214">
        <v>0</v>
      </c>
      <c r="AL214">
        <v>806.45</v>
      </c>
      <c r="AM214">
        <v>0</v>
      </c>
      <c r="AN214">
        <v>0</v>
      </c>
      <c r="AO214">
        <v>0</v>
      </c>
    </row>
    <row r="215" spans="1:41">
      <c r="A215">
        <v>214</v>
      </c>
      <c r="B215" s="42">
        <v>45940</v>
      </c>
      <c r="C215" t="str">
        <v>HINJEWADI</v>
      </c>
      <c r="D215" t="str">
        <v>SLK1</v>
      </c>
      <c r="E215" t="str">
        <v>SHADOWFAX TECHNOLOGIES PRIVATE LIMITED</v>
      </c>
      <c r="F215" t="str">
        <v>MH14KA0766</v>
      </c>
      <c r="G215" t="str">
        <v>ACE</v>
      </c>
      <c r="H215" t="str">
        <v>CNG</v>
      </c>
      <c r="I215">
        <v>4</v>
      </c>
      <c r="J215">
        <v>8</v>
      </c>
      <c r="K215">
        <v>25000</v>
      </c>
      <c r="L215">
        <v>1000</v>
      </c>
      <c r="M215">
        <v>55</v>
      </c>
      <c r="N215">
        <v>31</v>
      </c>
      <c r="O215" t="str">
        <v>PUN01 NC Cluster 10</v>
      </c>
      <c r="P215">
        <v>0</v>
      </c>
      <c r="Q215">
        <v>8.4027777777777771E-2</v>
      </c>
      <c r="R215">
        <v>0.1822337962962963</v>
      </c>
      <c r="S215">
        <v>142716</v>
      </c>
      <c r="T215">
        <v>0.37372685185185189</v>
      </c>
      <c r="U215">
        <v>0.3772685185185185</v>
      </c>
      <c r="V215">
        <v>142738</v>
      </c>
      <c r="W215">
        <v>56</v>
      </c>
      <c r="X215">
        <v>56</v>
      </c>
      <c r="Y215">
        <v>0</v>
      </c>
      <c r="Z215">
        <v>22</v>
      </c>
      <c r="AA215">
        <v>22</v>
      </c>
      <c r="AB215">
        <v>0</v>
      </c>
      <c r="AC215">
        <v>0</v>
      </c>
      <c r="AD215">
        <v>1</v>
      </c>
      <c r="AE215">
        <v>150</v>
      </c>
      <c r="AF215">
        <v>0</v>
      </c>
      <c r="AG215">
        <v>0</v>
      </c>
      <c r="AH215">
        <v>0</v>
      </c>
      <c r="AI215">
        <v>0</v>
      </c>
      <c r="AJ215">
        <v>956.45</v>
      </c>
      <c r="AK215">
        <v>0</v>
      </c>
      <c r="AL215">
        <v>956.45</v>
      </c>
      <c r="AM215">
        <v>0</v>
      </c>
      <c r="AN215">
        <v>0</v>
      </c>
      <c r="AO215">
        <v>0</v>
      </c>
    </row>
    <row r="216" spans="1:41">
      <c r="A216">
        <v>215</v>
      </c>
      <c r="B216" s="42">
        <v>45940</v>
      </c>
      <c r="C216" t="str">
        <v>HINJEWADI</v>
      </c>
      <c r="D216" t="str">
        <v>SLK1</v>
      </c>
      <c r="E216" t="str">
        <v>SHADOWFAX TECHNOLOGIES PRIVATE LIMITED</v>
      </c>
      <c r="F216" t="str">
        <v>MH14KA1228</v>
      </c>
      <c r="G216" t="str">
        <v>ACE</v>
      </c>
      <c r="H216" t="str">
        <v>CNG</v>
      </c>
      <c r="I216">
        <v>4</v>
      </c>
      <c r="J216">
        <v>8</v>
      </c>
      <c r="K216">
        <v>25000</v>
      </c>
      <c r="L216">
        <v>1000</v>
      </c>
      <c r="M216">
        <v>55</v>
      </c>
      <c r="N216">
        <v>31</v>
      </c>
      <c r="O216" t="str">
        <v>PUN01 NC Cluster 1</v>
      </c>
      <c r="P216">
        <v>0</v>
      </c>
      <c r="Q216">
        <v>0.125</v>
      </c>
      <c r="R216">
        <v>0.28644675925925928</v>
      </c>
      <c r="S216">
        <v>158729</v>
      </c>
      <c r="T216">
        <v>0.28665509259259259</v>
      </c>
      <c r="U216">
        <v>0.28760416666666666</v>
      </c>
      <c r="V216">
        <v>158729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806.45</v>
      </c>
      <c r="AK216">
        <v>0</v>
      </c>
      <c r="AL216">
        <v>806.45</v>
      </c>
      <c r="AM216">
        <v>0</v>
      </c>
      <c r="AN216">
        <v>0</v>
      </c>
      <c r="AO216">
        <v>0</v>
      </c>
    </row>
    <row r="217" spans="1:41">
      <c r="A217">
        <v>216</v>
      </c>
      <c r="B217" s="42">
        <v>45940</v>
      </c>
      <c r="C217" t="str">
        <v>HINJEWADI</v>
      </c>
      <c r="D217" t="str">
        <v>SLK1</v>
      </c>
      <c r="E217" t="str">
        <v>SHADOWFAX TECHNOLOGIES PRIVATE LIMITED</v>
      </c>
      <c r="F217" t="str">
        <v>MH14KA2871</v>
      </c>
      <c r="G217" t="str">
        <v>ACE</v>
      </c>
      <c r="H217" t="str">
        <v>CNG</v>
      </c>
      <c r="I217">
        <v>4</v>
      </c>
      <c r="J217">
        <v>8</v>
      </c>
      <c r="K217">
        <v>25000</v>
      </c>
      <c r="L217">
        <v>1000</v>
      </c>
      <c r="M217">
        <v>55</v>
      </c>
      <c r="N217">
        <v>31</v>
      </c>
      <c r="O217" t="str">
        <v>PUN01 NC Cluster 3</v>
      </c>
      <c r="P217">
        <v>0</v>
      </c>
      <c r="Q217">
        <v>0.12569444444444444</v>
      </c>
      <c r="R217">
        <v>0.18005787037037035</v>
      </c>
      <c r="S217">
        <v>77701</v>
      </c>
      <c r="T217">
        <v>0.29708333333333331</v>
      </c>
      <c r="U217">
        <v>0.29744212962962963</v>
      </c>
      <c r="V217">
        <v>77710</v>
      </c>
      <c r="W217">
        <v>39</v>
      </c>
      <c r="X217">
        <v>39</v>
      </c>
      <c r="Y217">
        <v>0</v>
      </c>
      <c r="Z217">
        <v>9</v>
      </c>
      <c r="AA217">
        <v>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806.45</v>
      </c>
      <c r="AK217">
        <v>0</v>
      </c>
      <c r="AL217">
        <v>806.45</v>
      </c>
      <c r="AM217">
        <v>0</v>
      </c>
      <c r="AN217">
        <v>0</v>
      </c>
      <c r="AO217">
        <v>0</v>
      </c>
    </row>
    <row r="218" spans="1:41">
      <c r="A218">
        <v>217</v>
      </c>
      <c r="B218" s="42">
        <v>45940</v>
      </c>
      <c r="C218" t="str">
        <v>HINJEWADI</v>
      </c>
      <c r="D218" t="str">
        <v>SLK1</v>
      </c>
      <c r="E218" t="str">
        <v>SHADOWFAX TECHNOLOGIES PRIVATE LIMITED</v>
      </c>
      <c r="F218" t="str">
        <v>MH14KA6513</v>
      </c>
      <c r="G218" t="str">
        <v>ACE</v>
      </c>
      <c r="H218" t="str">
        <v>CNG</v>
      </c>
      <c r="I218">
        <v>6</v>
      </c>
      <c r="J218">
        <v>8</v>
      </c>
      <c r="K218">
        <v>33000</v>
      </c>
      <c r="L218">
        <v>2000</v>
      </c>
      <c r="M218">
        <v>55</v>
      </c>
      <c r="N218">
        <v>31</v>
      </c>
      <c r="O218" t="str">
        <v>PUN01 NC Cluster 299</v>
      </c>
      <c r="P218">
        <v>0</v>
      </c>
      <c r="Q218">
        <v>0.1277777777777778</v>
      </c>
      <c r="R218">
        <v>0.18237268518518521</v>
      </c>
      <c r="S218">
        <v>47587</v>
      </c>
      <c r="T218">
        <v>0.4004861111111111</v>
      </c>
      <c r="U218">
        <v>0.40113425925925927</v>
      </c>
      <c r="V218">
        <v>47685</v>
      </c>
      <c r="W218">
        <v>35</v>
      </c>
      <c r="X218">
        <v>29</v>
      </c>
      <c r="Y218">
        <v>6</v>
      </c>
      <c r="Z218">
        <v>98</v>
      </c>
      <c r="AA218">
        <v>98</v>
      </c>
      <c r="AB218">
        <v>0</v>
      </c>
      <c r="AC218">
        <v>0</v>
      </c>
      <c r="AD218">
        <v>1</v>
      </c>
      <c r="AE218">
        <v>150</v>
      </c>
      <c r="AF218">
        <v>1</v>
      </c>
      <c r="AG218">
        <v>150</v>
      </c>
      <c r="AH218">
        <v>0</v>
      </c>
      <c r="AI218">
        <v>0</v>
      </c>
      <c r="AJ218">
        <v>1214.52</v>
      </c>
      <c r="AK218">
        <v>150</v>
      </c>
      <c r="AL218">
        <v>1064.52</v>
      </c>
      <c r="AM218">
        <v>0</v>
      </c>
      <c r="AN218">
        <v>0</v>
      </c>
      <c r="AO218">
        <v>0</v>
      </c>
    </row>
    <row r="219" spans="1:41">
      <c r="A219">
        <v>218</v>
      </c>
      <c r="B219" s="42">
        <v>45940</v>
      </c>
      <c r="C219" t="str">
        <v>HINJEWADI</v>
      </c>
      <c r="D219" t="str">
        <v>SLK1</v>
      </c>
      <c r="E219" t="str">
        <v>SHADOWFAX TECHNOLOGIES PRIVATE LIMITED</v>
      </c>
      <c r="F219" t="str">
        <v>MH14KQ0279</v>
      </c>
      <c r="G219" t="str">
        <v>ACE</v>
      </c>
      <c r="H219" t="str">
        <v>CNG</v>
      </c>
      <c r="I219">
        <v>4</v>
      </c>
      <c r="J219">
        <v>8</v>
      </c>
      <c r="K219">
        <v>25000</v>
      </c>
      <c r="L219">
        <v>1000</v>
      </c>
      <c r="M219">
        <v>55</v>
      </c>
      <c r="N219">
        <v>31</v>
      </c>
      <c r="O219" t="str">
        <v>PUN01 NC Cluster 200</v>
      </c>
      <c r="P219">
        <v>0</v>
      </c>
      <c r="Q219">
        <v>8.8888888888888892E-2</v>
      </c>
      <c r="R219">
        <v>0.17755787037037038</v>
      </c>
      <c r="S219">
        <v>117687</v>
      </c>
      <c r="T219">
        <v>0.45230324074074074</v>
      </c>
      <c r="U219">
        <v>0.4528240740740741</v>
      </c>
      <c r="V219">
        <v>117733</v>
      </c>
      <c r="W219">
        <v>39</v>
      </c>
      <c r="X219">
        <v>66</v>
      </c>
      <c r="Y219">
        <v>-27</v>
      </c>
      <c r="Z219">
        <v>46</v>
      </c>
      <c r="AA219">
        <v>46</v>
      </c>
      <c r="AB219">
        <v>0</v>
      </c>
      <c r="AC219">
        <v>0</v>
      </c>
      <c r="AD219">
        <v>3</v>
      </c>
      <c r="AE219">
        <v>450</v>
      </c>
      <c r="AF219">
        <v>0</v>
      </c>
      <c r="AG219">
        <v>0</v>
      </c>
      <c r="AH219">
        <v>0</v>
      </c>
      <c r="AI219">
        <v>0</v>
      </c>
      <c r="AJ219">
        <v>1256.45</v>
      </c>
      <c r="AK219">
        <v>0</v>
      </c>
      <c r="AL219">
        <v>1256.45</v>
      </c>
      <c r="AM219">
        <v>0</v>
      </c>
      <c r="AN219">
        <v>0</v>
      </c>
      <c r="AO219">
        <v>0</v>
      </c>
    </row>
    <row r="220" spans="1:41">
      <c r="A220">
        <v>219</v>
      </c>
      <c r="B220" s="42">
        <v>45940</v>
      </c>
      <c r="C220" t="str">
        <v>HINJEWADI</v>
      </c>
      <c r="D220" t="str">
        <v>SLK1</v>
      </c>
      <c r="E220" t="str">
        <v>SHADOWFAX TECHNOLOGIES PRIVATE LIMITED</v>
      </c>
      <c r="F220" t="str">
        <v>MH14LB6751</v>
      </c>
      <c r="G220" t="str">
        <v>ACE</v>
      </c>
      <c r="H220" t="str">
        <v>CNG</v>
      </c>
      <c r="I220">
        <v>4</v>
      </c>
      <c r="J220">
        <v>8</v>
      </c>
      <c r="K220">
        <v>25000</v>
      </c>
      <c r="L220">
        <v>1000</v>
      </c>
      <c r="M220">
        <v>55</v>
      </c>
      <c r="N220">
        <v>31</v>
      </c>
      <c r="O220" t="str">
        <v>PUN01 NC Cluster 42</v>
      </c>
      <c r="P220">
        <v>0</v>
      </c>
      <c r="Q220">
        <v>5.0694444444444452E-2</v>
      </c>
      <c r="R220">
        <v>0.17784722222222224</v>
      </c>
      <c r="S220">
        <v>83276</v>
      </c>
      <c r="T220">
        <v>0.34759259259259262</v>
      </c>
      <c r="U220">
        <v>0.34935185185185186</v>
      </c>
      <c r="V220">
        <v>83295</v>
      </c>
      <c r="W220">
        <v>36</v>
      </c>
      <c r="X220">
        <v>36</v>
      </c>
      <c r="Y220">
        <v>0</v>
      </c>
      <c r="Z220">
        <v>19</v>
      </c>
      <c r="AA220">
        <v>19</v>
      </c>
      <c r="AB220">
        <v>0</v>
      </c>
      <c r="AC220">
        <v>0</v>
      </c>
      <c r="AD220">
        <v>1</v>
      </c>
      <c r="AE220">
        <v>150</v>
      </c>
      <c r="AF220">
        <v>0</v>
      </c>
      <c r="AG220">
        <v>0</v>
      </c>
      <c r="AH220">
        <v>0</v>
      </c>
      <c r="AI220">
        <v>0</v>
      </c>
      <c r="AJ220">
        <v>956.45</v>
      </c>
      <c r="AK220">
        <v>0</v>
      </c>
      <c r="AL220">
        <v>956.45</v>
      </c>
      <c r="AM220">
        <v>0</v>
      </c>
      <c r="AN220">
        <v>0</v>
      </c>
      <c r="AO220">
        <v>0</v>
      </c>
    </row>
    <row r="221" spans="1:41">
      <c r="A221">
        <v>220</v>
      </c>
      <c r="B221" s="42">
        <v>45940</v>
      </c>
      <c r="C221" t="str">
        <v>HINJEWADI</v>
      </c>
      <c r="D221" t="str">
        <v>SLK1</v>
      </c>
      <c r="E221" t="str">
        <v>SHADOWFAX TECHNOLOGIES PRIVATE LIMITED</v>
      </c>
      <c r="F221" t="str">
        <v>MH14LL5974</v>
      </c>
      <c r="G221" t="str">
        <v>ACE</v>
      </c>
      <c r="H221" t="str">
        <v>CNG</v>
      </c>
      <c r="I221">
        <v>4</v>
      </c>
      <c r="J221">
        <v>8</v>
      </c>
      <c r="K221">
        <v>25000</v>
      </c>
      <c r="L221">
        <v>1000</v>
      </c>
      <c r="M221">
        <v>55</v>
      </c>
      <c r="N221">
        <v>31</v>
      </c>
      <c r="O221" t="str">
        <v>PUN01 NC Cluster 124</v>
      </c>
      <c r="P221">
        <v>0</v>
      </c>
      <c r="Q221">
        <v>9.2361111111111116E-2</v>
      </c>
      <c r="R221">
        <v>0.18392361111111111</v>
      </c>
      <c r="S221">
        <v>36489</v>
      </c>
      <c r="T221">
        <v>0.33174768518518521</v>
      </c>
      <c r="U221">
        <v>0.33181712962962967</v>
      </c>
      <c r="V221">
        <v>36522</v>
      </c>
      <c r="W221">
        <v>44</v>
      </c>
      <c r="X221">
        <v>44</v>
      </c>
      <c r="Y221">
        <v>0</v>
      </c>
      <c r="Z221">
        <v>33</v>
      </c>
      <c r="AA221">
        <v>33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806.45</v>
      </c>
      <c r="AK221">
        <v>0</v>
      </c>
      <c r="AL221">
        <v>806.45</v>
      </c>
      <c r="AM221">
        <v>0</v>
      </c>
      <c r="AN221">
        <v>0</v>
      </c>
      <c r="AO221">
        <v>0</v>
      </c>
    </row>
    <row r="222" spans="1:41">
      <c r="A222">
        <v>221</v>
      </c>
      <c r="B222" s="42">
        <v>45940</v>
      </c>
      <c r="C222" t="str">
        <v>HINJEWADI</v>
      </c>
      <c r="D222" t="str">
        <v>SLK1</v>
      </c>
      <c r="E222" t="str">
        <v>SHADOWFAX TECHNOLOGIES PRIVATE LIMITED</v>
      </c>
      <c r="F222" t="str">
        <v>MH14LL6836</v>
      </c>
      <c r="G222" t="str">
        <v>ACE</v>
      </c>
      <c r="H222" t="str">
        <v>CNG</v>
      </c>
      <c r="I222">
        <v>6</v>
      </c>
      <c r="J222">
        <v>8</v>
      </c>
      <c r="K222">
        <v>33000</v>
      </c>
      <c r="L222">
        <v>2000</v>
      </c>
      <c r="M222">
        <v>55</v>
      </c>
      <c r="N222">
        <v>31</v>
      </c>
      <c r="O222" t="str">
        <v>PUN01 NC Cluster 303</v>
      </c>
      <c r="P222">
        <v>0</v>
      </c>
      <c r="Q222">
        <v>3.4027777777777775E-2</v>
      </c>
      <c r="R222">
        <v>0.19059027777777779</v>
      </c>
      <c r="S222">
        <v>32775</v>
      </c>
      <c r="T222">
        <v>0.33358796296296295</v>
      </c>
      <c r="U222">
        <v>0.3336574074074074</v>
      </c>
      <c r="V222">
        <v>32844</v>
      </c>
      <c r="W222">
        <v>30</v>
      </c>
      <c r="X222">
        <v>30</v>
      </c>
      <c r="Y222">
        <v>0</v>
      </c>
      <c r="Z222">
        <v>69</v>
      </c>
      <c r="AA222">
        <v>69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1064.52</v>
      </c>
      <c r="AK222">
        <v>0</v>
      </c>
      <c r="AL222">
        <v>1064.52</v>
      </c>
      <c r="AM222">
        <v>0</v>
      </c>
      <c r="AN222">
        <v>0</v>
      </c>
      <c r="AO222">
        <v>0</v>
      </c>
    </row>
    <row r="223" spans="1:41">
      <c r="A223">
        <v>222</v>
      </c>
      <c r="B223" s="42">
        <v>45940</v>
      </c>
      <c r="C223" t="str">
        <v>HINJEWADI</v>
      </c>
      <c r="D223" t="str">
        <v>SLK1</v>
      </c>
      <c r="E223" t="str">
        <v>SHADOWFAX TECHNOLOGIES PRIVATE LIMITED</v>
      </c>
      <c r="F223" t="str">
        <v>MH14LX6360</v>
      </c>
      <c r="G223" t="str">
        <v>ACE</v>
      </c>
      <c r="H223" t="str">
        <v>CNG</v>
      </c>
      <c r="I223">
        <v>4</v>
      </c>
      <c r="J223">
        <v>8</v>
      </c>
      <c r="K223">
        <v>25000</v>
      </c>
      <c r="L223">
        <v>1000</v>
      </c>
      <c r="M223">
        <v>55</v>
      </c>
      <c r="N223">
        <v>31</v>
      </c>
      <c r="O223" t="str">
        <v>PUN01 NC Cluster 39</v>
      </c>
      <c r="P223">
        <v>0</v>
      </c>
      <c r="Q223">
        <v>5.1388888888888894E-2</v>
      </c>
      <c r="R223">
        <v>0.17991898148148147</v>
      </c>
      <c r="S223">
        <v>38107</v>
      </c>
      <c r="T223">
        <v>0.3823611111111111</v>
      </c>
      <c r="U223">
        <v>0.38245370370370368</v>
      </c>
      <c r="V223">
        <v>38128</v>
      </c>
      <c r="W223">
        <v>53</v>
      </c>
      <c r="X223">
        <v>53</v>
      </c>
      <c r="Y223">
        <v>0</v>
      </c>
      <c r="Z223">
        <v>21</v>
      </c>
      <c r="AA223">
        <v>21</v>
      </c>
      <c r="AB223">
        <v>0</v>
      </c>
      <c r="AC223">
        <v>0</v>
      </c>
      <c r="AD223">
        <v>2</v>
      </c>
      <c r="AE223">
        <v>300</v>
      </c>
      <c r="AF223">
        <v>0</v>
      </c>
      <c r="AG223">
        <v>0</v>
      </c>
      <c r="AH223">
        <v>0</v>
      </c>
      <c r="AI223">
        <v>0</v>
      </c>
      <c r="AJ223">
        <v>1106.45</v>
      </c>
      <c r="AK223">
        <v>0</v>
      </c>
      <c r="AL223">
        <v>1106.45</v>
      </c>
      <c r="AM223">
        <v>0</v>
      </c>
      <c r="AN223">
        <v>0</v>
      </c>
      <c r="AO223">
        <v>0</v>
      </c>
    </row>
    <row r="224" spans="1:41">
      <c r="A224">
        <v>223</v>
      </c>
      <c r="B224" s="42">
        <v>45940</v>
      </c>
      <c r="C224" t="str">
        <v>HINJEWADI</v>
      </c>
      <c r="D224" t="str">
        <v>SLK1</v>
      </c>
      <c r="E224" t="str">
        <v>SHADOWFAX TECHNOLOGIES PRIVATE LIMITED</v>
      </c>
      <c r="F224" t="str">
        <v>MH14MH6374</v>
      </c>
      <c r="G224" t="str">
        <v>ACE</v>
      </c>
      <c r="H224" t="str">
        <v>CNG</v>
      </c>
      <c r="I224">
        <v>4</v>
      </c>
      <c r="J224">
        <v>8</v>
      </c>
      <c r="K224">
        <v>25000</v>
      </c>
      <c r="L224">
        <v>1000</v>
      </c>
      <c r="M224">
        <v>55</v>
      </c>
      <c r="N224">
        <v>31</v>
      </c>
      <c r="O224" t="str">
        <v>PUN01 NC Cluster 201</v>
      </c>
      <c r="P224">
        <v>0</v>
      </c>
      <c r="Q224">
        <v>4.9305555555555554E-2</v>
      </c>
      <c r="R224">
        <v>0.1774189814814815</v>
      </c>
      <c r="S224">
        <v>6939</v>
      </c>
      <c r="T224">
        <v>0.48833333333333334</v>
      </c>
      <c r="U224">
        <v>0.48861111111111111</v>
      </c>
      <c r="V224">
        <v>6980</v>
      </c>
      <c r="W224">
        <v>20</v>
      </c>
      <c r="X224">
        <v>42</v>
      </c>
      <c r="Y224">
        <v>-22</v>
      </c>
      <c r="Z224">
        <v>41</v>
      </c>
      <c r="AA224">
        <v>41</v>
      </c>
      <c r="AB224">
        <v>0</v>
      </c>
      <c r="AC224">
        <v>0</v>
      </c>
      <c r="AD224">
        <v>4</v>
      </c>
      <c r="AE224">
        <v>600</v>
      </c>
      <c r="AF224">
        <v>0</v>
      </c>
      <c r="AG224">
        <v>0</v>
      </c>
      <c r="AH224">
        <v>0</v>
      </c>
      <c r="AI224">
        <v>0</v>
      </c>
      <c r="AJ224">
        <v>1406.45</v>
      </c>
      <c r="AK224">
        <v>0</v>
      </c>
      <c r="AL224">
        <v>1406.45</v>
      </c>
      <c r="AM224">
        <v>0</v>
      </c>
      <c r="AN224">
        <v>0</v>
      </c>
      <c r="AO224">
        <v>0</v>
      </c>
    </row>
    <row r="225" spans="1:41">
      <c r="A225">
        <v>224</v>
      </c>
      <c r="B225" s="42">
        <v>45940</v>
      </c>
      <c r="C225" t="str">
        <v>HINJEWADI</v>
      </c>
      <c r="D225" t="str">
        <v>SLK1</v>
      </c>
      <c r="E225" t="str">
        <v>SHADOWFAX TECHNOLOGIES PRIVATE LIMITED</v>
      </c>
      <c r="F225" t="str">
        <v>MH14MH8276</v>
      </c>
      <c r="G225" t="str">
        <v>ACE</v>
      </c>
      <c r="H225" t="str">
        <v>CNG</v>
      </c>
      <c r="I225">
        <v>4</v>
      </c>
      <c r="J225">
        <v>8</v>
      </c>
      <c r="K225">
        <v>25000</v>
      </c>
      <c r="L225">
        <v>1000</v>
      </c>
      <c r="M225">
        <v>55</v>
      </c>
      <c r="N225">
        <v>31</v>
      </c>
      <c r="O225" t="str">
        <v>PUN01 NC Cluster 37</v>
      </c>
      <c r="P225">
        <v>0</v>
      </c>
      <c r="Q225">
        <v>4.9999999999999996E-2</v>
      </c>
      <c r="R225">
        <v>0.1801736111111111</v>
      </c>
      <c r="S225">
        <v>4244</v>
      </c>
      <c r="T225">
        <v>0.35525462962962967</v>
      </c>
      <c r="U225">
        <v>0.37896990740740738</v>
      </c>
      <c r="V225">
        <v>4263</v>
      </c>
      <c r="W225">
        <v>16</v>
      </c>
      <c r="X225">
        <v>40</v>
      </c>
      <c r="Y225">
        <v>-24</v>
      </c>
      <c r="Z225">
        <v>19</v>
      </c>
      <c r="AA225">
        <v>19</v>
      </c>
      <c r="AB225">
        <v>0</v>
      </c>
      <c r="AC225">
        <v>0</v>
      </c>
      <c r="AD225">
        <v>1</v>
      </c>
      <c r="AE225">
        <v>150</v>
      </c>
      <c r="AF225">
        <v>0</v>
      </c>
      <c r="AG225">
        <v>0</v>
      </c>
      <c r="AH225">
        <v>0</v>
      </c>
      <c r="AI225">
        <v>0</v>
      </c>
      <c r="AJ225">
        <v>956.45</v>
      </c>
      <c r="AK225">
        <v>0</v>
      </c>
      <c r="AL225">
        <v>956.45</v>
      </c>
      <c r="AM225">
        <v>0</v>
      </c>
      <c r="AN225">
        <v>0</v>
      </c>
      <c r="AO225">
        <v>0</v>
      </c>
    </row>
    <row r="226" spans="1:41">
      <c r="A226">
        <v>225</v>
      </c>
      <c r="B226" s="42">
        <v>45940</v>
      </c>
      <c r="C226" t="str">
        <v>HINJEWADI</v>
      </c>
      <c r="D226" t="str">
        <v>SLK1</v>
      </c>
      <c r="E226" t="str">
        <v>SHADOWFAX TECHNOLOGIES PRIVATE LIMITED</v>
      </c>
      <c r="F226" t="str">
        <v>MH20GC8804</v>
      </c>
      <c r="G226" t="str">
        <v>ACE</v>
      </c>
      <c r="H226" t="str">
        <v>CNG</v>
      </c>
      <c r="I226">
        <v>4</v>
      </c>
      <c r="J226">
        <v>8</v>
      </c>
      <c r="K226">
        <v>25000</v>
      </c>
      <c r="L226">
        <v>1000</v>
      </c>
      <c r="M226">
        <v>55</v>
      </c>
      <c r="N226">
        <v>31</v>
      </c>
      <c r="O226" t="str">
        <v>PUN01 NC Cluster 100</v>
      </c>
      <c r="P226">
        <v>0</v>
      </c>
      <c r="Q226">
        <v>0.14027777777777778</v>
      </c>
      <c r="R226">
        <v>0.18689814814814817</v>
      </c>
      <c r="S226">
        <v>41192</v>
      </c>
      <c r="T226">
        <v>0.29996527777777776</v>
      </c>
      <c r="U226">
        <v>0.30052083333333335</v>
      </c>
      <c r="V226">
        <v>41217</v>
      </c>
      <c r="W226">
        <v>27</v>
      </c>
      <c r="X226">
        <v>27</v>
      </c>
      <c r="Y226">
        <v>0</v>
      </c>
      <c r="Z226">
        <v>25</v>
      </c>
      <c r="AA226">
        <v>25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806.45</v>
      </c>
      <c r="AK226">
        <v>0</v>
      </c>
      <c r="AL226">
        <v>806.45</v>
      </c>
      <c r="AM226">
        <v>0</v>
      </c>
      <c r="AN226">
        <v>0</v>
      </c>
      <c r="AO226">
        <v>0</v>
      </c>
    </row>
    <row r="227" spans="1:41">
      <c r="A227">
        <v>226</v>
      </c>
      <c r="B227" s="42">
        <v>45940</v>
      </c>
      <c r="C227" t="str">
        <v>HINJEWADI</v>
      </c>
      <c r="D227" t="str">
        <v>SLK1</v>
      </c>
      <c r="E227" t="str">
        <v>SHADOWFAX TECHNOLOGIES PRIVATE LIMITED</v>
      </c>
      <c r="F227" t="str">
        <v>MH14LL4513</v>
      </c>
      <c r="G227" t="str">
        <v>BOLERO</v>
      </c>
      <c r="H227" t="str">
        <v>DIESEL</v>
      </c>
      <c r="I227">
        <v>4</v>
      </c>
      <c r="J227">
        <v>10</v>
      </c>
      <c r="K227">
        <v>29000</v>
      </c>
      <c r="L227">
        <v>1000</v>
      </c>
      <c r="M227">
        <v>55</v>
      </c>
      <c r="N227">
        <v>31</v>
      </c>
      <c r="O227" t="str">
        <v>PUN01 NC Cluster 72</v>
      </c>
      <c r="P227">
        <v>0</v>
      </c>
      <c r="Q227">
        <v>0.11597222222222221</v>
      </c>
      <c r="R227">
        <v>0.1794212962962963</v>
      </c>
      <c r="S227">
        <v>32359</v>
      </c>
      <c r="T227">
        <v>0.38219907407407411</v>
      </c>
      <c r="U227">
        <v>0.38265046296296296</v>
      </c>
      <c r="V227">
        <v>32380</v>
      </c>
      <c r="W227">
        <v>68</v>
      </c>
      <c r="X227">
        <v>68</v>
      </c>
      <c r="Y227">
        <v>0</v>
      </c>
      <c r="Z227">
        <v>21</v>
      </c>
      <c r="AA227">
        <v>21</v>
      </c>
      <c r="AB227">
        <v>0</v>
      </c>
      <c r="AC227">
        <v>0</v>
      </c>
      <c r="AD227">
        <v>2</v>
      </c>
      <c r="AE227">
        <v>300</v>
      </c>
      <c r="AF227">
        <v>0</v>
      </c>
      <c r="AG227">
        <v>0</v>
      </c>
      <c r="AH227">
        <v>0</v>
      </c>
      <c r="AI227">
        <v>0</v>
      </c>
      <c r="AJ227">
        <v>1235.48</v>
      </c>
      <c r="AK227">
        <v>0</v>
      </c>
      <c r="AL227">
        <v>1235.48</v>
      </c>
      <c r="AM227">
        <v>0</v>
      </c>
      <c r="AN227">
        <v>0</v>
      </c>
      <c r="AO227">
        <v>0</v>
      </c>
    </row>
    <row r="228" spans="1:41">
      <c r="A228">
        <v>227</v>
      </c>
      <c r="B228" s="42">
        <v>45940</v>
      </c>
      <c r="C228" t="str">
        <v>HINJEWADI</v>
      </c>
      <c r="D228" t="str">
        <v>SLK1</v>
      </c>
      <c r="E228" t="str">
        <v>SHADOWFAX TECHNOLOGIES PRIVATE LIMITED</v>
      </c>
      <c r="F228" t="str">
        <v>MH14LX4839</v>
      </c>
      <c r="G228" t="str">
        <v>BOLERO</v>
      </c>
      <c r="H228" t="str">
        <v>DIESEL</v>
      </c>
      <c r="I228">
        <v>4</v>
      </c>
      <c r="J228">
        <v>10</v>
      </c>
      <c r="K228">
        <v>29000</v>
      </c>
      <c r="L228">
        <v>1000</v>
      </c>
      <c r="M228">
        <v>55</v>
      </c>
      <c r="N228">
        <v>31</v>
      </c>
      <c r="O228" t="str">
        <v>PUN01 Cluster 168</v>
      </c>
      <c r="P228">
        <v>0</v>
      </c>
      <c r="Q228">
        <v>6.1805555555555558E-2</v>
      </c>
      <c r="R228">
        <v>0.17758101851851851</v>
      </c>
      <c r="S228">
        <v>38383</v>
      </c>
      <c r="T228">
        <v>0.43740740740740741</v>
      </c>
      <c r="U228">
        <v>0.43959490740740742</v>
      </c>
      <c r="V228">
        <v>38418</v>
      </c>
      <c r="W228">
        <v>34</v>
      </c>
      <c r="X228">
        <v>55</v>
      </c>
      <c r="Y228">
        <v>-21</v>
      </c>
      <c r="Z228">
        <v>35</v>
      </c>
      <c r="AA228">
        <v>35</v>
      </c>
      <c r="AB228">
        <v>0</v>
      </c>
      <c r="AC228">
        <v>0</v>
      </c>
      <c r="AD228">
        <v>3</v>
      </c>
      <c r="AE228">
        <v>450</v>
      </c>
      <c r="AF228">
        <v>0</v>
      </c>
      <c r="AG228">
        <v>0</v>
      </c>
      <c r="AH228">
        <v>0</v>
      </c>
      <c r="AI228">
        <v>0</v>
      </c>
      <c r="AJ228">
        <v>1385.48</v>
      </c>
      <c r="AK228">
        <v>0</v>
      </c>
      <c r="AL228">
        <v>1385.48</v>
      </c>
      <c r="AM228">
        <v>0</v>
      </c>
      <c r="AN228">
        <v>0</v>
      </c>
      <c r="AO228">
        <v>0</v>
      </c>
    </row>
    <row r="229" spans="1:41">
      <c r="A229">
        <v>228</v>
      </c>
      <c r="B229" s="42">
        <v>45940</v>
      </c>
      <c r="C229" t="str">
        <v>HINJEWADI</v>
      </c>
      <c r="D229" t="str">
        <v>SLK1</v>
      </c>
      <c r="E229" t="str">
        <v>SHADOWFAX TECHNOLOGIES PRIVATE LIMITED</v>
      </c>
      <c r="F229" t="str">
        <v>MH14MH1873</v>
      </c>
      <c r="G229" t="str">
        <v>BOLERO</v>
      </c>
      <c r="H229" t="str">
        <v>DIESEL</v>
      </c>
      <c r="I229">
        <v>4</v>
      </c>
      <c r="J229">
        <v>10</v>
      </c>
      <c r="K229">
        <v>29000</v>
      </c>
      <c r="L229">
        <v>1000</v>
      </c>
      <c r="M229">
        <v>55</v>
      </c>
      <c r="N229">
        <v>31</v>
      </c>
      <c r="O229" t="str">
        <v>PUN01 NC Cluster 40</v>
      </c>
      <c r="P229">
        <v>0</v>
      </c>
      <c r="Q229">
        <v>4.9305555555555554E-2</v>
      </c>
      <c r="R229">
        <v>0.17914351851851851</v>
      </c>
      <c r="S229">
        <v>19052</v>
      </c>
      <c r="T229">
        <v>0.36325231481481479</v>
      </c>
      <c r="U229">
        <v>0.36425925925925928</v>
      </c>
      <c r="V229">
        <v>19074</v>
      </c>
      <c r="W229">
        <v>80</v>
      </c>
      <c r="X229">
        <v>80</v>
      </c>
      <c r="Y229">
        <v>0</v>
      </c>
      <c r="Z229">
        <v>22</v>
      </c>
      <c r="AA229">
        <v>22</v>
      </c>
      <c r="AB229">
        <v>0</v>
      </c>
      <c r="AC229">
        <v>0</v>
      </c>
      <c r="AD229">
        <v>1</v>
      </c>
      <c r="AE229">
        <v>150</v>
      </c>
      <c r="AF229">
        <v>0</v>
      </c>
      <c r="AG229">
        <v>0</v>
      </c>
      <c r="AH229">
        <v>0</v>
      </c>
      <c r="AI229">
        <v>0</v>
      </c>
      <c r="AJ229">
        <v>1085.48</v>
      </c>
      <c r="AK229">
        <v>0</v>
      </c>
      <c r="AL229">
        <v>1085.48</v>
      </c>
      <c r="AM229">
        <v>0</v>
      </c>
      <c r="AN229">
        <v>0</v>
      </c>
      <c r="AO229">
        <v>0</v>
      </c>
    </row>
    <row r="230" spans="1:41">
      <c r="A230">
        <v>229</v>
      </c>
      <c r="B230" s="42">
        <v>45940</v>
      </c>
      <c r="C230" t="str">
        <v>HINJEWADI</v>
      </c>
      <c r="D230" t="str">
        <v>SLK1</v>
      </c>
      <c r="E230" t="str">
        <v>SHADOWFAX TECHNOLOGIES PRIVATE LIMITED</v>
      </c>
      <c r="F230" t="str">
        <v>MH14MH7322</v>
      </c>
      <c r="G230" t="str">
        <v>BOLERO</v>
      </c>
      <c r="H230" t="str">
        <v>DIESEL</v>
      </c>
      <c r="I230">
        <v>4</v>
      </c>
      <c r="J230">
        <v>10</v>
      </c>
      <c r="K230">
        <v>29000</v>
      </c>
      <c r="L230">
        <v>1000</v>
      </c>
      <c r="M230">
        <v>55</v>
      </c>
      <c r="N230">
        <v>31</v>
      </c>
      <c r="O230" t="str">
        <v>PUN01 NC Cluster 86</v>
      </c>
      <c r="P230">
        <v>0</v>
      </c>
      <c r="Q230">
        <v>0.11597222222222221</v>
      </c>
      <c r="R230">
        <v>0.18126157407407406</v>
      </c>
      <c r="S230">
        <v>2934</v>
      </c>
      <c r="T230">
        <v>0.30859953703703702</v>
      </c>
      <c r="U230">
        <v>0.3087037037037037</v>
      </c>
      <c r="V230">
        <v>2952</v>
      </c>
      <c r="W230">
        <v>68</v>
      </c>
      <c r="X230">
        <v>68</v>
      </c>
      <c r="Y230">
        <v>0</v>
      </c>
      <c r="Z230">
        <v>18</v>
      </c>
      <c r="AA230">
        <v>18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935.48</v>
      </c>
      <c r="AK230">
        <v>0</v>
      </c>
      <c r="AL230">
        <v>935.48</v>
      </c>
      <c r="AM230">
        <v>0</v>
      </c>
      <c r="AN230">
        <v>0</v>
      </c>
      <c r="AO230">
        <v>0</v>
      </c>
    </row>
    <row r="231" spans="1:41">
      <c r="A231">
        <v>230</v>
      </c>
      <c r="B231" s="42">
        <v>45940</v>
      </c>
      <c r="C231" t="str">
        <v>HINJEWADI</v>
      </c>
      <c r="D231" t="str">
        <v>SLK1</v>
      </c>
      <c r="E231" t="str">
        <v>SHADOWFAX TECHNOLOGIES PRIVATE LIMITED</v>
      </c>
      <c r="F231" t="str">
        <v>MH16CD7321</v>
      </c>
      <c r="G231" t="str">
        <v>BOLERO</v>
      </c>
      <c r="H231" t="str">
        <v>DIESEL</v>
      </c>
      <c r="I231">
        <v>4</v>
      </c>
      <c r="J231">
        <v>10</v>
      </c>
      <c r="K231">
        <v>29000</v>
      </c>
      <c r="L231">
        <v>1000</v>
      </c>
      <c r="M231">
        <v>55</v>
      </c>
      <c r="N231">
        <v>31</v>
      </c>
      <c r="O231" t="str">
        <v>PUN01 NC Cluster 102</v>
      </c>
      <c r="P231">
        <v>0</v>
      </c>
      <c r="Q231">
        <v>9.0972222222222218E-2</v>
      </c>
      <c r="R231">
        <v>0.18828703703703706</v>
      </c>
      <c r="S231">
        <v>138957</v>
      </c>
      <c r="T231">
        <v>0.32935185185185184</v>
      </c>
      <c r="U231">
        <v>0.32954861111111111</v>
      </c>
      <c r="V231">
        <v>138998</v>
      </c>
      <c r="W231">
        <v>72</v>
      </c>
      <c r="X231">
        <v>72</v>
      </c>
      <c r="Y231">
        <v>0</v>
      </c>
      <c r="Z231">
        <v>41</v>
      </c>
      <c r="AA231">
        <v>41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935.48</v>
      </c>
      <c r="AK231">
        <v>0</v>
      </c>
      <c r="AL231">
        <v>935.48</v>
      </c>
      <c r="AM231">
        <v>0</v>
      </c>
      <c r="AN231">
        <v>0</v>
      </c>
      <c r="AO231">
        <v>0</v>
      </c>
    </row>
    <row r="232" spans="1:41">
      <c r="A232">
        <v>231</v>
      </c>
      <c r="B232" s="42">
        <v>45941</v>
      </c>
      <c r="C232" t="str">
        <v>HINJEWADI</v>
      </c>
      <c r="D232" t="str">
        <v>SLK1</v>
      </c>
      <c r="E232" t="str">
        <v>SHADOWFAX TECHNOLOGIES PRIVATE LIMITED</v>
      </c>
      <c r="F232" t="str">
        <v>MH03AH8989</v>
      </c>
      <c r="G232" t="str">
        <v>ACE</v>
      </c>
      <c r="H232" t="str">
        <v>CNG</v>
      </c>
      <c r="I232">
        <v>4</v>
      </c>
      <c r="J232">
        <v>8</v>
      </c>
      <c r="K232">
        <v>25000</v>
      </c>
      <c r="L232">
        <v>1000</v>
      </c>
      <c r="M232">
        <v>55</v>
      </c>
      <c r="N232">
        <v>31</v>
      </c>
      <c r="O232" t="str">
        <v>PUN01 NC Cluster 1</v>
      </c>
      <c r="P232">
        <v>0</v>
      </c>
      <c r="Q232">
        <v>4.7222222222222221E-2</v>
      </c>
      <c r="R232">
        <v>0.19281249999999997</v>
      </c>
      <c r="S232">
        <v>56672</v>
      </c>
      <c r="T232">
        <v>0.32214120370370369</v>
      </c>
      <c r="U232">
        <v>0.32225694444444447</v>
      </c>
      <c r="V232">
        <v>56679</v>
      </c>
      <c r="W232">
        <v>40</v>
      </c>
      <c r="X232">
        <v>40</v>
      </c>
      <c r="Y232">
        <v>0</v>
      </c>
      <c r="Z232">
        <v>7</v>
      </c>
      <c r="AA232">
        <v>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806.45</v>
      </c>
      <c r="AK232">
        <v>0</v>
      </c>
      <c r="AL232">
        <v>806.45</v>
      </c>
      <c r="AM232">
        <v>0</v>
      </c>
      <c r="AN232">
        <v>0</v>
      </c>
      <c r="AO232">
        <v>0</v>
      </c>
    </row>
    <row r="233" spans="1:41">
      <c r="A233">
        <v>232</v>
      </c>
      <c r="B233" s="42">
        <v>45941</v>
      </c>
      <c r="C233" t="str">
        <v>HINJEWADI</v>
      </c>
      <c r="D233" t="str">
        <v>SLK1</v>
      </c>
      <c r="E233" t="str">
        <v>SHADOWFAX TECHNOLOGIES PRIVATE LIMITED</v>
      </c>
      <c r="F233" t="str">
        <v>MH12SF9859</v>
      </c>
      <c r="G233" t="str">
        <v>ACE</v>
      </c>
      <c r="H233" t="str">
        <v>CNG</v>
      </c>
      <c r="I233">
        <v>4</v>
      </c>
      <c r="J233">
        <v>8</v>
      </c>
      <c r="K233">
        <v>25000</v>
      </c>
      <c r="L233">
        <v>1000</v>
      </c>
      <c r="M233">
        <v>55</v>
      </c>
      <c r="N233">
        <v>31</v>
      </c>
      <c r="O233" t="str">
        <v>PUN01 NC Cluster 2</v>
      </c>
      <c r="P233">
        <v>0</v>
      </c>
      <c r="Q233">
        <v>5.0694444444444452E-2</v>
      </c>
      <c r="R233">
        <v>0.18402777777777779</v>
      </c>
      <c r="S233">
        <v>110145</v>
      </c>
      <c r="T233">
        <v>0.32292824074074072</v>
      </c>
      <c r="U233">
        <v>0.32306712962962963</v>
      </c>
      <c r="V233">
        <v>110155</v>
      </c>
      <c r="W233">
        <v>42</v>
      </c>
      <c r="X233">
        <v>42</v>
      </c>
      <c r="Y233">
        <v>0</v>
      </c>
      <c r="Z233">
        <v>10</v>
      </c>
      <c r="AA233">
        <v>10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806.45</v>
      </c>
      <c r="AK233">
        <v>0</v>
      </c>
      <c r="AL233">
        <v>806.45</v>
      </c>
      <c r="AM233">
        <v>0</v>
      </c>
      <c r="AN233">
        <v>0</v>
      </c>
      <c r="AO233">
        <v>0</v>
      </c>
    </row>
    <row r="234" spans="1:41">
      <c r="A234">
        <v>233</v>
      </c>
      <c r="B234" s="42">
        <v>45941</v>
      </c>
      <c r="C234" t="str">
        <v>HINJEWADI</v>
      </c>
      <c r="D234" t="str">
        <v>SLK1</v>
      </c>
      <c r="E234" t="str">
        <v>SHADOWFAX TECHNOLOGIES PRIVATE LIMITED</v>
      </c>
      <c r="F234" t="str">
        <v>MH12UM3063</v>
      </c>
      <c r="G234" t="str">
        <v>ACE</v>
      </c>
      <c r="H234" t="str">
        <v>CNG</v>
      </c>
      <c r="I234">
        <v>6</v>
      </c>
      <c r="J234">
        <v>8</v>
      </c>
      <c r="K234">
        <v>33000</v>
      </c>
      <c r="L234">
        <v>2000</v>
      </c>
      <c r="M234">
        <v>55</v>
      </c>
      <c r="N234">
        <v>31</v>
      </c>
      <c r="O234" t="str">
        <v>PUN01 NC Cluster 228</v>
      </c>
      <c r="P234">
        <v>0</v>
      </c>
      <c r="Q234">
        <v>4.4444444444444446E-2</v>
      </c>
      <c r="R234">
        <v>0.19525462962962961</v>
      </c>
      <c r="S234">
        <v>99382</v>
      </c>
      <c r="T234">
        <v>0.46211805555555557</v>
      </c>
      <c r="U234">
        <v>0.46225694444444443</v>
      </c>
      <c r="V234">
        <v>99446</v>
      </c>
      <c r="W234">
        <v>0</v>
      </c>
      <c r="X234">
        <v>50</v>
      </c>
      <c r="Y234">
        <v>-50</v>
      </c>
      <c r="Z234">
        <v>64</v>
      </c>
      <c r="AA234">
        <v>64</v>
      </c>
      <c r="AB234">
        <v>0</v>
      </c>
      <c r="AC234">
        <v>0</v>
      </c>
      <c r="AD234">
        <v>3</v>
      </c>
      <c r="AE234">
        <v>450</v>
      </c>
      <c r="AF234">
        <v>0</v>
      </c>
      <c r="AG234">
        <v>0</v>
      </c>
      <c r="AH234">
        <v>0</v>
      </c>
      <c r="AI234">
        <v>0</v>
      </c>
      <c r="AJ234">
        <v>1514.52</v>
      </c>
      <c r="AK234">
        <v>0</v>
      </c>
      <c r="AL234">
        <v>1514.52</v>
      </c>
      <c r="AM234">
        <v>0</v>
      </c>
      <c r="AN234">
        <v>0</v>
      </c>
      <c r="AO234">
        <v>0</v>
      </c>
    </row>
    <row r="235" spans="1:41">
      <c r="A235">
        <v>234</v>
      </c>
      <c r="B235" s="42">
        <v>45941</v>
      </c>
      <c r="C235" t="str">
        <v>HINJEWADI</v>
      </c>
      <c r="D235" t="str">
        <v>SLK1</v>
      </c>
      <c r="E235" t="str">
        <v>SHADOWFAX TECHNOLOGIES PRIVATE LIMITED</v>
      </c>
      <c r="F235" t="str">
        <v>MH12VF3782</v>
      </c>
      <c r="G235" t="str">
        <v>ACE</v>
      </c>
      <c r="H235" t="str">
        <v>CNG</v>
      </c>
      <c r="I235">
        <v>4</v>
      </c>
      <c r="J235">
        <v>8</v>
      </c>
      <c r="K235">
        <v>25000</v>
      </c>
      <c r="L235">
        <v>1000</v>
      </c>
      <c r="M235">
        <v>55</v>
      </c>
      <c r="N235">
        <v>31</v>
      </c>
      <c r="O235" t="str">
        <v>PUN01 NC Cluster 97</v>
      </c>
      <c r="P235">
        <v>0</v>
      </c>
      <c r="Q235">
        <v>0.13125000000000001</v>
      </c>
      <c r="R235">
        <v>0.19225694444444444</v>
      </c>
      <c r="S235">
        <v>83837</v>
      </c>
      <c r="T235">
        <v>0.32918981481481485</v>
      </c>
      <c r="U235">
        <v>0.32927083333333335</v>
      </c>
      <c r="V235">
        <v>83859</v>
      </c>
      <c r="W235">
        <v>22</v>
      </c>
      <c r="X235">
        <v>22</v>
      </c>
      <c r="Y235">
        <v>0</v>
      </c>
      <c r="Z235">
        <v>22</v>
      </c>
      <c r="AA235">
        <v>22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806.45</v>
      </c>
      <c r="AK235">
        <v>0</v>
      </c>
      <c r="AL235">
        <v>806.45</v>
      </c>
      <c r="AM235">
        <v>0</v>
      </c>
      <c r="AN235">
        <v>0</v>
      </c>
      <c r="AO235">
        <v>0</v>
      </c>
    </row>
    <row r="236" spans="1:41">
      <c r="A236">
        <v>235</v>
      </c>
      <c r="B236" s="42">
        <v>45941</v>
      </c>
      <c r="C236" t="str">
        <v>HINJEWADI</v>
      </c>
      <c r="D236" t="str">
        <v>SLK1</v>
      </c>
      <c r="E236" t="str">
        <v>SHADOWFAX TECHNOLOGIES PRIVATE LIMITED</v>
      </c>
      <c r="F236" t="str">
        <v>MH12WX6236</v>
      </c>
      <c r="G236" t="str">
        <v>ACE</v>
      </c>
      <c r="H236" t="str">
        <v>CNG</v>
      </c>
      <c r="I236">
        <v>4</v>
      </c>
      <c r="J236">
        <v>8</v>
      </c>
      <c r="K236">
        <v>25000</v>
      </c>
      <c r="L236">
        <v>1000</v>
      </c>
      <c r="M236">
        <v>55</v>
      </c>
      <c r="N236">
        <v>31</v>
      </c>
      <c r="O236" t="str">
        <v>PUN01 NC Cluster 18</v>
      </c>
      <c r="P236">
        <v>0</v>
      </c>
      <c r="Q236">
        <v>0.10208333333333335</v>
      </c>
      <c r="R236">
        <v>0.18820601851851851</v>
      </c>
      <c r="S236">
        <v>37640</v>
      </c>
      <c r="T236">
        <v>0.42341435185185183</v>
      </c>
      <c r="U236">
        <v>0.42356481481481478</v>
      </c>
      <c r="V236">
        <v>37678</v>
      </c>
      <c r="W236">
        <v>38</v>
      </c>
      <c r="X236">
        <v>38</v>
      </c>
      <c r="Y236">
        <v>0</v>
      </c>
      <c r="Z236">
        <v>38</v>
      </c>
      <c r="AA236">
        <v>38</v>
      </c>
      <c r="AB236">
        <v>0</v>
      </c>
      <c r="AC236">
        <v>0</v>
      </c>
      <c r="AD236">
        <v>3</v>
      </c>
      <c r="AE236">
        <v>450</v>
      </c>
      <c r="AF236">
        <v>0</v>
      </c>
      <c r="AG236">
        <v>0</v>
      </c>
      <c r="AH236">
        <v>0</v>
      </c>
      <c r="AI236">
        <v>0</v>
      </c>
      <c r="AJ236">
        <v>1256.45</v>
      </c>
      <c r="AK236">
        <v>0</v>
      </c>
      <c r="AL236">
        <v>1256.45</v>
      </c>
      <c r="AM236">
        <v>0</v>
      </c>
      <c r="AN236">
        <v>0</v>
      </c>
      <c r="AO236">
        <v>0</v>
      </c>
    </row>
    <row r="237" spans="1:41">
      <c r="A237">
        <v>236</v>
      </c>
      <c r="B237" s="42">
        <v>45941</v>
      </c>
      <c r="C237" t="str">
        <v>HINJEWADI</v>
      </c>
      <c r="D237" t="str">
        <v>SLK1</v>
      </c>
      <c r="E237" t="str">
        <v>SHADOWFAX TECHNOLOGIES PRIVATE LIMITED</v>
      </c>
      <c r="F237" t="str">
        <v>MH12XM2801</v>
      </c>
      <c r="G237" t="str">
        <v>ACE</v>
      </c>
      <c r="H237" t="str">
        <v>CNG</v>
      </c>
      <c r="I237">
        <v>4</v>
      </c>
      <c r="J237">
        <v>8</v>
      </c>
      <c r="K237">
        <v>25000</v>
      </c>
      <c r="L237">
        <v>1000</v>
      </c>
      <c r="M237">
        <v>55</v>
      </c>
      <c r="N237">
        <v>31</v>
      </c>
      <c r="O237" t="str">
        <v>PUN01 NC Cluster 61</v>
      </c>
      <c r="P237">
        <v>0</v>
      </c>
      <c r="Q237">
        <v>0.12361111111111112</v>
      </c>
      <c r="R237">
        <v>0.19608796296296296</v>
      </c>
      <c r="S237">
        <v>11750</v>
      </c>
      <c r="T237">
        <v>0.44306712962962963</v>
      </c>
      <c r="U237">
        <v>0.44329861111111107</v>
      </c>
      <c r="V237">
        <v>11788</v>
      </c>
      <c r="W237">
        <v>60</v>
      </c>
      <c r="X237">
        <v>38</v>
      </c>
      <c r="Y237">
        <v>22</v>
      </c>
      <c r="Z237">
        <v>38</v>
      </c>
      <c r="AA237">
        <v>38</v>
      </c>
      <c r="AB237">
        <v>0</v>
      </c>
      <c r="AC237">
        <v>0</v>
      </c>
      <c r="AD237">
        <v>3</v>
      </c>
      <c r="AE237">
        <v>450</v>
      </c>
      <c r="AF237">
        <v>0</v>
      </c>
      <c r="AG237">
        <v>0</v>
      </c>
      <c r="AH237">
        <v>0</v>
      </c>
      <c r="AI237">
        <v>0</v>
      </c>
      <c r="AJ237">
        <v>1256.45</v>
      </c>
      <c r="AK237">
        <v>0</v>
      </c>
      <c r="AL237">
        <v>1256.45</v>
      </c>
      <c r="AM237">
        <v>0</v>
      </c>
      <c r="AN237">
        <v>0</v>
      </c>
      <c r="AO237">
        <v>0</v>
      </c>
    </row>
    <row r="238" spans="1:41">
      <c r="A238">
        <v>237</v>
      </c>
      <c r="B238" s="42">
        <v>45941</v>
      </c>
      <c r="C238" t="str">
        <v>HINJEWADI</v>
      </c>
      <c r="D238" t="str">
        <v>SLK1</v>
      </c>
      <c r="E238" t="str">
        <v>SHADOWFAX TECHNOLOGIES PRIVATE LIMITED</v>
      </c>
      <c r="F238" t="str">
        <v>MH14CP4610</v>
      </c>
      <c r="G238" t="str">
        <v>ACE</v>
      </c>
      <c r="H238" t="str">
        <v>CNG</v>
      </c>
      <c r="I238">
        <v>4</v>
      </c>
      <c r="J238">
        <v>8</v>
      </c>
      <c r="K238">
        <v>25000</v>
      </c>
      <c r="L238">
        <v>1000</v>
      </c>
      <c r="M238">
        <v>55</v>
      </c>
      <c r="N238">
        <v>31</v>
      </c>
      <c r="O238" t="str">
        <v>PUN01 NC Cluster 87</v>
      </c>
      <c r="P238">
        <v>0</v>
      </c>
      <c r="Q238">
        <v>0.11458333333333333</v>
      </c>
      <c r="R238">
        <v>0.19341435185185185</v>
      </c>
      <c r="S238">
        <v>145260</v>
      </c>
      <c r="T238">
        <v>0.32898148148148149</v>
      </c>
      <c r="U238">
        <v>0.32905092592592594</v>
      </c>
      <c r="V238">
        <v>145277</v>
      </c>
      <c r="W238">
        <v>29</v>
      </c>
      <c r="X238">
        <v>29</v>
      </c>
      <c r="Y238">
        <v>0</v>
      </c>
      <c r="Z238">
        <v>17</v>
      </c>
      <c r="AA238">
        <v>17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806.45</v>
      </c>
      <c r="AK238">
        <v>0</v>
      </c>
      <c r="AL238">
        <v>806.45</v>
      </c>
      <c r="AM238">
        <v>0</v>
      </c>
      <c r="AN238">
        <v>0</v>
      </c>
      <c r="AO238">
        <v>0</v>
      </c>
    </row>
    <row r="239" spans="1:41">
      <c r="A239">
        <v>238</v>
      </c>
      <c r="B239" s="42">
        <v>45941</v>
      </c>
      <c r="C239" t="str">
        <v>HINJEWADI</v>
      </c>
      <c r="D239" t="str">
        <v>SLK1</v>
      </c>
      <c r="E239" t="str">
        <v>SHADOWFAX TECHNOLOGIES PRIVATE LIMITED</v>
      </c>
      <c r="F239" t="str">
        <v>MH14KA1228</v>
      </c>
      <c r="G239" t="str">
        <v>ACE</v>
      </c>
      <c r="H239" t="str">
        <v>CNG</v>
      </c>
      <c r="I239">
        <v>4</v>
      </c>
      <c r="J239">
        <v>8</v>
      </c>
      <c r="K239">
        <v>25000</v>
      </c>
      <c r="L239">
        <v>1000</v>
      </c>
      <c r="M239">
        <v>55</v>
      </c>
      <c r="N239">
        <v>31</v>
      </c>
      <c r="O239" t="str">
        <v>PUN01 NC Cluster 67</v>
      </c>
      <c r="P239">
        <v>0</v>
      </c>
      <c r="Q239">
        <v>0.13263888888888889</v>
      </c>
      <c r="R239">
        <v>0.19239583333333332</v>
      </c>
      <c r="S239">
        <v>158922</v>
      </c>
      <c r="T239">
        <v>0.3865277777777778</v>
      </c>
      <c r="U239">
        <v>0.38670138888888889</v>
      </c>
      <c r="V239">
        <v>158932</v>
      </c>
      <c r="W239">
        <v>30</v>
      </c>
      <c r="X239">
        <v>26</v>
      </c>
      <c r="Y239">
        <v>4</v>
      </c>
      <c r="Z239">
        <v>10</v>
      </c>
      <c r="AA239">
        <v>10</v>
      </c>
      <c r="AB239">
        <v>0</v>
      </c>
      <c r="AC239">
        <v>0</v>
      </c>
      <c r="AD239">
        <v>2</v>
      </c>
      <c r="AE239">
        <v>300</v>
      </c>
      <c r="AF239">
        <v>0</v>
      </c>
      <c r="AG239">
        <v>0</v>
      </c>
      <c r="AH239">
        <v>0</v>
      </c>
      <c r="AI239">
        <v>0</v>
      </c>
      <c r="AJ239">
        <v>1106.45</v>
      </c>
      <c r="AK239">
        <v>0</v>
      </c>
      <c r="AL239">
        <v>1106.45</v>
      </c>
      <c r="AM239">
        <v>0</v>
      </c>
      <c r="AN239">
        <v>0</v>
      </c>
      <c r="AO239">
        <v>0</v>
      </c>
    </row>
    <row r="240" spans="1:41">
      <c r="A240">
        <v>239</v>
      </c>
      <c r="B240" s="42">
        <v>45941</v>
      </c>
      <c r="C240" t="str">
        <v>HINJEWADI</v>
      </c>
      <c r="D240" t="str">
        <v>SLK1</v>
      </c>
      <c r="E240" t="str">
        <v>SHADOWFAX TECHNOLOGIES PRIVATE LIMITED</v>
      </c>
      <c r="F240" t="str">
        <v>MH14KA1873</v>
      </c>
      <c r="G240" t="str">
        <v>ACE</v>
      </c>
      <c r="H240" t="str">
        <v>CNG</v>
      </c>
      <c r="I240">
        <v>4</v>
      </c>
      <c r="J240">
        <v>8</v>
      </c>
      <c r="K240">
        <v>25000</v>
      </c>
      <c r="L240">
        <v>1000</v>
      </c>
      <c r="M240">
        <v>55</v>
      </c>
      <c r="N240">
        <v>31</v>
      </c>
      <c r="O240" t="str">
        <v>PUN01 NC Cluster 39</v>
      </c>
      <c r="P240">
        <v>0</v>
      </c>
      <c r="Q240">
        <v>4.7916666666666663E-2</v>
      </c>
      <c r="R240">
        <v>0.19496527777777781</v>
      </c>
      <c r="S240">
        <v>112952</v>
      </c>
      <c r="T240">
        <v>0.43333333333333335</v>
      </c>
      <c r="U240">
        <v>0.43344907407407413</v>
      </c>
      <c r="V240">
        <v>112984</v>
      </c>
      <c r="W240">
        <v>36</v>
      </c>
      <c r="X240">
        <v>29</v>
      </c>
      <c r="Y240">
        <v>7</v>
      </c>
      <c r="Z240">
        <v>32</v>
      </c>
      <c r="AA240">
        <v>32</v>
      </c>
      <c r="AB240">
        <v>0</v>
      </c>
      <c r="AC240">
        <v>0</v>
      </c>
      <c r="AD240">
        <v>3</v>
      </c>
      <c r="AE240">
        <v>450</v>
      </c>
      <c r="AF240">
        <v>0</v>
      </c>
      <c r="AG240">
        <v>0</v>
      </c>
      <c r="AH240">
        <v>0</v>
      </c>
      <c r="AI240">
        <v>0</v>
      </c>
      <c r="AJ240">
        <v>1256.45</v>
      </c>
      <c r="AK240">
        <v>0</v>
      </c>
      <c r="AL240">
        <v>1256.45</v>
      </c>
      <c r="AM240">
        <v>0</v>
      </c>
      <c r="AN240">
        <v>0</v>
      </c>
      <c r="AO240">
        <v>0</v>
      </c>
    </row>
    <row r="241" spans="1:41">
      <c r="A241">
        <v>240</v>
      </c>
      <c r="B241" s="42">
        <v>45941</v>
      </c>
      <c r="C241" t="str">
        <v>HINJEWADI</v>
      </c>
      <c r="D241" t="str">
        <v>SLK1</v>
      </c>
      <c r="E241" t="str">
        <v>SHADOWFAX TECHNOLOGIES PRIVATE LIMITED</v>
      </c>
      <c r="F241" t="str">
        <v>MH14KA6730</v>
      </c>
      <c r="G241" t="str">
        <v>ACE</v>
      </c>
      <c r="H241" t="str">
        <v>CNG</v>
      </c>
      <c r="I241">
        <v>4</v>
      </c>
      <c r="J241">
        <v>8</v>
      </c>
      <c r="K241">
        <v>25000</v>
      </c>
      <c r="L241">
        <v>1000</v>
      </c>
      <c r="M241">
        <v>55</v>
      </c>
      <c r="N241">
        <v>31</v>
      </c>
      <c r="O241" t="str">
        <v>PUN01 NC Cluster 107</v>
      </c>
      <c r="P241">
        <v>0</v>
      </c>
      <c r="Q241">
        <v>6.25E-2</v>
      </c>
      <c r="R241">
        <v>0.33504629629629629</v>
      </c>
      <c r="S241">
        <v>87055</v>
      </c>
      <c r="T241">
        <v>0.37223379629629627</v>
      </c>
      <c r="U241">
        <v>0.37247685185185181</v>
      </c>
      <c r="V241">
        <v>87055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150</v>
      </c>
      <c r="AF241">
        <v>0</v>
      </c>
      <c r="AG241">
        <v>0</v>
      </c>
      <c r="AH241">
        <v>0</v>
      </c>
      <c r="AI241">
        <v>0</v>
      </c>
      <c r="AJ241">
        <v>956.45</v>
      </c>
      <c r="AK241">
        <v>0</v>
      </c>
      <c r="AL241">
        <v>956.45</v>
      </c>
      <c r="AM241">
        <v>0</v>
      </c>
      <c r="AN241">
        <v>0</v>
      </c>
      <c r="AO241">
        <v>0</v>
      </c>
    </row>
    <row r="242" spans="1:41">
      <c r="A242">
        <v>241</v>
      </c>
      <c r="B242" s="42">
        <v>45941</v>
      </c>
      <c r="C242" t="str">
        <v>HINJEWADI</v>
      </c>
      <c r="D242" t="str">
        <v>SLK1</v>
      </c>
      <c r="E242" t="str">
        <v>SHADOWFAX TECHNOLOGIES PRIVATE LIMITED</v>
      </c>
      <c r="F242" t="str">
        <v>MH14LB6751</v>
      </c>
      <c r="G242" t="str">
        <v>ACE</v>
      </c>
      <c r="H242" t="str">
        <v>CNG</v>
      </c>
      <c r="I242">
        <v>4</v>
      </c>
      <c r="J242">
        <v>8</v>
      </c>
      <c r="K242">
        <v>25000</v>
      </c>
      <c r="L242">
        <v>1000</v>
      </c>
      <c r="M242">
        <v>55</v>
      </c>
      <c r="N242">
        <v>31</v>
      </c>
      <c r="O242" t="str">
        <v>PUN01 NC Cluster 42</v>
      </c>
      <c r="P242">
        <v>0</v>
      </c>
      <c r="Q242">
        <v>4.7916666666666663E-2</v>
      </c>
      <c r="R242">
        <v>0.19456018518518517</v>
      </c>
      <c r="S242">
        <v>83385</v>
      </c>
      <c r="T242">
        <v>0.3352430555555555</v>
      </c>
      <c r="U242">
        <v>0.33532407407407411</v>
      </c>
      <c r="V242">
        <v>83405</v>
      </c>
      <c r="W242">
        <v>35</v>
      </c>
      <c r="X242">
        <v>35</v>
      </c>
      <c r="Y242">
        <v>0</v>
      </c>
      <c r="Z242">
        <v>20</v>
      </c>
      <c r="AA242">
        <v>20</v>
      </c>
      <c r="AB242">
        <v>0</v>
      </c>
      <c r="AC242">
        <v>0</v>
      </c>
      <c r="AD242">
        <v>1</v>
      </c>
      <c r="AE242">
        <v>150</v>
      </c>
      <c r="AF242">
        <v>0</v>
      </c>
      <c r="AG242">
        <v>0</v>
      </c>
      <c r="AH242">
        <v>0</v>
      </c>
      <c r="AI242">
        <v>0</v>
      </c>
      <c r="AJ242">
        <v>956.45</v>
      </c>
      <c r="AK242">
        <v>0</v>
      </c>
      <c r="AL242">
        <v>956.45</v>
      </c>
      <c r="AM242">
        <v>0</v>
      </c>
      <c r="AN242">
        <v>0</v>
      </c>
      <c r="AO242">
        <v>0</v>
      </c>
    </row>
    <row r="243" spans="1:41">
      <c r="A243">
        <v>242</v>
      </c>
      <c r="B243" s="42">
        <v>45941</v>
      </c>
      <c r="C243" t="str">
        <v>HINJEWADI</v>
      </c>
      <c r="D243" t="str">
        <v>SLK1</v>
      </c>
      <c r="E243" t="str">
        <v>SHADOWFAX TECHNOLOGIES PRIVATE LIMITED</v>
      </c>
      <c r="F243" t="str">
        <v>MH14LL5974</v>
      </c>
      <c r="G243" t="str">
        <v>ACE</v>
      </c>
      <c r="H243" t="str">
        <v>CNG</v>
      </c>
      <c r="I243">
        <v>4</v>
      </c>
      <c r="J243">
        <v>8</v>
      </c>
      <c r="K243">
        <v>25000</v>
      </c>
      <c r="L243">
        <v>1000</v>
      </c>
      <c r="M243">
        <v>55</v>
      </c>
      <c r="N243">
        <v>31</v>
      </c>
      <c r="O243" t="str">
        <v>PUN01 NC Cluster 125</v>
      </c>
      <c r="P243">
        <v>0</v>
      </c>
      <c r="Q243">
        <v>9.1666666666666674E-2</v>
      </c>
      <c r="R243">
        <v>0.18482638888888889</v>
      </c>
      <c r="S243">
        <v>36587</v>
      </c>
      <c r="T243">
        <v>0.32855324074074072</v>
      </c>
      <c r="U243">
        <v>0.3286574074074074</v>
      </c>
      <c r="V243">
        <v>36617</v>
      </c>
      <c r="W243">
        <v>33</v>
      </c>
      <c r="X243">
        <v>33</v>
      </c>
      <c r="Y243">
        <v>0</v>
      </c>
      <c r="Z243">
        <v>30</v>
      </c>
      <c r="AA243">
        <v>30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806.45</v>
      </c>
      <c r="AK243">
        <v>0</v>
      </c>
      <c r="AL243">
        <v>806.45</v>
      </c>
      <c r="AM243">
        <v>0</v>
      </c>
      <c r="AN243">
        <v>0</v>
      </c>
      <c r="AO243">
        <v>0</v>
      </c>
    </row>
    <row r="244" spans="1:41">
      <c r="A244">
        <v>243</v>
      </c>
      <c r="B244" s="42">
        <v>45941</v>
      </c>
      <c r="C244" t="str">
        <v>HINJEWADI</v>
      </c>
      <c r="D244" t="str">
        <v>SLK1</v>
      </c>
      <c r="E244" t="str">
        <v>SHADOWFAX TECHNOLOGIES PRIVATE LIMITED</v>
      </c>
      <c r="F244" t="str">
        <v>MH14LL6836</v>
      </c>
      <c r="G244" t="str">
        <v>ACE</v>
      </c>
      <c r="H244" t="str">
        <v>CNG</v>
      </c>
      <c r="I244">
        <v>6</v>
      </c>
      <c r="J244">
        <v>8</v>
      </c>
      <c r="K244">
        <v>33000</v>
      </c>
      <c r="L244">
        <v>2000</v>
      </c>
      <c r="M244">
        <v>55</v>
      </c>
      <c r="N244">
        <v>31</v>
      </c>
      <c r="O244" t="str">
        <v>PUN01 NC Cluster 303</v>
      </c>
      <c r="P244">
        <v>0</v>
      </c>
      <c r="Q244">
        <v>0.10555555555555556</v>
      </c>
      <c r="R244">
        <v>0.19290509259259259</v>
      </c>
      <c r="S244">
        <v>32915</v>
      </c>
      <c r="T244">
        <v>0.3240972222222222</v>
      </c>
      <c r="U244">
        <v>0.32422453703703707</v>
      </c>
      <c r="V244">
        <v>32986</v>
      </c>
      <c r="W244">
        <v>43</v>
      </c>
      <c r="X244">
        <v>43</v>
      </c>
      <c r="Y244">
        <v>0</v>
      </c>
      <c r="Z244">
        <v>71</v>
      </c>
      <c r="AA244">
        <v>71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1064.52</v>
      </c>
      <c r="AK244">
        <v>0</v>
      </c>
      <c r="AL244">
        <v>1064.52</v>
      </c>
      <c r="AM244">
        <v>0</v>
      </c>
      <c r="AN244">
        <v>0</v>
      </c>
      <c r="AO244">
        <v>0</v>
      </c>
    </row>
    <row r="245" spans="1:41">
      <c r="A245">
        <v>244</v>
      </c>
      <c r="B245" s="42">
        <v>45941</v>
      </c>
      <c r="C245" t="str">
        <v>HINJEWADI</v>
      </c>
      <c r="D245" t="str">
        <v>SLK1</v>
      </c>
      <c r="E245" t="str">
        <v>SHADOWFAX TECHNOLOGIES PRIVATE LIMITED</v>
      </c>
      <c r="F245" t="str">
        <v>MH14LX6360</v>
      </c>
      <c r="G245" t="str">
        <v>ACE</v>
      </c>
      <c r="H245" t="str">
        <v>CNG</v>
      </c>
      <c r="I245">
        <v>4</v>
      </c>
      <c r="J245">
        <v>8</v>
      </c>
      <c r="K245">
        <v>25000</v>
      </c>
      <c r="L245">
        <v>1000</v>
      </c>
      <c r="M245">
        <v>55</v>
      </c>
      <c r="N245">
        <v>31</v>
      </c>
      <c r="O245" t="str">
        <v>PUN01 NC Cluster 38</v>
      </c>
      <c r="P245">
        <v>0</v>
      </c>
      <c r="Q245">
        <v>9.2361111111111116E-2</v>
      </c>
      <c r="R245">
        <v>0.19442129629629631</v>
      </c>
      <c r="S245">
        <v>38199</v>
      </c>
      <c r="T245">
        <v>0.42144675925925923</v>
      </c>
      <c r="U245">
        <v>0.42160879629629627</v>
      </c>
      <c r="V245">
        <v>38235</v>
      </c>
      <c r="W245">
        <v>10</v>
      </c>
      <c r="X245">
        <v>58</v>
      </c>
      <c r="Y245">
        <v>-48</v>
      </c>
      <c r="Z245">
        <v>36</v>
      </c>
      <c r="AA245">
        <v>36</v>
      </c>
      <c r="AB245">
        <v>0</v>
      </c>
      <c r="AC245">
        <v>0</v>
      </c>
      <c r="AD245">
        <v>3</v>
      </c>
      <c r="AE245">
        <v>450</v>
      </c>
      <c r="AF245">
        <v>0</v>
      </c>
      <c r="AG245">
        <v>0</v>
      </c>
      <c r="AH245">
        <v>0</v>
      </c>
      <c r="AI245">
        <v>0</v>
      </c>
      <c r="AJ245">
        <v>1256.45</v>
      </c>
      <c r="AK245">
        <v>0</v>
      </c>
      <c r="AL245">
        <v>1256.45</v>
      </c>
      <c r="AM245">
        <v>0</v>
      </c>
      <c r="AN245">
        <v>0</v>
      </c>
      <c r="AO245">
        <v>0</v>
      </c>
    </row>
    <row r="246" spans="1:41">
      <c r="A246">
        <v>245</v>
      </c>
      <c r="B246" s="42">
        <v>45941</v>
      </c>
      <c r="C246" t="str">
        <v>HINJEWADI</v>
      </c>
      <c r="D246" t="str">
        <v>SLK1</v>
      </c>
      <c r="E246" t="str">
        <v>SHADOWFAX TECHNOLOGIES PRIVATE LIMITED</v>
      </c>
      <c r="F246" t="str">
        <v>MH14MH6374</v>
      </c>
      <c r="G246" t="str">
        <v>ACE</v>
      </c>
      <c r="H246" t="str">
        <v>CNG</v>
      </c>
      <c r="I246">
        <v>4</v>
      </c>
      <c r="J246">
        <v>8</v>
      </c>
      <c r="K246">
        <v>25000</v>
      </c>
      <c r="L246">
        <v>1000</v>
      </c>
      <c r="M246">
        <v>55</v>
      </c>
      <c r="N246">
        <v>31</v>
      </c>
      <c r="O246" t="str">
        <v>PUN01 NC Cluster 200</v>
      </c>
      <c r="P246">
        <v>0</v>
      </c>
      <c r="Q246">
        <v>4.8611111111111112E-2</v>
      </c>
      <c r="R246">
        <v>0.18731481481481482</v>
      </c>
      <c r="S246">
        <v>7013</v>
      </c>
      <c r="T246">
        <v>0.33991898148148153</v>
      </c>
      <c r="U246">
        <v>0.34001157407407406</v>
      </c>
      <c r="V246">
        <v>7040</v>
      </c>
      <c r="W246">
        <v>55</v>
      </c>
      <c r="X246">
        <v>55</v>
      </c>
      <c r="Y246">
        <v>0</v>
      </c>
      <c r="Z246">
        <v>27</v>
      </c>
      <c r="AA246">
        <v>27</v>
      </c>
      <c r="AB246">
        <v>0</v>
      </c>
      <c r="AC246">
        <v>0</v>
      </c>
      <c r="AD246">
        <v>1</v>
      </c>
      <c r="AE246">
        <v>150</v>
      </c>
      <c r="AF246">
        <v>0</v>
      </c>
      <c r="AG246">
        <v>0</v>
      </c>
      <c r="AH246">
        <v>0</v>
      </c>
      <c r="AI246">
        <v>0</v>
      </c>
      <c r="AJ246">
        <v>956.45</v>
      </c>
      <c r="AK246">
        <v>0</v>
      </c>
      <c r="AL246">
        <v>956.45</v>
      </c>
      <c r="AM246">
        <v>0</v>
      </c>
      <c r="AN246">
        <v>0</v>
      </c>
      <c r="AO246">
        <v>0</v>
      </c>
    </row>
    <row r="247" spans="1:41">
      <c r="A247">
        <v>246</v>
      </c>
      <c r="B247" s="42">
        <v>45941</v>
      </c>
      <c r="C247" t="str">
        <v>HINJEWADI</v>
      </c>
      <c r="D247" t="str">
        <v>SLK1</v>
      </c>
      <c r="E247" t="str">
        <v>SHADOWFAX TECHNOLOGIES PRIVATE LIMITED</v>
      </c>
      <c r="F247" t="str">
        <v>MH14MH8276</v>
      </c>
      <c r="G247" t="str">
        <v>ACE</v>
      </c>
      <c r="H247" t="str">
        <v>CNG</v>
      </c>
      <c r="I247">
        <v>4</v>
      </c>
      <c r="J247">
        <v>8</v>
      </c>
      <c r="K247">
        <v>25000</v>
      </c>
      <c r="L247">
        <v>1000</v>
      </c>
      <c r="M247">
        <v>55</v>
      </c>
      <c r="N247">
        <v>31</v>
      </c>
      <c r="O247" t="str">
        <v>PUN01 NC Cluster 36</v>
      </c>
      <c r="P247">
        <v>0</v>
      </c>
      <c r="Q247">
        <v>9.3055555555555558E-2</v>
      </c>
      <c r="R247">
        <v>0.19590277777777776</v>
      </c>
      <c r="S247">
        <v>4423</v>
      </c>
      <c r="T247">
        <v>0.36590277777777774</v>
      </c>
      <c r="U247">
        <v>0.36601851851851852</v>
      </c>
      <c r="V247">
        <v>4485</v>
      </c>
      <c r="W247">
        <v>41</v>
      </c>
      <c r="X247">
        <v>41</v>
      </c>
      <c r="Y247">
        <v>0</v>
      </c>
      <c r="Z247">
        <v>62</v>
      </c>
      <c r="AA247">
        <v>62</v>
      </c>
      <c r="AB247">
        <v>0</v>
      </c>
      <c r="AC247">
        <v>0</v>
      </c>
      <c r="AD247">
        <v>1</v>
      </c>
      <c r="AE247">
        <v>150</v>
      </c>
      <c r="AF247">
        <v>0</v>
      </c>
      <c r="AG247">
        <v>0</v>
      </c>
      <c r="AH247">
        <v>0</v>
      </c>
      <c r="AI247">
        <v>0</v>
      </c>
      <c r="AJ247">
        <v>956.45</v>
      </c>
      <c r="AK247">
        <v>0</v>
      </c>
      <c r="AL247">
        <v>956.45</v>
      </c>
      <c r="AM247">
        <v>0</v>
      </c>
      <c r="AN247">
        <v>0</v>
      </c>
      <c r="AO247">
        <v>0</v>
      </c>
    </row>
    <row r="248" spans="1:41">
      <c r="A248">
        <v>247</v>
      </c>
      <c r="B248" s="42">
        <v>45941</v>
      </c>
      <c r="C248" t="str">
        <v>HINJEWADI</v>
      </c>
      <c r="D248" t="str">
        <v>SLK1</v>
      </c>
      <c r="E248" t="str">
        <v>SHADOWFAX TECHNOLOGIES PRIVATE LIMITED</v>
      </c>
      <c r="F248" t="str">
        <v>MH14LL4513</v>
      </c>
      <c r="G248" t="str">
        <v>BOLERO</v>
      </c>
      <c r="H248" t="str">
        <v>DIESEL</v>
      </c>
      <c r="I248">
        <v>4</v>
      </c>
      <c r="J248">
        <v>10</v>
      </c>
      <c r="K248">
        <v>29000</v>
      </c>
      <c r="L248">
        <v>1000</v>
      </c>
      <c r="M248">
        <v>55</v>
      </c>
      <c r="N248">
        <v>31</v>
      </c>
      <c r="O248" t="str">
        <v>PUN01 NC Cluster 71</v>
      </c>
      <c r="P248">
        <v>0</v>
      </c>
      <c r="Q248">
        <v>0.12361111111111112</v>
      </c>
      <c r="R248">
        <v>0.19417824074074075</v>
      </c>
      <c r="S248">
        <v>32641</v>
      </c>
      <c r="T248">
        <v>0.37972222222222224</v>
      </c>
      <c r="U248">
        <v>0.37980324074074073</v>
      </c>
      <c r="V248">
        <v>32653</v>
      </c>
      <c r="W248">
        <v>62</v>
      </c>
      <c r="X248">
        <v>62</v>
      </c>
      <c r="Y248">
        <v>0</v>
      </c>
      <c r="Z248">
        <v>12</v>
      </c>
      <c r="AA248">
        <v>12</v>
      </c>
      <c r="AB248">
        <v>0</v>
      </c>
      <c r="AC248">
        <v>0</v>
      </c>
      <c r="AD248">
        <v>2</v>
      </c>
      <c r="AE248">
        <v>300</v>
      </c>
      <c r="AF248">
        <v>0</v>
      </c>
      <c r="AG248">
        <v>0</v>
      </c>
      <c r="AH248">
        <v>0</v>
      </c>
      <c r="AI248">
        <v>0</v>
      </c>
      <c r="AJ248">
        <v>1235.48</v>
      </c>
      <c r="AK248">
        <v>0</v>
      </c>
      <c r="AL248">
        <v>1235.48</v>
      </c>
      <c r="AM248">
        <v>0</v>
      </c>
      <c r="AN248">
        <v>0</v>
      </c>
      <c r="AO248">
        <v>0</v>
      </c>
    </row>
    <row r="249" spans="1:41">
      <c r="A249">
        <v>248</v>
      </c>
      <c r="B249" s="42">
        <v>45941</v>
      </c>
      <c r="C249" t="str">
        <v>HINJEWADI</v>
      </c>
      <c r="D249" t="str">
        <v>SLK1</v>
      </c>
      <c r="E249" t="str">
        <v>SHADOWFAX TECHNOLOGIES PRIVATE LIMITED</v>
      </c>
      <c r="F249" t="str">
        <v>MH14LX1921</v>
      </c>
      <c r="G249" t="str">
        <v>BOLERO</v>
      </c>
      <c r="H249" t="str">
        <v>DIESEL</v>
      </c>
      <c r="I249">
        <v>6</v>
      </c>
      <c r="J249">
        <v>10</v>
      </c>
      <c r="K249">
        <v>38000</v>
      </c>
      <c r="L249">
        <v>2000</v>
      </c>
      <c r="M249">
        <v>55</v>
      </c>
      <c r="N249">
        <v>31</v>
      </c>
      <c r="O249" t="str">
        <v>PUN01 NC Cluster 1</v>
      </c>
      <c r="P249">
        <v>0</v>
      </c>
      <c r="Q249">
        <v>4.7916666666666663E-2</v>
      </c>
      <c r="R249">
        <v>0.33059027777777777</v>
      </c>
      <c r="S249">
        <v>11270</v>
      </c>
      <c r="T249">
        <v>0.33068287037037036</v>
      </c>
      <c r="U249">
        <v>0.33075231481481482</v>
      </c>
      <c r="V249">
        <v>11270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1225.81</v>
      </c>
      <c r="AK249">
        <v>0</v>
      </c>
      <c r="AL249">
        <v>1225.81</v>
      </c>
      <c r="AM249">
        <v>0</v>
      </c>
      <c r="AN249">
        <v>0</v>
      </c>
      <c r="AO249">
        <v>0</v>
      </c>
    </row>
    <row r="250" spans="1:41">
      <c r="A250">
        <v>249</v>
      </c>
      <c r="B250" s="42">
        <v>45941</v>
      </c>
      <c r="C250" t="str">
        <v>HINJEWADI</v>
      </c>
      <c r="D250" t="str">
        <v>SLK1</v>
      </c>
      <c r="E250" t="str">
        <v>SHADOWFAX TECHNOLOGIES PRIVATE LIMITED</v>
      </c>
      <c r="F250" t="str">
        <v>MH14LX4839</v>
      </c>
      <c r="G250" t="str">
        <v>BOLERO</v>
      </c>
      <c r="H250" t="str">
        <v>DIESEL</v>
      </c>
      <c r="I250">
        <v>4</v>
      </c>
      <c r="J250">
        <v>10</v>
      </c>
      <c r="K250">
        <v>29000</v>
      </c>
      <c r="L250">
        <v>1000</v>
      </c>
      <c r="M250">
        <v>55</v>
      </c>
      <c r="N250">
        <v>31</v>
      </c>
      <c r="O250" t="str">
        <v>PUN01 NC Cluster 73</v>
      </c>
      <c r="P250">
        <v>0</v>
      </c>
      <c r="Q250">
        <v>5.5555555555555552E-2</v>
      </c>
      <c r="R250">
        <v>0.19207175925925926</v>
      </c>
      <c r="S250">
        <v>38486</v>
      </c>
      <c r="T250">
        <v>0.32717592592592593</v>
      </c>
      <c r="U250">
        <v>0.32731481481481484</v>
      </c>
      <c r="V250">
        <v>38507</v>
      </c>
      <c r="W250">
        <v>37</v>
      </c>
      <c r="X250">
        <v>37</v>
      </c>
      <c r="Y250">
        <v>0</v>
      </c>
      <c r="Z250">
        <v>21</v>
      </c>
      <c r="AA250">
        <v>21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935.48</v>
      </c>
      <c r="AK250">
        <v>0</v>
      </c>
      <c r="AL250">
        <v>935.48</v>
      </c>
      <c r="AM250">
        <v>0</v>
      </c>
      <c r="AN250">
        <v>0</v>
      </c>
      <c r="AO250">
        <v>0</v>
      </c>
    </row>
    <row r="251" spans="1:41">
      <c r="A251">
        <v>250</v>
      </c>
      <c r="B251" s="42">
        <v>45941</v>
      </c>
      <c r="C251" t="str">
        <v>HINJEWADI</v>
      </c>
      <c r="D251" t="str">
        <v>SLK1</v>
      </c>
      <c r="E251" t="str">
        <v>SHADOWFAX TECHNOLOGIES PRIVATE LIMITED</v>
      </c>
      <c r="F251" t="str">
        <v>MH14LX4840</v>
      </c>
      <c r="G251" t="str">
        <v>BOLERO</v>
      </c>
      <c r="H251" t="str">
        <v>DIESEL</v>
      </c>
      <c r="I251">
        <v>4</v>
      </c>
      <c r="J251">
        <v>10</v>
      </c>
      <c r="K251">
        <v>29000</v>
      </c>
      <c r="L251">
        <v>1000</v>
      </c>
      <c r="M251">
        <v>55</v>
      </c>
      <c r="N251">
        <v>31</v>
      </c>
      <c r="O251" t="str">
        <v>PUN01 NC Cluster 17A</v>
      </c>
      <c r="P251">
        <v>0</v>
      </c>
      <c r="Q251">
        <v>0.10694444444444444</v>
      </c>
      <c r="R251">
        <v>0.19153935185185186</v>
      </c>
      <c r="S251">
        <v>60281</v>
      </c>
      <c r="T251">
        <v>0.36087962962962966</v>
      </c>
      <c r="U251">
        <v>0.36098379629629629</v>
      </c>
      <c r="V251">
        <v>60300</v>
      </c>
      <c r="W251">
        <v>31</v>
      </c>
      <c r="X251">
        <v>31</v>
      </c>
      <c r="Y251">
        <v>0</v>
      </c>
      <c r="Z251">
        <v>19</v>
      </c>
      <c r="AA251">
        <v>19</v>
      </c>
      <c r="AB251">
        <v>0</v>
      </c>
      <c r="AC251">
        <v>0</v>
      </c>
      <c r="AD251">
        <v>1</v>
      </c>
      <c r="AE251">
        <v>150</v>
      </c>
      <c r="AF251">
        <v>0</v>
      </c>
      <c r="AG251">
        <v>0</v>
      </c>
      <c r="AH251">
        <v>0</v>
      </c>
      <c r="AI251">
        <v>0</v>
      </c>
      <c r="AJ251">
        <v>1085.48</v>
      </c>
      <c r="AK251">
        <v>0</v>
      </c>
      <c r="AL251">
        <v>1085.48</v>
      </c>
      <c r="AM251">
        <v>0</v>
      </c>
      <c r="AN251">
        <v>0</v>
      </c>
      <c r="AO251">
        <v>0</v>
      </c>
    </row>
    <row r="252" spans="1:41">
      <c r="A252">
        <v>251</v>
      </c>
      <c r="B252" s="42">
        <v>45941</v>
      </c>
      <c r="C252" t="str">
        <v>HINJEWADI</v>
      </c>
      <c r="D252" t="str">
        <v>SLK1</v>
      </c>
      <c r="E252" t="str">
        <v>SHADOWFAX TECHNOLOGIES PRIVATE LIMITED</v>
      </c>
      <c r="F252" t="str">
        <v>MH14MH7322</v>
      </c>
      <c r="G252" t="str">
        <v>BOLERO</v>
      </c>
      <c r="H252" t="str">
        <v>DIESEL</v>
      </c>
      <c r="I252">
        <v>4</v>
      </c>
      <c r="J252">
        <v>10</v>
      </c>
      <c r="K252">
        <v>29000</v>
      </c>
      <c r="L252">
        <v>1000</v>
      </c>
      <c r="M252">
        <v>55</v>
      </c>
      <c r="N252">
        <v>31</v>
      </c>
      <c r="O252" t="str">
        <v>PUN01 NC Cluster 132</v>
      </c>
      <c r="P252">
        <v>0</v>
      </c>
      <c r="Q252">
        <v>0.10069444444444443</v>
      </c>
      <c r="R252">
        <v>0.18803240740740743</v>
      </c>
      <c r="S252">
        <v>2971</v>
      </c>
      <c r="T252">
        <v>0.37365740740740744</v>
      </c>
      <c r="U252">
        <v>0.37376157407407407</v>
      </c>
      <c r="V252">
        <v>3001</v>
      </c>
      <c r="W252">
        <v>51</v>
      </c>
      <c r="X252">
        <v>51</v>
      </c>
      <c r="Y252">
        <v>0</v>
      </c>
      <c r="Z252">
        <v>30</v>
      </c>
      <c r="AA252">
        <v>30</v>
      </c>
      <c r="AB252">
        <v>0</v>
      </c>
      <c r="AC252">
        <v>0</v>
      </c>
      <c r="AD252">
        <v>1</v>
      </c>
      <c r="AE252">
        <v>150</v>
      </c>
      <c r="AF252">
        <v>0</v>
      </c>
      <c r="AG252">
        <v>0</v>
      </c>
      <c r="AH252">
        <v>0</v>
      </c>
      <c r="AI252">
        <v>0</v>
      </c>
      <c r="AJ252">
        <v>1085.48</v>
      </c>
      <c r="AK252">
        <v>0</v>
      </c>
      <c r="AL252">
        <v>1085.48</v>
      </c>
      <c r="AM252">
        <v>0</v>
      </c>
      <c r="AN252">
        <v>0</v>
      </c>
      <c r="AO252">
        <v>0</v>
      </c>
    </row>
    <row r="253" spans="1:41">
      <c r="A253">
        <v>252</v>
      </c>
      <c r="B253" s="42">
        <v>45942</v>
      </c>
      <c r="C253" t="str">
        <v>HINJEWADI</v>
      </c>
      <c r="D253" t="str">
        <v>SLK1</v>
      </c>
      <c r="E253" t="str">
        <v>SHADOWFAX TECHNOLOGIES PRIVATE LIMITED</v>
      </c>
      <c r="F253" t="str">
        <v>MH03AH8989</v>
      </c>
      <c r="G253" t="str">
        <v>ACE</v>
      </c>
      <c r="H253" t="str">
        <v>CNG</v>
      </c>
      <c r="I253">
        <v>4</v>
      </c>
      <c r="J253">
        <v>8</v>
      </c>
      <c r="K253">
        <v>25000</v>
      </c>
      <c r="L253">
        <v>1000</v>
      </c>
      <c r="M253">
        <v>55</v>
      </c>
      <c r="N253">
        <v>31</v>
      </c>
      <c r="O253" t="str">
        <v>PUN01 NC Cluster 1</v>
      </c>
      <c r="P253">
        <v>0</v>
      </c>
      <c r="Q253">
        <v>4.7916666666666663E-2</v>
      </c>
      <c r="R253">
        <v>0.16888888888888889</v>
      </c>
      <c r="S253">
        <v>56750</v>
      </c>
      <c r="T253">
        <v>0.30098379629629629</v>
      </c>
      <c r="U253">
        <v>0.30164351851851851</v>
      </c>
      <c r="V253">
        <v>56757</v>
      </c>
      <c r="W253">
        <v>46</v>
      </c>
      <c r="X253">
        <v>46</v>
      </c>
      <c r="Y253">
        <v>0</v>
      </c>
      <c r="Z253">
        <v>7</v>
      </c>
      <c r="AA253">
        <v>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806.45</v>
      </c>
      <c r="AK253">
        <v>0</v>
      </c>
      <c r="AL253">
        <v>806.45</v>
      </c>
      <c r="AM253">
        <v>0</v>
      </c>
      <c r="AN253">
        <v>0</v>
      </c>
      <c r="AO253">
        <v>0</v>
      </c>
    </row>
    <row r="254" spans="1:41">
      <c r="A254">
        <v>253</v>
      </c>
      <c r="B254" s="42">
        <v>45942</v>
      </c>
      <c r="C254" t="str">
        <v>HINJEWADI</v>
      </c>
      <c r="D254" t="str">
        <v>SLK1</v>
      </c>
      <c r="E254" t="str">
        <v>SHADOWFAX TECHNOLOGIES PRIVATE LIMITED</v>
      </c>
      <c r="F254" t="str">
        <v>MH12SF9859</v>
      </c>
      <c r="G254" t="str">
        <v>ACE</v>
      </c>
      <c r="H254" t="str">
        <v>CNG</v>
      </c>
      <c r="I254">
        <v>4</v>
      </c>
      <c r="J254">
        <v>8</v>
      </c>
      <c r="K254">
        <v>25000</v>
      </c>
      <c r="L254">
        <v>1000</v>
      </c>
      <c r="M254">
        <v>55</v>
      </c>
      <c r="N254">
        <v>31</v>
      </c>
      <c r="O254" t="str">
        <v>PUN01 NC Cluster 7</v>
      </c>
      <c r="P254">
        <v>0</v>
      </c>
      <c r="Q254">
        <v>4.5833333333333337E-2</v>
      </c>
      <c r="R254">
        <v>0.16898148148148148</v>
      </c>
      <c r="S254">
        <v>110240</v>
      </c>
      <c r="T254">
        <v>0.30464120370370368</v>
      </c>
      <c r="U254">
        <v>0.30481481481481482</v>
      </c>
      <c r="V254">
        <v>110253</v>
      </c>
      <c r="W254">
        <v>54</v>
      </c>
      <c r="X254">
        <v>54</v>
      </c>
      <c r="Y254">
        <v>0</v>
      </c>
      <c r="Z254">
        <v>13</v>
      </c>
      <c r="AA254">
        <v>13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806.45</v>
      </c>
      <c r="AK254">
        <v>0</v>
      </c>
      <c r="AL254">
        <v>806.45</v>
      </c>
      <c r="AM254">
        <v>0</v>
      </c>
      <c r="AN254">
        <v>0</v>
      </c>
      <c r="AO254">
        <v>0</v>
      </c>
    </row>
    <row r="255" spans="1:41">
      <c r="A255">
        <v>254</v>
      </c>
      <c r="B255" s="42">
        <v>45942</v>
      </c>
      <c r="C255" t="str">
        <v>HINJEWADI</v>
      </c>
      <c r="D255" t="str">
        <v>SLK1</v>
      </c>
      <c r="E255" t="str">
        <v>SHADOWFAX TECHNOLOGIES PRIVATE LIMITED</v>
      </c>
      <c r="F255" t="str">
        <v>MH12UM3063</v>
      </c>
      <c r="G255" t="str">
        <v>ACE</v>
      </c>
      <c r="H255" t="str">
        <v>CNG</v>
      </c>
      <c r="I255">
        <v>6</v>
      </c>
      <c r="J255">
        <v>8</v>
      </c>
      <c r="K255">
        <v>33000</v>
      </c>
      <c r="L255">
        <v>2000</v>
      </c>
      <c r="M255">
        <v>55</v>
      </c>
      <c r="N255">
        <v>31</v>
      </c>
      <c r="O255" t="str">
        <v>PUN01 NC Cluster 238</v>
      </c>
      <c r="P255">
        <v>0</v>
      </c>
      <c r="Q255">
        <v>4.027777777777778E-2</v>
      </c>
      <c r="R255">
        <v>0.17899305555555556</v>
      </c>
      <c r="S255">
        <v>99491</v>
      </c>
      <c r="T255">
        <v>0.36579861111111112</v>
      </c>
      <c r="U255">
        <v>0.36849537037037039</v>
      </c>
      <c r="V255">
        <v>99537</v>
      </c>
      <c r="W255">
        <v>24</v>
      </c>
      <c r="X255">
        <v>71</v>
      </c>
      <c r="Y255">
        <v>-47</v>
      </c>
      <c r="Z255">
        <v>46</v>
      </c>
      <c r="AA255">
        <v>46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1064.52</v>
      </c>
      <c r="AK255">
        <v>0</v>
      </c>
      <c r="AL255">
        <v>1064.52</v>
      </c>
      <c r="AM255">
        <v>0</v>
      </c>
      <c r="AN255">
        <v>0</v>
      </c>
      <c r="AO255">
        <v>0</v>
      </c>
    </row>
    <row r="256" spans="1:41">
      <c r="A256">
        <v>255</v>
      </c>
      <c r="B256" s="42">
        <v>45942</v>
      </c>
      <c r="C256" t="str">
        <v>HINJEWADI</v>
      </c>
      <c r="D256" t="str">
        <v>SLK1</v>
      </c>
      <c r="E256" t="str">
        <v>SHADOWFAX TECHNOLOGIES PRIVATE LIMITED</v>
      </c>
      <c r="F256" t="str">
        <v>MH12VF3782</v>
      </c>
      <c r="G256" t="str">
        <v>ACE</v>
      </c>
      <c r="H256" t="str">
        <v>CNG</v>
      </c>
      <c r="I256">
        <v>4</v>
      </c>
      <c r="J256">
        <v>8</v>
      </c>
      <c r="K256">
        <v>25000</v>
      </c>
      <c r="L256">
        <v>1000</v>
      </c>
      <c r="M256">
        <v>55</v>
      </c>
      <c r="N256">
        <v>31</v>
      </c>
      <c r="O256" t="str">
        <v>PUN01 NC Cluster 37</v>
      </c>
      <c r="P256">
        <v>0</v>
      </c>
      <c r="Q256">
        <v>0.13055555555555556</v>
      </c>
      <c r="R256">
        <v>0.17170138888888889</v>
      </c>
      <c r="S256">
        <v>83882</v>
      </c>
      <c r="T256">
        <v>0.35934027777777783</v>
      </c>
      <c r="U256">
        <v>0.35947916666666663</v>
      </c>
      <c r="V256">
        <v>83897</v>
      </c>
      <c r="W256">
        <v>43</v>
      </c>
      <c r="X256">
        <v>43</v>
      </c>
      <c r="Y256">
        <v>0</v>
      </c>
      <c r="Z256">
        <v>15</v>
      </c>
      <c r="AA256">
        <v>15</v>
      </c>
      <c r="AB256">
        <v>0</v>
      </c>
      <c r="AC256">
        <v>0</v>
      </c>
      <c r="AD256">
        <v>1</v>
      </c>
      <c r="AE256">
        <v>150</v>
      </c>
      <c r="AF256">
        <v>0</v>
      </c>
      <c r="AG256">
        <v>0</v>
      </c>
      <c r="AH256">
        <v>0</v>
      </c>
      <c r="AI256">
        <v>0</v>
      </c>
      <c r="AJ256">
        <v>956.45</v>
      </c>
      <c r="AK256">
        <v>0</v>
      </c>
      <c r="AL256">
        <v>956.45</v>
      </c>
      <c r="AM256">
        <v>0</v>
      </c>
      <c r="AN256">
        <v>0</v>
      </c>
      <c r="AO256">
        <v>0</v>
      </c>
    </row>
    <row r="257" spans="1:41">
      <c r="A257">
        <v>256</v>
      </c>
      <c r="B257" s="42">
        <v>45942</v>
      </c>
      <c r="C257" t="str">
        <v>HINJEWADI</v>
      </c>
      <c r="D257" t="str">
        <v>SLK1</v>
      </c>
      <c r="E257" t="str">
        <v>SHADOWFAX TECHNOLOGIES PRIVATE LIMITED</v>
      </c>
      <c r="F257" t="str">
        <v>MH12WX6236</v>
      </c>
      <c r="G257" t="str">
        <v>ACE</v>
      </c>
      <c r="H257" t="str">
        <v>CNG</v>
      </c>
      <c r="I257">
        <v>4</v>
      </c>
      <c r="J257">
        <v>8</v>
      </c>
      <c r="K257">
        <v>25000</v>
      </c>
      <c r="L257">
        <v>1000</v>
      </c>
      <c r="M257">
        <v>55</v>
      </c>
      <c r="N257">
        <v>31</v>
      </c>
      <c r="O257" t="str">
        <v>PUN01 NC Cluster 182</v>
      </c>
      <c r="P257">
        <v>0</v>
      </c>
      <c r="Q257">
        <v>4.5833333333333337E-2</v>
      </c>
      <c r="R257">
        <v>0.16814814814814816</v>
      </c>
      <c r="S257">
        <v>37769</v>
      </c>
      <c r="T257">
        <v>0.34675925925925927</v>
      </c>
      <c r="U257">
        <v>0.34682870370370367</v>
      </c>
      <c r="V257">
        <v>37809</v>
      </c>
      <c r="W257">
        <v>59</v>
      </c>
      <c r="X257">
        <v>59</v>
      </c>
      <c r="Y257">
        <v>0</v>
      </c>
      <c r="Z257">
        <v>40</v>
      </c>
      <c r="AA257">
        <v>40</v>
      </c>
      <c r="AB257">
        <v>0</v>
      </c>
      <c r="AC257">
        <v>0</v>
      </c>
      <c r="AD257">
        <v>1</v>
      </c>
      <c r="AE257">
        <v>150</v>
      </c>
      <c r="AF257">
        <v>0</v>
      </c>
      <c r="AG257">
        <v>0</v>
      </c>
      <c r="AH257">
        <v>0</v>
      </c>
      <c r="AI257">
        <v>0</v>
      </c>
      <c r="AJ257">
        <v>956.45</v>
      </c>
      <c r="AK257">
        <v>0</v>
      </c>
      <c r="AL257">
        <v>956.45</v>
      </c>
      <c r="AM257">
        <v>0</v>
      </c>
      <c r="AN257">
        <v>0</v>
      </c>
      <c r="AO257">
        <v>0</v>
      </c>
    </row>
    <row r="258" spans="1:41">
      <c r="A258">
        <v>257</v>
      </c>
      <c r="B258" s="42">
        <v>45942</v>
      </c>
      <c r="C258" t="str">
        <v>HINJEWADI</v>
      </c>
      <c r="D258" t="str">
        <v>SLK1</v>
      </c>
      <c r="E258" t="str">
        <v>SHADOWFAX TECHNOLOGIES PRIVATE LIMITED</v>
      </c>
      <c r="F258" t="str">
        <v>MH12XM2801</v>
      </c>
      <c r="G258" t="str">
        <v>ACE</v>
      </c>
      <c r="H258" t="str">
        <v>CNG</v>
      </c>
      <c r="I258">
        <v>4</v>
      </c>
      <c r="J258">
        <v>8</v>
      </c>
      <c r="K258">
        <v>25000</v>
      </c>
      <c r="L258">
        <v>1000</v>
      </c>
      <c r="M258">
        <v>55</v>
      </c>
      <c r="N258">
        <v>31</v>
      </c>
      <c r="O258" t="str">
        <v>PUN01 NC Cluster 61</v>
      </c>
      <c r="P258">
        <v>0</v>
      </c>
      <c r="Q258">
        <v>0.12222222222222223</v>
      </c>
      <c r="R258">
        <v>0.17092592592592593</v>
      </c>
      <c r="S258">
        <v>11875</v>
      </c>
      <c r="T258">
        <v>0.30216435185185186</v>
      </c>
      <c r="U258">
        <v>0.30284722222222221</v>
      </c>
      <c r="V258">
        <v>11898</v>
      </c>
      <c r="W258">
        <v>35</v>
      </c>
      <c r="X258">
        <v>35</v>
      </c>
      <c r="Y258">
        <v>0</v>
      </c>
      <c r="Z258">
        <v>23</v>
      </c>
      <c r="AA258">
        <v>23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806.45</v>
      </c>
      <c r="AK258">
        <v>0</v>
      </c>
      <c r="AL258">
        <v>806.45</v>
      </c>
      <c r="AM258">
        <v>0</v>
      </c>
      <c r="AN258">
        <v>0</v>
      </c>
      <c r="AO258">
        <v>0</v>
      </c>
    </row>
    <row r="259" spans="1:41">
      <c r="A259">
        <v>258</v>
      </c>
      <c r="B259" s="42">
        <v>45942</v>
      </c>
      <c r="C259" t="str">
        <v>HINJEWADI</v>
      </c>
      <c r="D259" t="str">
        <v>SLK1</v>
      </c>
      <c r="E259" t="str">
        <v>SHADOWFAX TECHNOLOGIES PRIVATE LIMITED</v>
      </c>
      <c r="F259" t="str">
        <v>MH14CP4610</v>
      </c>
      <c r="G259" t="str">
        <v>ACE</v>
      </c>
      <c r="H259" t="str">
        <v>CNG</v>
      </c>
      <c r="I259">
        <v>4</v>
      </c>
      <c r="J259">
        <v>8</v>
      </c>
      <c r="K259">
        <v>25000</v>
      </c>
      <c r="L259">
        <v>1000</v>
      </c>
      <c r="M259">
        <v>55</v>
      </c>
      <c r="N259">
        <v>31</v>
      </c>
      <c r="O259" t="str">
        <v>PUN01 NC Cluster 87</v>
      </c>
      <c r="P259">
        <v>0</v>
      </c>
      <c r="Q259">
        <v>0.10416666666666667</v>
      </c>
      <c r="R259">
        <v>0.1690625</v>
      </c>
      <c r="S259">
        <v>145281</v>
      </c>
      <c r="T259">
        <v>0.30203703703703705</v>
      </c>
      <c r="U259">
        <v>0.30276620370370372</v>
      </c>
      <c r="V259">
        <v>145299</v>
      </c>
      <c r="W259">
        <v>33</v>
      </c>
      <c r="X259">
        <v>33</v>
      </c>
      <c r="Y259">
        <v>0</v>
      </c>
      <c r="Z259">
        <v>18</v>
      </c>
      <c r="AA259">
        <v>18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806.45</v>
      </c>
      <c r="AK259">
        <v>0</v>
      </c>
      <c r="AL259">
        <v>806.45</v>
      </c>
      <c r="AM259">
        <v>0</v>
      </c>
      <c r="AN259">
        <v>0</v>
      </c>
      <c r="AO259">
        <v>0</v>
      </c>
    </row>
    <row r="260" spans="1:41">
      <c r="A260">
        <v>259</v>
      </c>
      <c r="B260" s="42">
        <v>45942</v>
      </c>
      <c r="C260" t="str">
        <v>HINJEWADI</v>
      </c>
      <c r="D260" t="str">
        <v>SLK1</v>
      </c>
      <c r="E260" t="str">
        <v>SHADOWFAX TECHNOLOGIES PRIVATE LIMITED</v>
      </c>
      <c r="F260" t="str">
        <v>MH14KA0766</v>
      </c>
      <c r="G260" t="str">
        <v>ACE</v>
      </c>
      <c r="H260" t="str">
        <v>CNG</v>
      </c>
      <c r="I260">
        <v>4</v>
      </c>
      <c r="J260">
        <v>8</v>
      </c>
      <c r="K260">
        <v>25000</v>
      </c>
      <c r="L260">
        <v>1000</v>
      </c>
      <c r="M260">
        <v>55</v>
      </c>
      <c r="N260">
        <v>31</v>
      </c>
      <c r="O260" t="str">
        <v>PUN01 NC Cluster 10</v>
      </c>
      <c r="P260">
        <v>0</v>
      </c>
      <c r="Q260">
        <v>4.5138888888888888E-2</v>
      </c>
      <c r="R260">
        <v>0.17872685185185186</v>
      </c>
      <c r="S260">
        <v>143361</v>
      </c>
      <c r="T260">
        <v>0.30081018518518515</v>
      </c>
      <c r="U260">
        <v>0.30171296296296296</v>
      </c>
      <c r="V260">
        <v>143383</v>
      </c>
      <c r="W260">
        <v>40</v>
      </c>
      <c r="X260">
        <v>40</v>
      </c>
      <c r="Y260">
        <v>0</v>
      </c>
      <c r="Z260">
        <v>22</v>
      </c>
      <c r="AA260">
        <v>22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806.45</v>
      </c>
      <c r="AK260">
        <v>0</v>
      </c>
      <c r="AL260">
        <v>806.45</v>
      </c>
      <c r="AM260">
        <v>0</v>
      </c>
      <c r="AN260">
        <v>0</v>
      </c>
      <c r="AO260">
        <v>0</v>
      </c>
    </row>
    <row r="261" spans="1:41">
      <c r="A261">
        <v>260</v>
      </c>
      <c r="B261" s="42">
        <v>45942</v>
      </c>
      <c r="C261" t="str">
        <v>HINJEWADI</v>
      </c>
      <c r="D261" t="str">
        <v>SLK1</v>
      </c>
      <c r="E261" t="str">
        <v>SHADOWFAX TECHNOLOGIES PRIVATE LIMITED</v>
      </c>
      <c r="F261" t="str">
        <v>MH14KA1228</v>
      </c>
      <c r="G261" t="str">
        <v>ACE</v>
      </c>
      <c r="H261" t="str">
        <v>CNG</v>
      </c>
      <c r="I261">
        <v>4</v>
      </c>
      <c r="J261">
        <v>8</v>
      </c>
      <c r="K261">
        <v>25000</v>
      </c>
      <c r="L261">
        <v>1000</v>
      </c>
      <c r="M261">
        <v>55</v>
      </c>
      <c r="N261">
        <v>31</v>
      </c>
      <c r="O261" t="str">
        <v>PUN01 NC Cluster 113</v>
      </c>
      <c r="P261">
        <v>0</v>
      </c>
      <c r="Q261">
        <v>0.13958333333333334</v>
      </c>
      <c r="R261">
        <v>0.18329861111111112</v>
      </c>
      <c r="S261">
        <v>159053</v>
      </c>
      <c r="T261">
        <v>0.34883101851851855</v>
      </c>
      <c r="U261">
        <v>0.34913194444444445</v>
      </c>
      <c r="V261">
        <v>159087</v>
      </c>
      <c r="W261">
        <v>0</v>
      </c>
      <c r="X261">
        <v>0</v>
      </c>
      <c r="Y261">
        <v>0</v>
      </c>
      <c r="Z261">
        <v>34</v>
      </c>
      <c r="AA261">
        <v>34</v>
      </c>
      <c r="AB261">
        <v>0</v>
      </c>
      <c r="AC261">
        <v>0</v>
      </c>
      <c r="AD261">
        <v>1</v>
      </c>
      <c r="AE261">
        <v>150</v>
      </c>
      <c r="AF261">
        <v>0</v>
      </c>
      <c r="AG261">
        <v>0</v>
      </c>
      <c r="AH261">
        <v>0</v>
      </c>
      <c r="AI261">
        <v>0</v>
      </c>
      <c r="AJ261">
        <v>956.45</v>
      </c>
      <c r="AK261">
        <v>0</v>
      </c>
      <c r="AL261">
        <v>956.45</v>
      </c>
      <c r="AM261">
        <v>0</v>
      </c>
      <c r="AN261">
        <v>0</v>
      </c>
      <c r="AO261">
        <v>0</v>
      </c>
    </row>
    <row r="262" spans="1:41">
      <c r="A262">
        <v>261</v>
      </c>
      <c r="B262" s="42">
        <v>45942</v>
      </c>
      <c r="C262" t="str">
        <v>HINJEWADI</v>
      </c>
      <c r="D262" t="str">
        <v>SLK1</v>
      </c>
      <c r="E262" t="str">
        <v>SHADOWFAX TECHNOLOGIES PRIVATE LIMITED</v>
      </c>
      <c r="F262" t="str">
        <v>MH14KA1873</v>
      </c>
      <c r="G262" t="str">
        <v>ACE</v>
      </c>
      <c r="H262" t="str">
        <v>CNG</v>
      </c>
      <c r="I262">
        <v>4</v>
      </c>
      <c r="J262">
        <v>8</v>
      </c>
      <c r="K262">
        <v>25000</v>
      </c>
      <c r="L262">
        <v>1000</v>
      </c>
      <c r="M262">
        <v>55</v>
      </c>
      <c r="N262">
        <v>31</v>
      </c>
      <c r="O262" t="str">
        <v>PUN01 NC Cluster 36</v>
      </c>
      <c r="P262">
        <v>0</v>
      </c>
      <c r="Q262">
        <v>4.9999999999999996E-2</v>
      </c>
      <c r="R262">
        <v>0.17028935185185187</v>
      </c>
      <c r="S262">
        <v>112994</v>
      </c>
      <c r="T262">
        <v>0.30994212962962964</v>
      </c>
      <c r="U262">
        <v>0.31005787037037036</v>
      </c>
      <c r="V262">
        <v>113011</v>
      </c>
      <c r="W262">
        <v>34</v>
      </c>
      <c r="X262">
        <v>34</v>
      </c>
      <c r="Y262">
        <v>0</v>
      </c>
      <c r="Z262">
        <v>17</v>
      </c>
      <c r="AA262">
        <v>17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806.45</v>
      </c>
      <c r="AK262">
        <v>0</v>
      </c>
      <c r="AL262">
        <v>806.45</v>
      </c>
      <c r="AM262">
        <v>0</v>
      </c>
      <c r="AN262">
        <v>0</v>
      </c>
      <c r="AO262">
        <v>0</v>
      </c>
    </row>
    <row r="263" spans="1:41">
      <c r="A263">
        <v>262</v>
      </c>
      <c r="B263" s="42">
        <v>45942</v>
      </c>
      <c r="C263" t="str">
        <v>HINJEWADI</v>
      </c>
      <c r="D263" t="str">
        <v>SLK1</v>
      </c>
      <c r="E263" t="str">
        <v>SHADOWFAX TECHNOLOGIES PRIVATE LIMITED</v>
      </c>
      <c r="F263" t="str">
        <v>MH14KA6513</v>
      </c>
      <c r="G263" t="str">
        <v>ACE</v>
      </c>
      <c r="H263" t="str">
        <v>CNG</v>
      </c>
      <c r="I263">
        <v>6</v>
      </c>
      <c r="J263">
        <v>8</v>
      </c>
      <c r="K263">
        <v>33000</v>
      </c>
      <c r="L263">
        <v>2000</v>
      </c>
      <c r="M263">
        <v>55</v>
      </c>
      <c r="N263">
        <v>31</v>
      </c>
      <c r="O263" t="str">
        <v>PUN01 NC Cluster 300</v>
      </c>
      <c r="P263">
        <v>0</v>
      </c>
      <c r="Q263">
        <v>4.5138888888888888E-2</v>
      </c>
      <c r="R263">
        <v>0.17762731481481484</v>
      </c>
      <c r="S263">
        <v>47680</v>
      </c>
      <c r="T263">
        <v>0.37041666666666667</v>
      </c>
      <c r="U263">
        <v>0.37060185185185185</v>
      </c>
      <c r="V263">
        <v>47772</v>
      </c>
      <c r="W263">
        <v>48</v>
      </c>
      <c r="X263">
        <v>48</v>
      </c>
      <c r="Y263">
        <v>0</v>
      </c>
      <c r="Z263">
        <v>92</v>
      </c>
      <c r="AA263">
        <v>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1064.52</v>
      </c>
      <c r="AK263">
        <v>0</v>
      </c>
      <c r="AL263">
        <v>1064.52</v>
      </c>
      <c r="AM263">
        <v>0</v>
      </c>
      <c r="AN263">
        <v>0</v>
      </c>
      <c r="AO263">
        <v>0</v>
      </c>
    </row>
    <row r="264" spans="1:41">
      <c r="A264">
        <v>263</v>
      </c>
      <c r="B264" s="42">
        <v>45942</v>
      </c>
      <c r="C264" t="str">
        <v>HINJEWADI</v>
      </c>
      <c r="D264" t="str">
        <v>SLK1</v>
      </c>
      <c r="E264" t="str">
        <v>SHADOWFAX TECHNOLOGIES PRIVATE LIMITED</v>
      </c>
      <c r="F264" t="str">
        <v>MH14KQ4401</v>
      </c>
      <c r="G264" t="str">
        <v>ACE</v>
      </c>
      <c r="H264" t="str">
        <v>CNG</v>
      </c>
      <c r="I264">
        <v>4</v>
      </c>
      <c r="J264">
        <v>8</v>
      </c>
      <c r="K264">
        <v>25000</v>
      </c>
      <c r="L264">
        <v>1000</v>
      </c>
      <c r="M264">
        <v>55</v>
      </c>
      <c r="N264">
        <v>31</v>
      </c>
      <c r="O264" t="str">
        <v>PUN01 NC Cluster 100</v>
      </c>
      <c r="P264">
        <v>0</v>
      </c>
      <c r="Q264">
        <v>0.1277777777777778</v>
      </c>
      <c r="R264">
        <v>0.1720949074074074</v>
      </c>
      <c r="S264">
        <v>3510</v>
      </c>
      <c r="T264">
        <v>0.30231481481481481</v>
      </c>
      <c r="U264">
        <v>0.30406250000000001</v>
      </c>
      <c r="V264">
        <v>3521</v>
      </c>
      <c r="W264">
        <v>26</v>
      </c>
      <c r="X264">
        <v>26</v>
      </c>
      <c r="Y264">
        <v>0</v>
      </c>
      <c r="Z264">
        <v>11</v>
      </c>
      <c r="AA264">
        <v>11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806.45</v>
      </c>
      <c r="AK264">
        <v>0</v>
      </c>
      <c r="AL264">
        <v>806.45</v>
      </c>
      <c r="AM264">
        <v>0</v>
      </c>
      <c r="AN264">
        <v>0</v>
      </c>
      <c r="AO264">
        <v>0</v>
      </c>
    </row>
    <row r="265" spans="1:41">
      <c r="A265">
        <v>264</v>
      </c>
      <c r="B265" s="42">
        <v>45942</v>
      </c>
      <c r="C265" t="str">
        <v>HINJEWADI</v>
      </c>
      <c r="D265" t="str">
        <v>SLK1</v>
      </c>
      <c r="E265" t="str">
        <v>SHADOWFAX TECHNOLOGIES PRIVATE LIMITED</v>
      </c>
      <c r="F265" t="str">
        <v>MH14LB6751</v>
      </c>
      <c r="G265" t="str">
        <v>ACE</v>
      </c>
      <c r="H265" t="str">
        <v>CNG</v>
      </c>
      <c r="I265">
        <v>4</v>
      </c>
      <c r="J265">
        <v>8</v>
      </c>
      <c r="K265">
        <v>25000</v>
      </c>
      <c r="L265">
        <v>1000</v>
      </c>
      <c r="M265">
        <v>55</v>
      </c>
      <c r="N265">
        <v>31</v>
      </c>
      <c r="O265" t="str">
        <v>PUN01 NC Cluster 62</v>
      </c>
      <c r="P265">
        <v>0</v>
      </c>
      <c r="Q265">
        <v>4.9305555555555554E-2</v>
      </c>
      <c r="R265">
        <v>0.16928240740740741</v>
      </c>
      <c r="S265">
        <v>83513</v>
      </c>
      <c r="T265">
        <v>0.301875</v>
      </c>
      <c r="U265">
        <v>0.30269675925925926</v>
      </c>
      <c r="V265">
        <v>83537</v>
      </c>
      <c r="W265">
        <v>32</v>
      </c>
      <c r="X265">
        <v>32</v>
      </c>
      <c r="Y265">
        <v>0</v>
      </c>
      <c r="Z265">
        <v>24</v>
      </c>
      <c r="AA265">
        <v>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806.45</v>
      </c>
      <c r="AK265">
        <v>0</v>
      </c>
      <c r="AL265">
        <v>806.45</v>
      </c>
      <c r="AM265">
        <v>0</v>
      </c>
      <c r="AN265">
        <v>0</v>
      </c>
      <c r="AO265">
        <v>0</v>
      </c>
    </row>
    <row r="266" spans="1:41">
      <c r="A266">
        <v>265</v>
      </c>
      <c r="B266" s="42">
        <v>45942</v>
      </c>
      <c r="C266" t="str">
        <v>HINJEWADI</v>
      </c>
      <c r="D266" t="str">
        <v>SLK1</v>
      </c>
      <c r="E266" t="str">
        <v>SHADOWFAX TECHNOLOGIES PRIVATE LIMITED</v>
      </c>
      <c r="F266" t="str">
        <v>MH14LL5974</v>
      </c>
      <c r="G266" t="str">
        <v>ACE</v>
      </c>
      <c r="H266" t="str">
        <v>CNG</v>
      </c>
      <c r="I266">
        <v>4</v>
      </c>
      <c r="J266">
        <v>8</v>
      </c>
      <c r="K266">
        <v>25000</v>
      </c>
      <c r="L266">
        <v>1000</v>
      </c>
      <c r="M266">
        <v>55</v>
      </c>
      <c r="N266">
        <v>31</v>
      </c>
      <c r="O266" t="str">
        <v>PUN01 NC Cluster 136</v>
      </c>
      <c r="P266">
        <v>0</v>
      </c>
      <c r="Q266">
        <v>9.2361111111111116E-2</v>
      </c>
      <c r="R266">
        <v>0.17510416666666664</v>
      </c>
      <c r="S266">
        <v>36661</v>
      </c>
      <c r="T266">
        <v>0.31260416666666663</v>
      </c>
      <c r="U266">
        <v>0.31274305555555554</v>
      </c>
      <c r="V266">
        <v>36691</v>
      </c>
      <c r="W266">
        <v>52</v>
      </c>
      <c r="X266">
        <v>52</v>
      </c>
      <c r="Y266">
        <v>0</v>
      </c>
      <c r="Z266">
        <v>30</v>
      </c>
      <c r="AA266">
        <v>30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806.45</v>
      </c>
      <c r="AK266">
        <v>0</v>
      </c>
      <c r="AL266">
        <v>806.45</v>
      </c>
      <c r="AM266">
        <v>0</v>
      </c>
      <c r="AN266">
        <v>0</v>
      </c>
      <c r="AO266">
        <v>0</v>
      </c>
    </row>
    <row r="267" spans="1:41">
      <c r="A267">
        <v>266</v>
      </c>
      <c r="B267" s="42">
        <v>45942</v>
      </c>
      <c r="C267" t="str">
        <v>HINJEWADI</v>
      </c>
      <c r="D267" t="str">
        <v>SLK1</v>
      </c>
      <c r="E267" t="str">
        <v>SHADOWFAX TECHNOLOGIES PRIVATE LIMITED</v>
      </c>
      <c r="F267" t="str">
        <v>MH14LL6836</v>
      </c>
      <c r="G267" t="str">
        <v>ACE</v>
      </c>
      <c r="H267" t="str">
        <v>CNG</v>
      </c>
      <c r="I267">
        <v>6</v>
      </c>
      <c r="J267">
        <v>8</v>
      </c>
      <c r="K267">
        <v>33000</v>
      </c>
      <c r="L267">
        <v>2000</v>
      </c>
      <c r="M267">
        <v>55</v>
      </c>
      <c r="N267">
        <v>31</v>
      </c>
      <c r="O267" t="str">
        <v>PUN01 NC Cluster 303</v>
      </c>
      <c r="P267">
        <v>0</v>
      </c>
      <c r="Q267">
        <v>8.3333333333333329E-2</v>
      </c>
      <c r="R267">
        <v>0.17969907407407407</v>
      </c>
      <c r="S267">
        <v>33190</v>
      </c>
      <c r="T267">
        <v>0.33497685185185189</v>
      </c>
      <c r="U267">
        <v>0.33519675925925929</v>
      </c>
      <c r="V267">
        <v>33269</v>
      </c>
      <c r="W267">
        <v>32</v>
      </c>
      <c r="X267">
        <v>32</v>
      </c>
      <c r="Y267">
        <v>0</v>
      </c>
      <c r="Z267">
        <v>79</v>
      </c>
      <c r="AA267">
        <v>79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1064.52</v>
      </c>
      <c r="AK267">
        <v>0</v>
      </c>
      <c r="AL267">
        <v>1064.52</v>
      </c>
      <c r="AM267">
        <v>0</v>
      </c>
      <c r="AN267">
        <v>0</v>
      </c>
      <c r="AO267">
        <v>0</v>
      </c>
    </row>
    <row r="268" spans="1:41">
      <c r="A268">
        <v>267</v>
      </c>
      <c r="B268" s="42">
        <v>45942</v>
      </c>
      <c r="C268" t="str">
        <v>HINJEWADI</v>
      </c>
      <c r="D268" t="str">
        <v>SLK1</v>
      </c>
      <c r="E268" t="str">
        <v>SHADOWFAX TECHNOLOGIES PRIVATE LIMITED</v>
      </c>
      <c r="F268" t="str">
        <v>MH14LX6360</v>
      </c>
      <c r="G268" t="str">
        <v>ACE</v>
      </c>
      <c r="H268" t="str">
        <v>CNG</v>
      </c>
      <c r="I268">
        <v>4</v>
      </c>
      <c r="J268">
        <v>8</v>
      </c>
      <c r="K268">
        <v>25000</v>
      </c>
      <c r="L268">
        <v>1000</v>
      </c>
      <c r="M268">
        <v>55</v>
      </c>
      <c r="N268">
        <v>31</v>
      </c>
      <c r="O268" t="str">
        <v>PUN01 NC Cluster 40</v>
      </c>
      <c r="P268">
        <v>0</v>
      </c>
      <c r="Q268">
        <v>0.12222222222222223</v>
      </c>
      <c r="R268">
        <v>0.17070601851851852</v>
      </c>
      <c r="S268">
        <v>38355</v>
      </c>
      <c r="T268">
        <v>0.30585648148148148</v>
      </c>
      <c r="U268">
        <v>0.30597222222222226</v>
      </c>
      <c r="V268">
        <v>38374</v>
      </c>
      <c r="W268">
        <v>45</v>
      </c>
      <c r="X268">
        <v>45</v>
      </c>
      <c r="Y268">
        <v>0</v>
      </c>
      <c r="Z268">
        <v>19</v>
      </c>
      <c r="AA268">
        <v>19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806.45</v>
      </c>
      <c r="AK268">
        <v>0</v>
      </c>
      <c r="AL268">
        <v>806.45</v>
      </c>
      <c r="AM268">
        <v>0</v>
      </c>
      <c r="AN268">
        <v>0</v>
      </c>
      <c r="AO268">
        <v>0</v>
      </c>
    </row>
    <row r="269" spans="1:41">
      <c r="A269">
        <v>268</v>
      </c>
      <c r="B269" s="42">
        <v>45942</v>
      </c>
      <c r="C269" t="str">
        <v>HINJEWADI</v>
      </c>
      <c r="D269" t="str">
        <v>SLK1</v>
      </c>
      <c r="E269" t="str">
        <v>SHADOWFAX TECHNOLOGIES PRIVATE LIMITED</v>
      </c>
      <c r="F269" t="str">
        <v>MH14MH6374</v>
      </c>
      <c r="G269" t="str">
        <v>ACE</v>
      </c>
      <c r="H269" t="str">
        <v>CNG</v>
      </c>
      <c r="I269">
        <v>4</v>
      </c>
      <c r="J269">
        <v>8</v>
      </c>
      <c r="K269">
        <v>25000</v>
      </c>
      <c r="L269">
        <v>1000</v>
      </c>
      <c r="M269">
        <v>55</v>
      </c>
      <c r="N269">
        <v>31</v>
      </c>
      <c r="O269" t="str">
        <v>PUN01 NC Cluster 200</v>
      </c>
      <c r="P269">
        <v>0</v>
      </c>
      <c r="Q269">
        <v>5.0694444444444452E-2</v>
      </c>
      <c r="R269">
        <v>0.16839120370370372</v>
      </c>
      <c r="S269">
        <v>7074</v>
      </c>
      <c r="T269">
        <v>0.37784722222222222</v>
      </c>
      <c r="U269">
        <v>0.37791666666666668</v>
      </c>
      <c r="V269">
        <v>7117</v>
      </c>
      <c r="W269">
        <v>63</v>
      </c>
      <c r="X269">
        <v>63</v>
      </c>
      <c r="Y269">
        <v>0</v>
      </c>
      <c r="Z269">
        <v>43</v>
      </c>
      <c r="AA269">
        <v>43</v>
      </c>
      <c r="AB269">
        <v>0</v>
      </c>
      <c r="AC269">
        <v>0</v>
      </c>
      <c r="AD269">
        <v>2</v>
      </c>
      <c r="AE269">
        <v>300</v>
      </c>
      <c r="AF269">
        <v>0</v>
      </c>
      <c r="AG269">
        <v>0</v>
      </c>
      <c r="AH269">
        <v>0</v>
      </c>
      <c r="AI269">
        <v>0</v>
      </c>
      <c r="AJ269">
        <v>1106.45</v>
      </c>
      <c r="AK269">
        <v>0</v>
      </c>
      <c r="AL269">
        <v>1106.45</v>
      </c>
      <c r="AM269">
        <v>0</v>
      </c>
      <c r="AN269">
        <v>0</v>
      </c>
      <c r="AO269">
        <v>0</v>
      </c>
    </row>
    <row r="270" spans="1:41">
      <c r="A270">
        <v>269</v>
      </c>
      <c r="B270" s="42">
        <v>45942</v>
      </c>
      <c r="C270" t="str">
        <v>HINJEWADI</v>
      </c>
      <c r="D270" t="str">
        <v>SLK1</v>
      </c>
      <c r="E270" t="str">
        <v>SHADOWFAX TECHNOLOGIES PRIVATE LIMITED</v>
      </c>
      <c r="F270" t="str">
        <v>MH14MH8276</v>
      </c>
      <c r="G270" t="str">
        <v>ACE</v>
      </c>
      <c r="H270" t="str">
        <v>CNG</v>
      </c>
      <c r="I270">
        <v>4</v>
      </c>
      <c r="J270">
        <v>8</v>
      </c>
      <c r="K270">
        <v>25000</v>
      </c>
      <c r="L270">
        <v>1000</v>
      </c>
      <c r="M270">
        <v>55</v>
      </c>
      <c r="N270">
        <v>31</v>
      </c>
      <c r="O270" t="str">
        <v>PUN01 NC Cluster 39</v>
      </c>
      <c r="P270">
        <v>0</v>
      </c>
      <c r="Q270">
        <v>0.12291666666666667</v>
      </c>
      <c r="R270">
        <v>0.17133101851851851</v>
      </c>
      <c r="S270">
        <v>4626</v>
      </c>
      <c r="T270">
        <v>0.30802083333333335</v>
      </c>
      <c r="U270">
        <v>0.30866898148148147</v>
      </c>
      <c r="V270">
        <v>4647</v>
      </c>
      <c r="W270">
        <v>45</v>
      </c>
      <c r="X270">
        <v>45</v>
      </c>
      <c r="Y270">
        <v>0</v>
      </c>
      <c r="Z270">
        <v>21</v>
      </c>
      <c r="AA270">
        <v>21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806.45</v>
      </c>
      <c r="AK270">
        <v>0</v>
      </c>
      <c r="AL270">
        <v>806.45</v>
      </c>
      <c r="AM270">
        <v>0</v>
      </c>
      <c r="AN270">
        <v>0</v>
      </c>
      <c r="AO270">
        <v>0</v>
      </c>
    </row>
    <row r="271" spans="1:41">
      <c r="A271">
        <v>270</v>
      </c>
      <c r="B271" s="42">
        <v>45942</v>
      </c>
      <c r="C271" t="str">
        <v>HINJEWADI</v>
      </c>
      <c r="D271" t="str">
        <v>SLK1</v>
      </c>
      <c r="E271" t="str">
        <v>SHADOWFAX TECHNOLOGIES PRIVATE LIMITED</v>
      </c>
      <c r="F271" t="str">
        <v>MH20GC8804</v>
      </c>
      <c r="G271" t="str">
        <v>ACE</v>
      </c>
      <c r="H271" t="str">
        <v>CNG</v>
      </c>
      <c r="I271">
        <v>4</v>
      </c>
      <c r="J271">
        <v>8</v>
      </c>
      <c r="K271">
        <v>25000</v>
      </c>
      <c r="L271">
        <v>1000</v>
      </c>
      <c r="M271">
        <v>55</v>
      </c>
      <c r="N271">
        <v>31</v>
      </c>
      <c r="O271" t="str">
        <v>PUN01 NC Cluster 125</v>
      </c>
      <c r="P271">
        <v>0</v>
      </c>
      <c r="Q271">
        <v>8.4027777777777771E-2</v>
      </c>
      <c r="R271">
        <v>0.17488425925925924</v>
      </c>
      <c r="S271">
        <v>41332</v>
      </c>
      <c r="T271">
        <v>0.32618055555555553</v>
      </c>
      <c r="U271">
        <v>0.32633101851851848</v>
      </c>
      <c r="V271">
        <v>41361</v>
      </c>
      <c r="W271">
        <v>36</v>
      </c>
      <c r="X271">
        <v>36</v>
      </c>
      <c r="Y271">
        <v>0</v>
      </c>
      <c r="Z271">
        <v>29</v>
      </c>
      <c r="AA271">
        <v>29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806.45</v>
      </c>
      <c r="AK271">
        <v>0</v>
      </c>
      <c r="AL271">
        <v>806.45</v>
      </c>
      <c r="AM271">
        <v>0</v>
      </c>
      <c r="AN271">
        <v>0</v>
      </c>
      <c r="AO271">
        <v>0</v>
      </c>
    </row>
    <row r="272" spans="1:41">
      <c r="A272">
        <v>271</v>
      </c>
      <c r="B272" s="42">
        <v>45942</v>
      </c>
      <c r="C272" t="str">
        <v>HINJEWADI</v>
      </c>
      <c r="D272" t="str">
        <v>SLK1</v>
      </c>
      <c r="E272" t="str">
        <v>SHADOWFAX TECHNOLOGIES PRIVATE LIMITED</v>
      </c>
      <c r="F272" t="str">
        <v>MH14LX4839</v>
      </c>
      <c r="G272" t="str">
        <v>BOLERO</v>
      </c>
      <c r="H272" t="str">
        <v>DIESEL</v>
      </c>
      <c r="I272">
        <v>4</v>
      </c>
      <c r="J272">
        <v>10</v>
      </c>
      <c r="K272">
        <v>29000</v>
      </c>
      <c r="L272">
        <v>1000</v>
      </c>
      <c r="M272">
        <v>55</v>
      </c>
      <c r="N272">
        <v>31</v>
      </c>
      <c r="O272" t="str">
        <v>PUN01 NC Cluster 99</v>
      </c>
      <c r="P272">
        <v>0</v>
      </c>
      <c r="Q272">
        <v>5.7638888888888885E-2</v>
      </c>
      <c r="R272">
        <v>0.17672453703703703</v>
      </c>
      <c r="S272">
        <v>38577</v>
      </c>
      <c r="T272">
        <v>0.32570601851851849</v>
      </c>
      <c r="U272">
        <v>0.32576388888888891</v>
      </c>
      <c r="V272">
        <v>38606</v>
      </c>
      <c r="W272">
        <v>66</v>
      </c>
      <c r="X272">
        <v>66</v>
      </c>
      <c r="Y272">
        <v>0</v>
      </c>
      <c r="Z272">
        <v>29</v>
      </c>
      <c r="AA272">
        <v>29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935.48</v>
      </c>
      <c r="AK272">
        <v>0</v>
      </c>
      <c r="AL272">
        <v>935.48</v>
      </c>
      <c r="AM272">
        <v>0</v>
      </c>
      <c r="AN272">
        <v>0</v>
      </c>
      <c r="AO272">
        <v>0</v>
      </c>
    </row>
    <row r="273" spans="1:41">
      <c r="A273">
        <v>272</v>
      </c>
      <c r="B273" s="42">
        <v>45942</v>
      </c>
      <c r="C273" t="str">
        <v>HINJEWADI</v>
      </c>
      <c r="D273" t="str">
        <v>SLK1</v>
      </c>
      <c r="E273" t="str">
        <v>SHADOWFAX TECHNOLOGIES PRIVATE LIMITED</v>
      </c>
      <c r="F273" t="str">
        <v>MH14MH7322</v>
      </c>
      <c r="G273" t="str">
        <v>BOLERO</v>
      </c>
      <c r="H273" t="str">
        <v>DIESEL</v>
      </c>
      <c r="I273">
        <v>4</v>
      </c>
      <c r="J273">
        <v>10</v>
      </c>
      <c r="K273">
        <v>29000</v>
      </c>
      <c r="L273">
        <v>1000</v>
      </c>
      <c r="M273">
        <v>55</v>
      </c>
      <c r="N273">
        <v>31</v>
      </c>
      <c r="O273" t="str">
        <v>PUN01 NC Cluster 175</v>
      </c>
      <c r="P273">
        <v>0</v>
      </c>
      <c r="Q273">
        <v>0.11597222222222221</v>
      </c>
      <c r="R273">
        <v>0.17758101851851851</v>
      </c>
      <c r="S273">
        <v>3022</v>
      </c>
      <c r="T273">
        <v>0.33535879629629628</v>
      </c>
      <c r="U273">
        <v>0.3354166666666667</v>
      </c>
      <c r="V273">
        <v>3060</v>
      </c>
      <c r="W273">
        <v>60</v>
      </c>
      <c r="X273">
        <v>60</v>
      </c>
      <c r="Y273">
        <v>0</v>
      </c>
      <c r="Z273">
        <v>38</v>
      </c>
      <c r="AA273">
        <v>38</v>
      </c>
      <c r="AB273">
        <v>0</v>
      </c>
      <c r="AC273">
        <v>0</v>
      </c>
      <c r="AD273">
        <v>1</v>
      </c>
      <c r="AE273">
        <v>150</v>
      </c>
      <c r="AF273">
        <v>0</v>
      </c>
      <c r="AG273">
        <v>0</v>
      </c>
      <c r="AH273">
        <v>0</v>
      </c>
      <c r="AI273">
        <v>0</v>
      </c>
      <c r="AJ273">
        <v>1085.48</v>
      </c>
      <c r="AK273">
        <v>0</v>
      </c>
      <c r="AL273">
        <v>1085.48</v>
      </c>
      <c r="AM273">
        <v>0</v>
      </c>
      <c r="AN273">
        <v>0</v>
      </c>
      <c r="AO273">
        <v>0</v>
      </c>
    </row>
    <row r="274" spans="1:41">
      <c r="A274">
        <v>273</v>
      </c>
      <c r="B274" s="42">
        <v>45942</v>
      </c>
      <c r="C274" t="str">
        <v>HINJEWADI</v>
      </c>
      <c r="D274" t="str">
        <v>SLK1</v>
      </c>
      <c r="E274" t="str">
        <v>SHADOWFAX TECHNOLOGIES PRIVATE LIMITED</v>
      </c>
      <c r="F274" t="str">
        <v>MH16CD7321</v>
      </c>
      <c r="G274" t="str">
        <v>BOLERO</v>
      </c>
      <c r="H274" t="str">
        <v>DIESEL</v>
      </c>
      <c r="I274">
        <v>4</v>
      </c>
      <c r="J274">
        <v>10</v>
      </c>
      <c r="K274">
        <v>29000</v>
      </c>
      <c r="L274">
        <v>1000</v>
      </c>
      <c r="M274">
        <v>55</v>
      </c>
      <c r="N274">
        <v>31</v>
      </c>
      <c r="O274" t="str">
        <v>PUN01 NC Cluster 134</v>
      </c>
      <c r="P274">
        <v>0</v>
      </c>
      <c r="Q274">
        <v>8.4027777777777771E-2</v>
      </c>
      <c r="R274">
        <v>0.16949074074074075</v>
      </c>
      <c r="S274">
        <v>139024</v>
      </c>
      <c r="T274">
        <v>0.34399305555555554</v>
      </c>
      <c r="U274">
        <v>0.34407407407407403</v>
      </c>
      <c r="V274">
        <v>139056</v>
      </c>
      <c r="W274">
        <v>70</v>
      </c>
      <c r="X274">
        <v>70</v>
      </c>
      <c r="Y274">
        <v>0</v>
      </c>
      <c r="Z274">
        <v>32</v>
      </c>
      <c r="AA274">
        <v>32</v>
      </c>
      <c r="AB274">
        <v>0</v>
      </c>
      <c r="AC274">
        <v>0</v>
      </c>
      <c r="AD274">
        <v>1</v>
      </c>
      <c r="AE274">
        <v>150</v>
      </c>
      <c r="AF274">
        <v>0</v>
      </c>
      <c r="AG274">
        <v>0</v>
      </c>
      <c r="AH274">
        <v>0</v>
      </c>
      <c r="AI274">
        <v>0</v>
      </c>
      <c r="AJ274">
        <v>1085.48</v>
      </c>
      <c r="AK274">
        <v>0</v>
      </c>
      <c r="AL274">
        <v>1085.48</v>
      </c>
      <c r="AM274">
        <v>0</v>
      </c>
      <c r="AN274">
        <v>0</v>
      </c>
      <c r="AO274">
        <v>0</v>
      </c>
    </row>
    <row r="275" spans="1:41">
      <c r="A275">
        <v>274</v>
      </c>
      <c r="B275" s="42">
        <v>45943</v>
      </c>
      <c r="C275" t="str">
        <v>HINJEWADI</v>
      </c>
      <c r="D275" t="str">
        <v>SLK1</v>
      </c>
      <c r="E275" t="str">
        <v>SHADOWFAX TECHNOLOGIES PRIVATE LIMITED</v>
      </c>
      <c r="F275" t="str">
        <v>MH03AH8989</v>
      </c>
      <c r="G275" t="str">
        <v>ACE</v>
      </c>
      <c r="H275" t="str">
        <v>CNG</v>
      </c>
      <c r="I275">
        <v>4</v>
      </c>
      <c r="J275">
        <v>8</v>
      </c>
      <c r="K275">
        <v>25000</v>
      </c>
      <c r="L275">
        <v>1000</v>
      </c>
      <c r="M275">
        <v>55</v>
      </c>
      <c r="N275">
        <v>31</v>
      </c>
      <c r="O275" t="str">
        <v>PUN01 NC Cluster 1</v>
      </c>
      <c r="P275">
        <v>0</v>
      </c>
      <c r="Q275">
        <v>4.4444444444444446E-2</v>
      </c>
      <c r="R275">
        <v>0.1774189814814815</v>
      </c>
      <c r="S275">
        <v>56807</v>
      </c>
      <c r="T275">
        <v>0.29811342592592593</v>
      </c>
      <c r="U275">
        <v>0.29819444444444443</v>
      </c>
      <c r="V275">
        <v>56816</v>
      </c>
      <c r="W275">
        <v>50</v>
      </c>
      <c r="X275">
        <v>30</v>
      </c>
      <c r="Y275">
        <v>20</v>
      </c>
      <c r="Z275">
        <v>9</v>
      </c>
      <c r="AA275">
        <v>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806.45</v>
      </c>
      <c r="AK275">
        <v>0</v>
      </c>
      <c r="AL275">
        <v>806.45</v>
      </c>
      <c r="AM275">
        <v>0</v>
      </c>
      <c r="AN275">
        <v>0</v>
      </c>
      <c r="AO275">
        <v>0</v>
      </c>
    </row>
    <row r="276" spans="1:41">
      <c r="A276">
        <v>275</v>
      </c>
      <c r="B276" s="42">
        <v>45943</v>
      </c>
      <c r="C276" t="str">
        <v>HINJEWADI</v>
      </c>
      <c r="D276" t="str">
        <v>SLK1</v>
      </c>
      <c r="E276" t="str">
        <v>SHADOWFAX TECHNOLOGIES PRIVATE LIMITED</v>
      </c>
      <c r="F276" t="str">
        <v>MH12SF9859</v>
      </c>
      <c r="G276" t="str">
        <v>ACE</v>
      </c>
      <c r="H276" t="str">
        <v>CNG</v>
      </c>
      <c r="I276">
        <v>4</v>
      </c>
      <c r="J276">
        <v>8</v>
      </c>
      <c r="K276">
        <v>25000</v>
      </c>
      <c r="L276">
        <v>1000</v>
      </c>
      <c r="M276">
        <v>55</v>
      </c>
      <c r="N276">
        <v>31</v>
      </c>
      <c r="O276" t="str">
        <v>PUN01 NC Cluster 4</v>
      </c>
      <c r="P276">
        <v>0</v>
      </c>
      <c r="Q276">
        <v>3.9583333333333331E-2</v>
      </c>
      <c r="R276">
        <v>0.18500000000000003</v>
      </c>
      <c r="S276">
        <v>110300</v>
      </c>
      <c r="T276">
        <v>0.29942129629629627</v>
      </c>
      <c r="U276">
        <v>0.29951388888888891</v>
      </c>
      <c r="V276">
        <v>110312</v>
      </c>
      <c r="W276">
        <v>24</v>
      </c>
      <c r="X276">
        <v>24</v>
      </c>
      <c r="Y276">
        <v>0</v>
      </c>
      <c r="Z276">
        <v>12</v>
      </c>
      <c r="AA276">
        <v>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806.45</v>
      </c>
      <c r="AK276">
        <v>0</v>
      </c>
      <c r="AL276">
        <v>806.45</v>
      </c>
      <c r="AM276">
        <v>0</v>
      </c>
      <c r="AN276">
        <v>0</v>
      </c>
      <c r="AO276">
        <v>0</v>
      </c>
    </row>
    <row r="277" spans="1:41">
      <c r="A277">
        <v>276</v>
      </c>
      <c r="B277" s="42">
        <v>45943</v>
      </c>
      <c r="C277" t="str">
        <v>HINJEWADI</v>
      </c>
      <c r="D277" t="str">
        <v>SLK1</v>
      </c>
      <c r="E277" t="str">
        <v>SHADOWFAX TECHNOLOGIES PRIVATE LIMITED</v>
      </c>
      <c r="F277" t="str">
        <v>MH12UM3063</v>
      </c>
      <c r="G277" t="str">
        <v>ACE</v>
      </c>
      <c r="H277" t="str">
        <v>CNG</v>
      </c>
      <c r="I277">
        <v>6</v>
      </c>
      <c r="J277">
        <v>8</v>
      </c>
      <c r="K277">
        <v>33000</v>
      </c>
      <c r="L277">
        <v>2000</v>
      </c>
      <c r="M277">
        <v>55</v>
      </c>
      <c r="N277">
        <v>31</v>
      </c>
      <c r="O277" t="str">
        <v>PUN01 NC Cluster 229</v>
      </c>
      <c r="P277">
        <v>0</v>
      </c>
      <c r="Q277">
        <v>5.5555555555555552E-2</v>
      </c>
      <c r="R277">
        <v>0.17379629629629631</v>
      </c>
      <c r="S277">
        <v>99746</v>
      </c>
      <c r="T277">
        <v>0.32807870370370368</v>
      </c>
      <c r="U277">
        <v>0.32822916666666663</v>
      </c>
      <c r="V277">
        <v>99788</v>
      </c>
      <c r="W277">
        <v>84</v>
      </c>
      <c r="X277">
        <v>84</v>
      </c>
      <c r="Y277">
        <v>0</v>
      </c>
      <c r="Z277">
        <v>42</v>
      </c>
      <c r="AA277">
        <v>42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1064.52</v>
      </c>
      <c r="AK277">
        <v>0</v>
      </c>
      <c r="AL277">
        <v>1064.52</v>
      </c>
      <c r="AM277">
        <v>0</v>
      </c>
      <c r="AN277">
        <v>0</v>
      </c>
      <c r="AO277">
        <v>0</v>
      </c>
    </row>
    <row r="278" spans="1:41">
      <c r="A278">
        <v>277</v>
      </c>
      <c r="B278" s="42">
        <v>45943</v>
      </c>
      <c r="C278" t="str">
        <v>HINJEWADI</v>
      </c>
      <c r="D278" t="str">
        <v>SLK1</v>
      </c>
      <c r="E278" t="str">
        <v>SHADOWFAX TECHNOLOGIES PRIVATE LIMITED</v>
      </c>
      <c r="F278" t="str">
        <v>MH12WX6236</v>
      </c>
      <c r="G278" t="str">
        <v>ACE</v>
      </c>
      <c r="H278" t="str">
        <v>CNG</v>
      </c>
      <c r="I278">
        <v>4</v>
      </c>
      <c r="J278">
        <v>8</v>
      </c>
      <c r="K278">
        <v>25000</v>
      </c>
      <c r="L278">
        <v>1000</v>
      </c>
      <c r="M278">
        <v>55</v>
      </c>
      <c r="N278">
        <v>31</v>
      </c>
      <c r="O278" t="str">
        <v>PUN01 NC Cluster 2</v>
      </c>
      <c r="P278">
        <v>0</v>
      </c>
      <c r="Q278">
        <v>3.9583333333333331E-2</v>
      </c>
      <c r="R278">
        <v>0.18462962962962962</v>
      </c>
      <c r="S278">
        <v>37840</v>
      </c>
      <c r="T278">
        <v>0.28266203703703702</v>
      </c>
      <c r="U278">
        <v>0.28275462962962966</v>
      </c>
      <c r="V278">
        <v>37851</v>
      </c>
      <c r="W278">
        <v>50</v>
      </c>
      <c r="X278">
        <v>50</v>
      </c>
      <c r="Y278">
        <v>0</v>
      </c>
      <c r="Z278">
        <v>11</v>
      </c>
      <c r="AA278">
        <v>11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806.45</v>
      </c>
      <c r="AK278">
        <v>0</v>
      </c>
      <c r="AL278">
        <v>806.45</v>
      </c>
      <c r="AM278">
        <v>0</v>
      </c>
      <c r="AN278">
        <v>0</v>
      </c>
      <c r="AO278">
        <v>0</v>
      </c>
    </row>
    <row r="279" spans="1:41">
      <c r="A279">
        <v>278</v>
      </c>
      <c r="B279" s="42">
        <v>45943</v>
      </c>
      <c r="C279" t="str">
        <v>HINJEWADI</v>
      </c>
      <c r="D279" t="str">
        <v>SLK1</v>
      </c>
      <c r="E279" t="str">
        <v>SHADOWFAX TECHNOLOGIES PRIVATE LIMITED</v>
      </c>
      <c r="F279" t="str">
        <v>MH12XM2801</v>
      </c>
      <c r="G279" t="str">
        <v>ACE</v>
      </c>
      <c r="H279" t="str">
        <v>CNG</v>
      </c>
      <c r="I279">
        <v>4</v>
      </c>
      <c r="J279">
        <v>8</v>
      </c>
      <c r="K279">
        <v>25000</v>
      </c>
      <c r="L279">
        <v>1000</v>
      </c>
      <c r="M279">
        <v>55</v>
      </c>
      <c r="N279">
        <v>31</v>
      </c>
      <c r="O279" t="str">
        <v>PUN01 NC Cluster 62</v>
      </c>
      <c r="P279">
        <v>0</v>
      </c>
      <c r="Q279">
        <v>4.5833333333333337E-2</v>
      </c>
      <c r="R279">
        <v>0.17609953703703704</v>
      </c>
      <c r="S279">
        <v>11908</v>
      </c>
      <c r="T279">
        <v>0.31711805555555556</v>
      </c>
      <c r="U279">
        <v>0.31719907407407405</v>
      </c>
      <c r="V279">
        <v>11930</v>
      </c>
      <c r="W279">
        <v>52</v>
      </c>
      <c r="X279">
        <v>52</v>
      </c>
      <c r="Y279">
        <v>0</v>
      </c>
      <c r="Z279">
        <v>22</v>
      </c>
      <c r="AA279">
        <v>22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806.45</v>
      </c>
      <c r="AK279">
        <v>0</v>
      </c>
      <c r="AL279">
        <v>806.45</v>
      </c>
      <c r="AM279">
        <v>0</v>
      </c>
      <c r="AN279">
        <v>0</v>
      </c>
      <c r="AO279">
        <v>0</v>
      </c>
    </row>
    <row r="280" spans="1:41">
      <c r="A280">
        <v>279</v>
      </c>
      <c r="B280" s="42">
        <v>45943</v>
      </c>
      <c r="C280" t="str">
        <v>HINJEWADI</v>
      </c>
      <c r="D280" t="str">
        <v>SLK1</v>
      </c>
      <c r="E280" t="str">
        <v>SHADOWFAX TECHNOLOGIES PRIVATE LIMITED</v>
      </c>
      <c r="F280" t="str">
        <v>MH14CP4610</v>
      </c>
      <c r="G280" t="str">
        <v>ACE</v>
      </c>
      <c r="H280" t="str">
        <v>CNG</v>
      </c>
      <c r="I280">
        <v>4</v>
      </c>
      <c r="J280">
        <v>8</v>
      </c>
      <c r="K280">
        <v>25000</v>
      </c>
      <c r="L280">
        <v>1000</v>
      </c>
      <c r="M280">
        <v>55</v>
      </c>
      <c r="N280">
        <v>31</v>
      </c>
      <c r="O280" t="str">
        <v>PUN01 NC Cluster 87</v>
      </c>
      <c r="P280">
        <v>0</v>
      </c>
      <c r="Q280">
        <v>9.5833333333333326E-2</v>
      </c>
      <c r="R280">
        <v>0.17497685185185186</v>
      </c>
      <c r="S280">
        <v>145304</v>
      </c>
      <c r="T280">
        <v>0.29902777777777778</v>
      </c>
      <c r="U280">
        <v>0.2991435185185185</v>
      </c>
      <c r="V280">
        <v>145322</v>
      </c>
      <c r="W280">
        <v>31</v>
      </c>
      <c r="X280">
        <v>31</v>
      </c>
      <c r="Y280">
        <v>0</v>
      </c>
      <c r="Z280">
        <v>18</v>
      </c>
      <c r="AA280">
        <v>18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806.45</v>
      </c>
      <c r="AK280">
        <v>0</v>
      </c>
      <c r="AL280">
        <v>806.45</v>
      </c>
      <c r="AM280">
        <v>0</v>
      </c>
      <c r="AN280">
        <v>0</v>
      </c>
      <c r="AO280">
        <v>0</v>
      </c>
    </row>
    <row r="281" spans="1:41">
      <c r="A281">
        <v>280</v>
      </c>
      <c r="B281" s="42">
        <v>45943</v>
      </c>
      <c r="C281" t="str">
        <v>HINJEWADI</v>
      </c>
      <c r="D281" t="str">
        <v>SLK1</v>
      </c>
      <c r="E281" t="str">
        <v>SHADOWFAX TECHNOLOGIES PRIVATE LIMITED</v>
      </c>
      <c r="F281" t="str">
        <v>MH14KA0766</v>
      </c>
      <c r="G281" t="str">
        <v>ACE</v>
      </c>
      <c r="H281" t="str">
        <v>CNG</v>
      </c>
      <c r="I281">
        <v>4</v>
      </c>
      <c r="J281">
        <v>8</v>
      </c>
      <c r="K281">
        <v>25000</v>
      </c>
      <c r="L281">
        <v>1000</v>
      </c>
      <c r="M281">
        <v>55</v>
      </c>
      <c r="N281">
        <v>31</v>
      </c>
      <c r="O281" t="str">
        <v>PUN01 NC Cluster 19</v>
      </c>
      <c r="P281">
        <v>0</v>
      </c>
      <c r="Q281">
        <v>4.3055555555555562E-2</v>
      </c>
      <c r="R281">
        <v>0.17415509259259257</v>
      </c>
      <c r="S281">
        <v>143618</v>
      </c>
      <c r="T281">
        <v>0.34943287037037035</v>
      </c>
      <c r="U281">
        <v>0.34953703703703703</v>
      </c>
      <c r="V281">
        <v>143641</v>
      </c>
      <c r="W281">
        <v>55</v>
      </c>
      <c r="X281">
        <v>56</v>
      </c>
      <c r="Y281">
        <v>-1</v>
      </c>
      <c r="Z281">
        <v>23</v>
      </c>
      <c r="AA281">
        <v>23</v>
      </c>
      <c r="AB281">
        <v>0</v>
      </c>
      <c r="AC281">
        <v>0</v>
      </c>
      <c r="AD281">
        <v>1</v>
      </c>
      <c r="AE281">
        <v>150</v>
      </c>
      <c r="AF281">
        <v>0</v>
      </c>
      <c r="AG281">
        <v>0</v>
      </c>
      <c r="AH281">
        <v>0</v>
      </c>
      <c r="AI281">
        <v>0</v>
      </c>
      <c r="AJ281">
        <v>956.45</v>
      </c>
      <c r="AK281">
        <v>0</v>
      </c>
      <c r="AL281">
        <v>956.45</v>
      </c>
      <c r="AM281">
        <v>0</v>
      </c>
      <c r="AN281">
        <v>0</v>
      </c>
      <c r="AO281">
        <v>0</v>
      </c>
    </row>
    <row r="282" spans="1:41">
      <c r="A282">
        <v>281</v>
      </c>
      <c r="B282" s="42">
        <v>45943</v>
      </c>
      <c r="C282" t="str">
        <v>HINJEWADI</v>
      </c>
      <c r="D282" t="str">
        <v>SLK1</v>
      </c>
      <c r="E282" t="str">
        <v>SHADOWFAX TECHNOLOGIES PRIVATE LIMITED</v>
      </c>
      <c r="F282" t="str">
        <v>MH14KA1873</v>
      </c>
      <c r="G282" t="str">
        <v>ACE</v>
      </c>
      <c r="H282" t="str">
        <v>CNG</v>
      </c>
      <c r="I282">
        <v>4</v>
      </c>
      <c r="J282">
        <v>8</v>
      </c>
      <c r="K282">
        <v>25000</v>
      </c>
      <c r="L282">
        <v>1000</v>
      </c>
      <c r="M282">
        <v>55</v>
      </c>
      <c r="N282">
        <v>31</v>
      </c>
      <c r="O282" t="str">
        <v>PUN01 NC Cluster 38</v>
      </c>
      <c r="P282">
        <v>0</v>
      </c>
      <c r="Q282">
        <v>4.5138888888888888E-2</v>
      </c>
      <c r="R282">
        <v>0.17475694444444445</v>
      </c>
      <c r="S282">
        <v>113078</v>
      </c>
      <c r="T282">
        <v>0.31121527777777774</v>
      </c>
      <c r="U282">
        <v>0.3112847222222222</v>
      </c>
      <c r="V282">
        <v>113094</v>
      </c>
      <c r="W282">
        <v>49</v>
      </c>
      <c r="X282">
        <v>49</v>
      </c>
      <c r="Y282">
        <v>0</v>
      </c>
      <c r="Z282">
        <v>16</v>
      </c>
      <c r="AA282">
        <v>16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806.45</v>
      </c>
      <c r="AK282">
        <v>0</v>
      </c>
      <c r="AL282">
        <v>806.45</v>
      </c>
      <c r="AM282">
        <v>0</v>
      </c>
      <c r="AN282">
        <v>0</v>
      </c>
      <c r="AO282">
        <v>0</v>
      </c>
    </row>
    <row r="283" spans="1:41">
      <c r="A283">
        <v>282</v>
      </c>
      <c r="B283" s="42">
        <v>45943</v>
      </c>
      <c r="C283" t="str">
        <v>HINJEWADI</v>
      </c>
      <c r="D283" t="str">
        <v>SLK1</v>
      </c>
      <c r="E283" t="str">
        <v>SHADOWFAX TECHNOLOGIES PRIVATE LIMITED</v>
      </c>
      <c r="F283" t="str">
        <v>MH14KA2871</v>
      </c>
      <c r="G283" t="str">
        <v>ACE</v>
      </c>
      <c r="H283" t="str">
        <v>CNG</v>
      </c>
      <c r="I283">
        <v>4</v>
      </c>
      <c r="J283">
        <v>8</v>
      </c>
      <c r="K283">
        <v>25000</v>
      </c>
      <c r="L283">
        <v>1000</v>
      </c>
      <c r="M283">
        <v>55</v>
      </c>
      <c r="N283">
        <v>31</v>
      </c>
      <c r="O283" t="str">
        <v>PUN01 NC Cluster 6</v>
      </c>
      <c r="P283">
        <v>0</v>
      </c>
      <c r="Q283">
        <v>5.8333333333333327E-2</v>
      </c>
      <c r="R283">
        <v>0.1859490740740741</v>
      </c>
      <c r="S283">
        <v>77929</v>
      </c>
      <c r="T283">
        <v>0.29458333333333336</v>
      </c>
      <c r="U283">
        <v>0.29469907407407409</v>
      </c>
      <c r="V283">
        <v>77938</v>
      </c>
      <c r="W283">
        <v>26</v>
      </c>
      <c r="X283">
        <v>26</v>
      </c>
      <c r="Y283">
        <v>0</v>
      </c>
      <c r="Z283">
        <v>9</v>
      </c>
      <c r="AA283">
        <v>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806.45</v>
      </c>
      <c r="AK283">
        <v>0</v>
      </c>
      <c r="AL283">
        <v>806.45</v>
      </c>
      <c r="AM283">
        <v>0</v>
      </c>
      <c r="AN283">
        <v>0</v>
      </c>
      <c r="AO283">
        <v>0</v>
      </c>
    </row>
    <row r="284" spans="1:41">
      <c r="A284">
        <v>283</v>
      </c>
      <c r="B284" s="42">
        <v>45943</v>
      </c>
      <c r="C284" t="str">
        <v>HINJEWADI</v>
      </c>
      <c r="D284" t="str">
        <v>SLK1</v>
      </c>
      <c r="E284" t="str">
        <v>SHADOWFAX TECHNOLOGIES PRIVATE LIMITED</v>
      </c>
      <c r="F284" t="str">
        <v>MH14KA6513</v>
      </c>
      <c r="G284" t="str">
        <v>ACE</v>
      </c>
      <c r="H284" t="str">
        <v>CNG</v>
      </c>
      <c r="I284">
        <v>6</v>
      </c>
      <c r="J284">
        <v>8</v>
      </c>
      <c r="K284">
        <v>33000</v>
      </c>
      <c r="L284">
        <v>2000</v>
      </c>
      <c r="M284">
        <v>55</v>
      </c>
      <c r="N284">
        <v>31</v>
      </c>
      <c r="O284" t="str">
        <v>PUN01 NC Cluster 299</v>
      </c>
      <c r="P284">
        <v>0</v>
      </c>
      <c r="Q284">
        <v>0.11875000000000001</v>
      </c>
      <c r="R284">
        <v>0.17702546296296295</v>
      </c>
      <c r="S284">
        <v>47780</v>
      </c>
      <c r="T284">
        <v>0</v>
      </c>
      <c r="U284">
        <v>0</v>
      </c>
      <c r="V284">
        <v>47780</v>
      </c>
      <c r="W284">
        <v>0</v>
      </c>
      <c r="X284">
        <v>51</v>
      </c>
      <c r="Y284">
        <v>-51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1064.52</v>
      </c>
      <c r="AK284">
        <v>0</v>
      </c>
      <c r="AL284">
        <v>1064.52</v>
      </c>
      <c r="AM284">
        <v>0</v>
      </c>
      <c r="AN284">
        <v>0</v>
      </c>
      <c r="AO284">
        <v>0</v>
      </c>
    </row>
    <row r="285" spans="1:41">
      <c r="A285">
        <v>284</v>
      </c>
      <c r="B285" s="42">
        <v>45943</v>
      </c>
      <c r="C285" t="str">
        <v>HINJEWADI</v>
      </c>
      <c r="D285" t="str">
        <v>SLK1</v>
      </c>
      <c r="E285" t="str">
        <v>SHADOWFAX TECHNOLOGIES PRIVATE LIMITED</v>
      </c>
      <c r="F285" t="str">
        <v>MH14KA6730</v>
      </c>
      <c r="G285" t="str">
        <v>ACE</v>
      </c>
      <c r="H285" t="str">
        <v>CNG</v>
      </c>
      <c r="I285">
        <v>4</v>
      </c>
      <c r="J285">
        <v>8</v>
      </c>
      <c r="K285">
        <v>25000</v>
      </c>
      <c r="L285">
        <v>1000</v>
      </c>
      <c r="M285">
        <v>55</v>
      </c>
      <c r="N285">
        <v>31</v>
      </c>
      <c r="O285" t="str">
        <v>PUN01 NC Cluster 132</v>
      </c>
      <c r="P285">
        <v>0</v>
      </c>
      <c r="Q285">
        <v>4.7222222222222221E-2</v>
      </c>
      <c r="R285">
        <v>0.18283564814814815</v>
      </c>
      <c r="S285">
        <v>87452</v>
      </c>
      <c r="T285">
        <v>0</v>
      </c>
      <c r="U285">
        <v>0</v>
      </c>
      <c r="V285">
        <v>87452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806.45</v>
      </c>
      <c r="AK285">
        <v>0</v>
      </c>
      <c r="AL285">
        <v>806.45</v>
      </c>
      <c r="AM285">
        <v>0</v>
      </c>
      <c r="AN285">
        <v>0</v>
      </c>
      <c r="AO285">
        <v>0</v>
      </c>
    </row>
    <row r="286" spans="1:41">
      <c r="A286">
        <v>285</v>
      </c>
      <c r="B286" s="42">
        <v>45943</v>
      </c>
      <c r="C286" t="str">
        <v>HINJEWADI</v>
      </c>
      <c r="D286" t="str">
        <v>SLK1</v>
      </c>
      <c r="E286" t="str">
        <v>SHADOWFAX TECHNOLOGIES PRIVATE LIMITED</v>
      </c>
      <c r="F286" t="str">
        <v>MH14KQ0279</v>
      </c>
      <c r="G286" t="str">
        <v>ACE</v>
      </c>
      <c r="H286" t="str">
        <v>CNG</v>
      </c>
      <c r="I286">
        <v>4</v>
      </c>
      <c r="J286">
        <v>8</v>
      </c>
      <c r="K286">
        <v>25000</v>
      </c>
      <c r="L286">
        <v>1000</v>
      </c>
      <c r="M286">
        <v>55</v>
      </c>
      <c r="N286">
        <v>31</v>
      </c>
      <c r="O286" t="str">
        <v>PUN01 NC Cluster 199</v>
      </c>
      <c r="P286">
        <v>0</v>
      </c>
      <c r="Q286">
        <v>0.10486111111111111</v>
      </c>
      <c r="R286">
        <v>0.18664351851851854</v>
      </c>
      <c r="S286">
        <v>118305</v>
      </c>
      <c r="T286">
        <v>0</v>
      </c>
      <c r="U286">
        <v>0</v>
      </c>
      <c r="V286">
        <v>118305</v>
      </c>
      <c r="W286">
        <v>0</v>
      </c>
      <c r="X286">
        <v>15</v>
      </c>
      <c r="Y286">
        <v>-15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806.45</v>
      </c>
      <c r="AK286">
        <v>0</v>
      </c>
      <c r="AL286">
        <v>806.45</v>
      </c>
      <c r="AM286">
        <v>0</v>
      </c>
      <c r="AN286">
        <v>0</v>
      </c>
      <c r="AO286">
        <v>0</v>
      </c>
    </row>
    <row r="287" spans="1:41">
      <c r="A287">
        <v>286</v>
      </c>
      <c r="B287" s="42">
        <v>45943</v>
      </c>
      <c r="C287" t="str">
        <v>HINJEWADI</v>
      </c>
      <c r="D287" t="str">
        <v>SLK1</v>
      </c>
      <c r="E287" t="str">
        <v>SHADOWFAX TECHNOLOGIES PRIVATE LIMITED</v>
      </c>
      <c r="F287" t="str">
        <v>MH14LB6751</v>
      </c>
      <c r="G287" t="str">
        <v>ACE</v>
      </c>
      <c r="H287" t="str">
        <v>CNG</v>
      </c>
      <c r="I287">
        <v>4</v>
      </c>
      <c r="J287">
        <v>8</v>
      </c>
      <c r="K287">
        <v>25000</v>
      </c>
      <c r="L287">
        <v>1000</v>
      </c>
      <c r="M287">
        <v>55</v>
      </c>
      <c r="N287">
        <v>31</v>
      </c>
      <c r="O287" t="str">
        <v>PUN01 NC Cluster 43</v>
      </c>
      <c r="P287">
        <v>0</v>
      </c>
      <c r="Q287">
        <v>4.4444444444444446E-2</v>
      </c>
      <c r="R287">
        <v>0.17456018518518521</v>
      </c>
      <c r="S287">
        <v>83623</v>
      </c>
      <c r="T287">
        <v>0.31146990740740738</v>
      </c>
      <c r="U287">
        <v>0.31152777777777779</v>
      </c>
      <c r="V287">
        <v>83641</v>
      </c>
      <c r="W287">
        <v>42</v>
      </c>
      <c r="X287">
        <v>42</v>
      </c>
      <c r="Y287">
        <v>0</v>
      </c>
      <c r="Z287">
        <v>18</v>
      </c>
      <c r="AA287">
        <v>18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806.45</v>
      </c>
      <c r="AK287">
        <v>0</v>
      </c>
      <c r="AL287">
        <v>806.45</v>
      </c>
      <c r="AM287">
        <v>0</v>
      </c>
      <c r="AN287">
        <v>0</v>
      </c>
      <c r="AO287">
        <v>0</v>
      </c>
    </row>
    <row r="288" spans="1:41">
      <c r="A288">
        <v>287</v>
      </c>
      <c r="B288" s="42">
        <v>45943</v>
      </c>
      <c r="C288" t="str">
        <v>HINJEWADI</v>
      </c>
      <c r="D288" t="str">
        <v>SLK1</v>
      </c>
      <c r="E288" t="str">
        <v>SHADOWFAX TECHNOLOGIES PRIVATE LIMITED</v>
      </c>
      <c r="F288" t="str">
        <v>MH14LL6836</v>
      </c>
      <c r="G288" t="str">
        <v>ACE</v>
      </c>
      <c r="H288" t="str">
        <v>CNG</v>
      </c>
      <c r="I288">
        <v>6</v>
      </c>
      <c r="J288">
        <v>8</v>
      </c>
      <c r="K288">
        <v>33000</v>
      </c>
      <c r="L288">
        <v>2000</v>
      </c>
      <c r="M288">
        <v>55</v>
      </c>
      <c r="N288">
        <v>31</v>
      </c>
      <c r="O288" t="str">
        <v>PUN01 NC Cluster 303</v>
      </c>
      <c r="P288">
        <v>0</v>
      </c>
      <c r="Q288">
        <v>5.0694444444444452E-2</v>
      </c>
      <c r="R288">
        <v>0.17685185185185184</v>
      </c>
      <c r="S288">
        <v>33319</v>
      </c>
      <c r="T288">
        <v>0.35604166666666665</v>
      </c>
      <c r="U288">
        <v>0.35609953703703701</v>
      </c>
      <c r="V288">
        <v>33400</v>
      </c>
      <c r="W288">
        <v>32</v>
      </c>
      <c r="X288">
        <v>32</v>
      </c>
      <c r="Y288">
        <v>0</v>
      </c>
      <c r="Z288">
        <v>81</v>
      </c>
      <c r="AA288">
        <v>81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1064.52</v>
      </c>
      <c r="AK288">
        <v>0</v>
      </c>
      <c r="AL288">
        <v>1064.52</v>
      </c>
      <c r="AM288">
        <v>0</v>
      </c>
      <c r="AN288">
        <v>0</v>
      </c>
      <c r="AO288">
        <v>0</v>
      </c>
    </row>
    <row r="289" spans="1:41">
      <c r="A289">
        <v>288</v>
      </c>
      <c r="B289" s="42">
        <v>45943</v>
      </c>
      <c r="C289" t="str">
        <v>HINJEWADI</v>
      </c>
      <c r="D289" t="str">
        <v>SLK1</v>
      </c>
      <c r="E289" t="str">
        <v>SHADOWFAX TECHNOLOGIES PRIVATE LIMITED</v>
      </c>
      <c r="F289" t="str">
        <v>MH14LX6360</v>
      </c>
      <c r="G289" t="str">
        <v>ACE</v>
      </c>
      <c r="H289" t="str">
        <v>CNG</v>
      </c>
      <c r="I289">
        <v>4</v>
      </c>
      <c r="J289">
        <v>8</v>
      </c>
      <c r="K289">
        <v>25000</v>
      </c>
      <c r="L289">
        <v>1000</v>
      </c>
      <c r="M289">
        <v>55</v>
      </c>
      <c r="N289">
        <v>31</v>
      </c>
      <c r="O289" t="str">
        <v>PUN01 NC Cluster 37</v>
      </c>
      <c r="P289">
        <v>0</v>
      </c>
      <c r="Q289">
        <v>4.5138888888888888E-2</v>
      </c>
      <c r="R289">
        <v>0.17629629629629628</v>
      </c>
      <c r="S289">
        <v>38384</v>
      </c>
      <c r="T289">
        <v>0.3153009259259259</v>
      </c>
      <c r="U289">
        <v>0.31540509259259258</v>
      </c>
      <c r="V289">
        <v>38399</v>
      </c>
      <c r="W289">
        <v>28</v>
      </c>
      <c r="X289">
        <v>38</v>
      </c>
      <c r="Y289">
        <v>-10</v>
      </c>
      <c r="Z289">
        <v>15</v>
      </c>
      <c r="AA289">
        <v>15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806.45</v>
      </c>
      <c r="AK289">
        <v>0</v>
      </c>
      <c r="AL289">
        <v>806.45</v>
      </c>
      <c r="AM289">
        <v>0</v>
      </c>
      <c r="AN289">
        <v>0</v>
      </c>
      <c r="AO289">
        <v>0</v>
      </c>
    </row>
    <row r="290" spans="1:41">
      <c r="A290">
        <v>289</v>
      </c>
      <c r="B290" s="42">
        <v>45943</v>
      </c>
      <c r="C290" t="str">
        <v>HINJEWADI</v>
      </c>
      <c r="D290" t="str">
        <v>SLK1</v>
      </c>
      <c r="E290" t="str">
        <v>SHADOWFAX TECHNOLOGIES PRIVATE LIMITED</v>
      </c>
      <c r="F290" t="str">
        <v>MH14MH6374</v>
      </c>
      <c r="G290" t="str">
        <v>ACE</v>
      </c>
      <c r="H290" t="str">
        <v>CNG</v>
      </c>
      <c r="I290">
        <v>4</v>
      </c>
      <c r="J290">
        <v>8</v>
      </c>
      <c r="K290">
        <v>25000</v>
      </c>
      <c r="L290">
        <v>1000</v>
      </c>
      <c r="M290">
        <v>55</v>
      </c>
      <c r="N290">
        <v>31</v>
      </c>
      <c r="O290" t="str">
        <v>PUN01 NC Cluster 201</v>
      </c>
      <c r="P290">
        <v>0</v>
      </c>
      <c r="Q290">
        <v>4.7222222222222221E-2</v>
      </c>
      <c r="R290">
        <v>0.18648148148148147</v>
      </c>
      <c r="S290">
        <v>7154</v>
      </c>
      <c r="T290">
        <v>0.34105324074074073</v>
      </c>
      <c r="U290">
        <v>0.34113425925925928</v>
      </c>
      <c r="V290">
        <v>7186</v>
      </c>
      <c r="W290">
        <v>40</v>
      </c>
      <c r="X290">
        <v>40</v>
      </c>
      <c r="Y290">
        <v>0</v>
      </c>
      <c r="Z290">
        <v>32</v>
      </c>
      <c r="AA290">
        <v>32</v>
      </c>
      <c r="AB290">
        <v>0</v>
      </c>
      <c r="AC290">
        <v>0</v>
      </c>
      <c r="AD290">
        <v>1</v>
      </c>
      <c r="AE290">
        <v>150</v>
      </c>
      <c r="AF290">
        <v>0</v>
      </c>
      <c r="AG290">
        <v>0</v>
      </c>
      <c r="AH290">
        <v>0</v>
      </c>
      <c r="AI290">
        <v>0</v>
      </c>
      <c r="AJ290">
        <v>956.45</v>
      </c>
      <c r="AK290">
        <v>0</v>
      </c>
      <c r="AL290">
        <v>956.45</v>
      </c>
      <c r="AM290">
        <v>0</v>
      </c>
      <c r="AN290">
        <v>0</v>
      </c>
      <c r="AO290">
        <v>0</v>
      </c>
    </row>
    <row r="291" spans="1:41">
      <c r="A291">
        <v>290</v>
      </c>
      <c r="B291" s="42">
        <v>45943</v>
      </c>
      <c r="C291" t="str">
        <v>HINJEWADI</v>
      </c>
      <c r="D291" t="str">
        <v>SLK1</v>
      </c>
      <c r="E291" t="str">
        <v>SHADOWFAX TECHNOLOGIES PRIVATE LIMITED</v>
      </c>
      <c r="F291" t="str">
        <v>MH14MH8276</v>
      </c>
      <c r="G291" t="str">
        <v>ACE</v>
      </c>
      <c r="H291" t="str">
        <v>CNG</v>
      </c>
      <c r="I291">
        <v>4</v>
      </c>
      <c r="J291">
        <v>8</v>
      </c>
      <c r="K291">
        <v>25000</v>
      </c>
      <c r="L291">
        <v>1000</v>
      </c>
      <c r="M291">
        <v>55</v>
      </c>
      <c r="N291">
        <v>31</v>
      </c>
      <c r="O291" t="str">
        <v>PUN01 NC Cluster 35</v>
      </c>
      <c r="P291">
        <v>0</v>
      </c>
      <c r="Q291">
        <v>4.5138888888888888E-2</v>
      </c>
      <c r="R291">
        <v>0.17577546296296298</v>
      </c>
      <c r="S291">
        <v>4687</v>
      </c>
      <c r="T291">
        <v>0.31179398148148146</v>
      </c>
      <c r="U291">
        <v>0.3119675925925926</v>
      </c>
      <c r="V291">
        <v>4705</v>
      </c>
      <c r="W291">
        <v>42</v>
      </c>
      <c r="X291">
        <v>36</v>
      </c>
      <c r="Y291">
        <v>6</v>
      </c>
      <c r="Z291">
        <v>18</v>
      </c>
      <c r="AA291">
        <v>18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806.45</v>
      </c>
      <c r="AK291">
        <v>0</v>
      </c>
      <c r="AL291">
        <v>806.45</v>
      </c>
      <c r="AM291">
        <v>0</v>
      </c>
      <c r="AN291">
        <v>0</v>
      </c>
      <c r="AO291">
        <v>0</v>
      </c>
    </row>
    <row r="292" spans="1:41">
      <c r="A292">
        <v>291</v>
      </c>
      <c r="B292" s="42">
        <v>45943</v>
      </c>
      <c r="C292" t="str">
        <v>HINJEWADI</v>
      </c>
      <c r="D292" t="str">
        <v>SLK1</v>
      </c>
      <c r="E292" t="str">
        <v>SHADOWFAX TECHNOLOGIES PRIVATE LIMITED</v>
      </c>
      <c r="F292" t="str">
        <v>MH20GC8804</v>
      </c>
      <c r="G292" t="str">
        <v>ACE</v>
      </c>
      <c r="H292" t="str">
        <v>CNG</v>
      </c>
      <c r="I292">
        <v>4</v>
      </c>
      <c r="J292">
        <v>8</v>
      </c>
      <c r="K292">
        <v>25000</v>
      </c>
      <c r="L292">
        <v>1000</v>
      </c>
      <c r="M292">
        <v>55</v>
      </c>
      <c r="N292">
        <v>31</v>
      </c>
      <c r="O292" t="str">
        <v>PUN01 NC Cluster 60</v>
      </c>
      <c r="P292">
        <v>0</v>
      </c>
      <c r="Q292">
        <v>0.11666666666666665</v>
      </c>
      <c r="R292">
        <v>0.18013888888888888</v>
      </c>
      <c r="S292">
        <v>41381</v>
      </c>
      <c r="T292">
        <v>0.32906249999999998</v>
      </c>
      <c r="U292">
        <v>0.32927083333333335</v>
      </c>
      <c r="V292">
        <v>41395</v>
      </c>
      <c r="W292">
        <v>31</v>
      </c>
      <c r="X292">
        <v>31</v>
      </c>
      <c r="Y292">
        <v>0</v>
      </c>
      <c r="Z292">
        <v>14</v>
      </c>
      <c r="AA292">
        <v>14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806.45</v>
      </c>
      <c r="AK292">
        <v>0</v>
      </c>
      <c r="AL292">
        <v>806.45</v>
      </c>
      <c r="AM292">
        <v>0</v>
      </c>
      <c r="AN292">
        <v>0</v>
      </c>
      <c r="AO292">
        <v>0</v>
      </c>
    </row>
    <row r="293" spans="1:41">
      <c r="A293">
        <v>292</v>
      </c>
      <c r="B293" s="42">
        <v>45943</v>
      </c>
      <c r="C293" t="str">
        <v>HINJEWADI</v>
      </c>
      <c r="D293" t="str">
        <v>SLK1</v>
      </c>
      <c r="E293" t="str">
        <v>SHADOWFAX TECHNOLOGIES PRIVATE LIMITED</v>
      </c>
      <c r="F293" t="str">
        <v>MH14LL4513</v>
      </c>
      <c r="G293" t="str">
        <v>BOLERO</v>
      </c>
      <c r="H293" t="str">
        <v>DIESEL</v>
      </c>
      <c r="I293">
        <v>4</v>
      </c>
      <c r="J293">
        <v>10</v>
      </c>
      <c r="K293">
        <v>29000</v>
      </c>
      <c r="L293">
        <v>1000</v>
      </c>
      <c r="M293">
        <v>55</v>
      </c>
      <c r="N293">
        <v>31</v>
      </c>
      <c r="O293" t="str">
        <v>PUN01 NC Cluster 72</v>
      </c>
      <c r="P293">
        <v>0</v>
      </c>
      <c r="Q293">
        <v>0.11041666666666666</v>
      </c>
      <c r="R293">
        <v>0.18746527777777777</v>
      </c>
      <c r="S293">
        <v>32839</v>
      </c>
      <c r="T293">
        <v>0.35379629629629633</v>
      </c>
      <c r="U293">
        <v>0.35488425925925932</v>
      </c>
      <c r="V293">
        <v>32848</v>
      </c>
      <c r="W293">
        <v>43</v>
      </c>
      <c r="X293">
        <v>43</v>
      </c>
      <c r="Y293">
        <v>0</v>
      </c>
      <c r="Z293">
        <v>9</v>
      </c>
      <c r="AA293">
        <v>9</v>
      </c>
      <c r="AB293">
        <v>0</v>
      </c>
      <c r="AC293">
        <v>0</v>
      </c>
      <c r="AD293">
        <v>1</v>
      </c>
      <c r="AE293">
        <v>150</v>
      </c>
      <c r="AF293">
        <v>0</v>
      </c>
      <c r="AG293">
        <v>0</v>
      </c>
      <c r="AH293">
        <v>0</v>
      </c>
      <c r="AI293">
        <v>0</v>
      </c>
      <c r="AJ293">
        <v>1085.48</v>
      </c>
      <c r="AK293">
        <v>0</v>
      </c>
      <c r="AL293">
        <v>1085.48</v>
      </c>
      <c r="AM293">
        <v>0</v>
      </c>
      <c r="AN293">
        <v>0</v>
      </c>
      <c r="AO293">
        <v>0</v>
      </c>
    </row>
    <row r="294" spans="1:41">
      <c r="A294">
        <v>293</v>
      </c>
      <c r="B294" s="42">
        <v>45943</v>
      </c>
      <c r="C294" t="str">
        <v>HINJEWADI</v>
      </c>
      <c r="D294" t="str">
        <v>SLK1</v>
      </c>
      <c r="E294" t="str">
        <v>SHADOWFAX TECHNOLOGIES PRIVATE LIMITED</v>
      </c>
      <c r="F294" t="str">
        <v>MH14LX4839</v>
      </c>
      <c r="G294" t="str">
        <v>BOLERO</v>
      </c>
      <c r="H294" t="str">
        <v>DIESEL</v>
      </c>
      <c r="I294">
        <v>4</v>
      </c>
      <c r="J294">
        <v>10</v>
      </c>
      <c r="K294">
        <v>29000</v>
      </c>
      <c r="L294">
        <v>1000</v>
      </c>
      <c r="M294">
        <v>55</v>
      </c>
      <c r="N294">
        <v>31</v>
      </c>
      <c r="O294" t="str">
        <v>PUN01 NC Cluster 121</v>
      </c>
      <c r="P294">
        <v>0</v>
      </c>
      <c r="Q294">
        <v>4.9305555555555554E-2</v>
      </c>
      <c r="R294">
        <v>0.18292824074074074</v>
      </c>
      <c r="S294">
        <v>38677</v>
      </c>
      <c r="T294">
        <v>0.35797453703703702</v>
      </c>
      <c r="U294">
        <v>0.35804398148148148</v>
      </c>
      <c r="V294">
        <v>38722</v>
      </c>
      <c r="W294">
        <v>30</v>
      </c>
      <c r="X294">
        <v>30</v>
      </c>
      <c r="Y294">
        <v>0</v>
      </c>
      <c r="Z294">
        <v>45</v>
      </c>
      <c r="AA294">
        <v>45</v>
      </c>
      <c r="AB294">
        <v>0</v>
      </c>
      <c r="AC294">
        <v>0</v>
      </c>
      <c r="AD294">
        <v>1</v>
      </c>
      <c r="AE294">
        <v>150</v>
      </c>
      <c r="AF294">
        <v>0</v>
      </c>
      <c r="AG294">
        <v>0</v>
      </c>
      <c r="AH294">
        <v>0</v>
      </c>
      <c r="AI294">
        <v>0</v>
      </c>
      <c r="AJ294">
        <v>1085.48</v>
      </c>
      <c r="AK294">
        <v>0</v>
      </c>
      <c r="AL294">
        <v>1085.48</v>
      </c>
      <c r="AM294">
        <v>0</v>
      </c>
      <c r="AN294">
        <v>0</v>
      </c>
      <c r="AO294">
        <v>0</v>
      </c>
    </row>
    <row r="295" spans="1:41">
      <c r="A295">
        <v>294</v>
      </c>
      <c r="B295" s="42">
        <v>45943</v>
      </c>
      <c r="C295" t="str">
        <v>HINJEWADI</v>
      </c>
      <c r="D295" t="str">
        <v>SLK1</v>
      </c>
      <c r="E295" t="str">
        <v>SHADOWFAX TECHNOLOGIES PRIVATE LIMITED</v>
      </c>
      <c r="F295" t="str">
        <v>MH14LX4840</v>
      </c>
      <c r="G295" t="str">
        <v>BOLERO</v>
      </c>
      <c r="H295" t="str">
        <v>DIESEL</v>
      </c>
      <c r="I295">
        <v>4</v>
      </c>
      <c r="J295">
        <v>10</v>
      </c>
      <c r="K295">
        <v>29000</v>
      </c>
      <c r="L295">
        <v>1000</v>
      </c>
      <c r="M295">
        <v>55</v>
      </c>
      <c r="N295">
        <v>31</v>
      </c>
      <c r="O295" t="str">
        <v>PUN01 NC Cluster 112</v>
      </c>
      <c r="P295">
        <v>0</v>
      </c>
      <c r="Q295">
        <v>9.3055555555555558E-2</v>
      </c>
      <c r="R295">
        <v>0.1809375</v>
      </c>
      <c r="S295">
        <v>60420</v>
      </c>
      <c r="T295">
        <v>0.31212962962962965</v>
      </c>
      <c r="U295">
        <v>0.31222222222222223</v>
      </c>
      <c r="V295">
        <v>60453</v>
      </c>
      <c r="W295">
        <v>55</v>
      </c>
      <c r="X295">
        <v>55</v>
      </c>
      <c r="Y295">
        <v>0</v>
      </c>
      <c r="Z295">
        <v>33</v>
      </c>
      <c r="AA295">
        <v>33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935.48</v>
      </c>
      <c r="AK295">
        <v>0</v>
      </c>
      <c r="AL295">
        <v>935.48</v>
      </c>
      <c r="AM295">
        <v>0</v>
      </c>
      <c r="AN295">
        <v>0</v>
      </c>
      <c r="AO295">
        <v>0</v>
      </c>
    </row>
    <row r="296" spans="1:41">
      <c r="A296">
        <v>295</v>
      </c>
      <c r="B296" s="42">
        <v>45943</v>
      </c>
      <c r="C296" t="str">
        <v>HINJEWADI</v>
      </c>
      <c r="D296" t="str">
        <v>SLK1</v>
      </c>
      <c r="E296" t="str">
        <v>SHADOWFAX TECHNOLOGIES PRIVATE LIMITED</v>
      </c>
      <c r="F296" t="str">
        <v>MH14MH7322</v>
      </c>
      <c r="G296" t="str">
        <v>BOLERO</v>
      </c>
      <c r="H296" t="str">
        <v>DIESEL</v>
      </c>
      <c r="I296">
        <v>4</v>
      </c>
      <c r="J296">
        <v>10</v>
      </c>
      <c r="K296">
        <v>29000</v>
      </c>
      <c r="L296">
        <v>1000</v>
      </c>
      <c r="M296">
        <v>55</v>
      </c>
      <c r="N296">
        <v>31</v>
      </c>
      <c r="O296" t="str">
        <v>PUN01 NC Cluster 168</v>
      </c>
      <c r="P296">
        <v>0</v>
      </c>
      <c r="Q296">
        <v>0.12361111111111112</v>
      </c>
      <c r="R296">
        <v>0.17839120370370368</v>
      </c>
      <c r="S296">
        <v>3079</v>
      </c>
      <c r="T296">
        <v>0.36336805555555557</v>
      </c>
      <c r="U296">
        <v>0.36346064814814816</v>
      </c>
      <c r="V296">
        <v>3121</v>
      </c>
      <c r="W296">
        <v>65</v>
      </c>
      <c r="X296">
        <v>65</v>
      </c>
      <c r="Y296">
        <v>0</v>
      </c>
      <c r="Z296">
        <v>42</v>
      </c>
      <c r="AA296">
        <v>42</v>
      </c>
      <c r="AB296">
        <v>0</v>
      </c>
      <c r="AC296">
        <v>0</v>
      </c>
      <c r="AD296">
        <v>1</v>
      </c>
      <c r="AE296">
        <v>150</v>
      </c>
      <c r="AF296">
        <v>0</v>
      </c>
      <c r="AG296">
        <v>0</v>
      </c>
      <c r="AH296">
        <v>0</v>
      </c>
      <c r="AI296">
        <v>0</v>
      </c>
      <c r="AJ296">
        <v>1085.48</v>
      </c>
      <c r="AK296">
        <v>0</v>
      </c>
      <c r="AL296">
        <v>1085.48</v>
      </c>
      <c r="AM296">
        <v>0</v>
      </c>
      <c r="AN296">
        <v>0</v>
      </c>
      <c r="AO296">
        <v>0</v>
      </c>
    </row>
    <row r="297" spans="1:41">
      <c r="A297">
        <v>296</v>
      </c>
      <c r="B297" s="42">
        <v>45943</v>
      </c>
      <c r="C297" t="str">
        <v>HINJEWADI</v>
      </c>
      <c r="D297" t="str">
        <v>SLK1</v>
      </c>
      <c r="E297" t="str">
        <v>SHADOWFAX TECHNOLOGIES PRIVATE LIMITED</v>
      </c>
      <c r="F297" t="str">
        <v>MH16CD7321</v>
      </c>
      <c r="G297" t="str">
        <v>BOLERO</v>
      </c>
      <c r="H297" t="str">
        <v>DIESEL</v>
      </c>
      <c r="I297">
        <v>4</v>
      </c>
      <c r="J297">
        <v>10</v>
      </c>
      <c r="K297">
        <v>29000</v>
      </c>
      <c r="L297">
        <v>1000</v>
      </c>
      <c r="M297">
        <v>55</v>
      </c>
      <c r="N297">
        <v>31</v>
      </c>
      <c r="O297" t="str">
        <v>PUN01 NC Cluster 73</v>
      </c>
      <c r="P297">
        <v>0</v>
      </c>
      <c r="Q297">
        <v>8.2638888888888887E-2</v>
      </c>
      <c r="R297">
        <v>0.18068287037037037</v>
      </c>
      <c r="S297">
        <v>139086</v>
      </c>
      <c r="T297">
        <v>0.31752314814814814</v>
      </c>
      <c r="U297">
        <v>0.31770833333333331</v>
      </c>
      <c r="V297">
        <v>139108</v>
      </c>
      <c r="W297">
        <v>39</v>
      </c>
      <c r="X297">
        <v>39</v>
      </c>
      <c r="Y297">
        <v>0</v>
      </c>
      <c r="Z297">
        <v>22</v>
      </c>
      <c r="AA297">
        <v>22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935.48</v>
      </c>
      <c r="AK297">
        <v>0</v>
      </c>
      <c r="AL297">
        <v>935.48</v>
      </c>
      <c r="AM297">
        <v>0</v>
      </c>
      <c r="AN297">
        <v>0</v>
      </c>
      <c r="AO297">
        <v>0</v>
      </c>
    </row>
    <row r="298" spans="1:41">
      <c r="A298">
        <v>297</v>
      </c>
      <c r="B298" s="42">
        <v>45944</v>
      </c>
      <c r="C298" t="str">
        <v>HINJEWADI</v>
      </c>
      <c r="D298" t="str">
        <v>SLK1</v>
      </c>
      <c r="E298" t="str">
        <v>SHADOWFAX TECHNOLOGIES PRIVATE LIMITED</v>
      </c>
      <c r="F298" t="str">
        <v>MH03AH8989</v>
      </c>
      <c r="G298" t="str">
        <v>ACE</v>
      </c>
      <c r="H298" t="str">
        <v>CNG</v>
      </c>
      <c r="I298">
        <v>4</v>
      </c>
      <c r="J298">
        <v>8</v>
      </c>
      <c r="K298">
        <v>25000</v>
      </c>
      <c r="L298">
        <v>1000</v>
      </c>
      <c r="M298">
        <v>55</v>
      </c>
      <c r="N298">
        <v>31</v>
      </c>
      <c r="O298" t="str">
        <v>PUN01 NC Cluster 1</v>
      </c>
      <c r="P298">
        <v>0</v>
      </c>
      <c r="Q298">
        <v>4.1666666666666664E-2</v>
      </c>
      <c r="R298">
        <v>0.16790509259259259</v>
      </c>
      <c r="S298">
        <v>56914</v>
      </c>
      <c r="T298">
        <v>0.29930555555555555</v>
      </c>
      <c r="U298">
        <v>0.29940972222222223</v>
      </c>
      <c r="V298">
        <v>56920</v>
      </c>
      <c r="W298">
        <v>45</v>
      </c>
      <c r="X298">
        <v>39</v>
      </c>
      <c r="Y298">
        <v>6</v>
      </c>
      <c r="Z298">
        <v>6</v>
      </c>
      <c r="AA298">
        <v>6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806.45</v>
      </c>
      <c r="AK298">
        <v>0</v>
      </c>
      <c r="AL298">
        <v>806.45</v>
      </c>
      <c r="AM298">
        <v>0</v>
      </c>
      <c r="AN298">
        <v>0</v>
      </c>
      <c r="AO298">
        <v>0</v>
      </c>
    </row>
    <row r="299" spans="1:41">
      <c r="A299">
        <v>298</v>
      </c>
      <c r="B299" s="42">
        <v>45944</v>
      </c>
      <c r="C299" t="str">
        <v>HINJEWADI</v>
      </c>
      <c r="D299" t="str">
        <v>SLK1</v>
      </c>
      <c r="E299" t="str">
        <v>SHADOWFAX TECHNOLOGIES PRIVATE LIMITED</v>
      </c>
      <c r="F299" t="str">
        <v>MH12SF9859</v>
      </c>
      <c r="G299" t="str">
        <v>ACE</v>
      </c>
      <c r="H299" t="str">
        <v>CNG</v>
      </c>
      <c r="I299">
        <v>4</v>
      </c>
      <c r="J299">
        <v>8</v>
      </c>
      <c r="K299">
        <v>25000</v>
      </c>
      <c r="L299">
        <v>1000</v>
      </c>
      <c r="M299">
        <v>55</v>
      </c>
      <c r="N299">
        <v>31</v>
      </c>
      <c r="O299" t="str">
        <v>PUN01 NC Cluster 126</v>
      </c>
      <c r="P299">
        <v>0</v>
      </c>
      <c r="Q299">
        <v>4.3750000000000004E-2</v>
      </c>
      <c r="R299">
        <v>0.17513888888888887</v>
      </c>
      <c r="S299">
        <v>110368</v>
      </c>
      <c r="T299">
        <v>0.30755787037037036</v>
      </c>
      <c r="U299">
        <v>0.30932870370370369</v>
      </c>
      <c r="V299">
        <v>110405</v>
      </c>
      <c r="W299">
        <v>38</v>
      </c>
      <c r="X299">
        <v>32</v>
      </c>
      <c r="Y299">
        <v>6</v>
      </c>
      <c r="Z299">
        <v>37</v>
      </c>
      <c r="AA299">
        <v>37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806.45</v>
      </c>
      <c r="AK299">
        <v>0</v>
      </c>
      <c r="AL299">
        <v>806.45</v>
      </c>
      <c r="AM299">
        <v>0</v>
      </c>
      <c r="AN299">
        <v>0</v>
      </c>
      <c r="AO299">
        <v>0</v>
      </c>
    </row>
    <row r="300" spans="1:41">
      <c r="A300">
        <v>299</v>
      </c>
      <c r="B300" s="42">
        <v>45944</v>
      </c>
      <c r="C300" t="str">
        <v>HINJEWADI</v>
      </c>
      <c r="D300" t="str">
        <v>SLK1</v>
      </c>
      <c r="E300" t="str">
        <v>SHADOWFAX TECHNOLOGIES PRIVATE LIMITED</v>
      </c>
      <c r="F300" t="str">
        <v>MH12UM3063</v>
      </c>
      <c r="G300" t="str">
        <v>ACE</v>
      </c>
      <c r="H300" t="str">
        <v>CNG</v>
      </c>
      <c r="I300">
        <v>6</v>
      </c>
      <c r="J300">
        <v>8</v>
      </c>
      <c r="K300">
        <v>33000</v>
      </c>
      <c r="L300">
        <v>2000</v>
      </c>
      <c r="M300">
        <v>55</v>
      </c>
      <c r="N300">
        <v>31</v>
      </c>
      <c r="O300" t="str">
        <v>PUN01 NC Cluster 230</v>
      </c>
      <c r="P300">
        <v>0</v>
      </c>
      <c r="Q300">
        <v>4.0972222222222222E-2</v>
      </c>
      <c r="R300">
        <v>0.17641203703703703</v>
      </c>
      <c r="S300">
        <v>99881</v>
      </c>
      <c r="T300">
        <v>0.33791666666666664</v>
      </c>
      <c r="U300">
        <v>0.33825231481481483</v>
      </c>
      <c r="V300">
        <v>99938</v>
      </c>
      <c r="W300">
        <v>70</v>
      </c>
      <c r="X300">
        <v>52</v>
      </c>
      <c r="Y300">
        <v>18</v>
      </c>
      <c r="Z300">
        <v>57</v>
      </c>
      <c r="AA300">
        <v>57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1064.52</v>
      </c>
      <c r="AK300">
        <v>0</v>
      </c>
      <c r="AL300">
        <v>1064.52</v>
      </c>
      <c r="AM300">
        <v>0</v>
      </c>
      <c r="AN300">
        <v>0</v>
      </c>
      <c r="AO300">
        <v>0</v>
      </c>
    </row>
    <row r="301" spans="1:41">
      <c r="A301">
        <v>300</v>
      </c>
      <c r="B301" s="42">
        <v>45944</v>
      </c>
      <c r="C301" t="str">
        <v>HINJEWADI</v>
      </c>
      <c r="D301" t="str">
        <v>SLK1</v>
      </c>
      <c r="E301" t="str">
        <v>SHADOWFAX TECHNOLOGIES PRIVATE LIMITED</v>
      </c>
      <c r="F301" t="str">
        <v>MH12WX6236</v>
      </c>
      <c r="G301" t="str">
        <v>ACE</v>
      </c>
      <c r="H301" t="str">
        <v>CNG</v>
      </c>
      <c r="I301">
        <v>4</v>
      </c>
      <c r="J301">
        <v>8</v>
      </c>
      <c r="K301">
        <v>25000</v>
      </c>
      <c r="L301">
        <v>1000</v>
      </c>
      <c r="M301">
        <v>55</v>
      </c>
      <c r="N301">
        <v>31</v>
      </c>
      <c r="O301" t="str">
        <v>PUN01 NC Cluster 2</v>
      </c>
      <c r="P301">
        <v>0</v>
      </c>
      <c r="Q301">
        <v>4.0972222222222222E-2</v>
      </c>
      <c r="R301">
        <v>0.17451388888888889</v>
      </c>
      <c r="S301">
        <v>37980</v>
      </c>
      <c r="T301">
        <v>0.30039351851851853</v>
      </c>
      <c r="U301">
        <v>0.30048611111111112</v>
      </c>
      <c r="V301">
        <v>37990</v>
      </c>
      <c r="W301">
        <v>53</v>
      </c>
      <c r="X301">
        <v>53</v>
      </c>
      <c r="Y301">
        <v>0</v>
      </c>
      <c r="Z301">
        <v>10</v>
      </c>
      <c r="AA301">
        <v>10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806.45</v>
      </c>
      <c r="AK301">
        <v>0</v>
      </c>
      <c r="AL301">
        <v>806.45</v>
      </c>
      <c r="AM301">
        <v>0</v>
      </c>
      <c r="AN301">
        <v>0</v>
      </c>
      <c r="AO301">
        <v>0</v>
      </c>
    </row>
    <row r="302" spans="1:41">
      <c r="A302">
        <v>301</v>
      </c>
      <c r="B302" s="42">
        <v>45944</v>
      </c>
      <c r="C302" t="str">
        <v>HINJEWADI</v>
      </c>
      <c r="D302" t="str">
        <v>SLK1</v>
      </c>
      <c r="E302" t="str">
        <v>SHADOWFAX TECHNOLOGIES PRIVATE LIMITED</v>
      </c>
      <c r="F302" t="str">
        <v>MH12XM2801</v>
      </c>
      <c r="G302" t="str">
        <v>ACE</v>
      </c>
      <c r="H302" t="str">
        <v>CNG</v>
      </c>
      <c r="I302">
        <v>4</v>
      </c>
      <c r="J302">
        <v>8</v>
      </c>
      <c r="K302">
        <v>25000</v>
      </c>
      <c r="L302">
        <v>1000</v>
      </c>
      <c r="M302">
        <v>55</v>
      </c>
      <c r="N302">
        <v>31</v>
      </c>
      <c r="O302" t="str">
        <v>PUN01 NC Cluster 36</v>
      </c>
      <c r="P302">
        <v>0</v>
      </c>
      <c r="Q302">
        <v>0.1013888888888889</v>
      </c>
      <c r="R302">
        <v>0.1732060185185185</v>
      </c>
      <c r="S302">
        <v>12089</v>
      </c>
      <c r="T302">
        <v>0.35187499999999999</v>
      </c>
      <c r="U302">
        <v>0.35206018518518517</v>
      </c>
      <c r="V302">
        <v>12107</v>
      </c>
      <c r="W302">
        <v>34</v>
      </c>
      <c r="X302">
        <v>42</v>
      </c>
      <c r="Y302">
        <v>-8</v>
      </c>
      <c r="Z302">
        <v>18</v>
      </c>
      <c r="AA302">
        <v>18</v>
      </c>
      <c r="AB302">
        <v>0</v>
      </c>
      <c r="AC302">
        <v>0</v>
      </c>
      <c r="AD302">
        <v>1</v>
      </c>
      <c r="AE302">
        <v>150</v>
      </c>
      <c r="AF302">
        <v>0</v>
      </c>
      <c r="AG302">
        <v>0</v>
      </c>
      <c r="AH302">
        <v>0</v>
      </c>
      <c r="AI302">
        <v>0</v>
      </c>
      <c r="AJ302">
        <v>956.45</v>
      </c>
      <c r="AK302">
        <v>0</v>
      </c>
      <c r="AL302">
        <v>956.45</v>
      </c>
      <c r="AM302">
        <v>0</v>
      </c>
      <c r="AN302">
        <v>0</v>
      </c>
      <c r="AO302">
        <v>0</v>
      </c>
    </row>
    <row r="303" spans="1:41">
      <c r="A303">
        <v>302</v>
      </c>
      <c r="B303" s="42">
        <v>45944</v>
      </c>
      <c r="C303" t="str">
        <v>HINJEWADI</v>
      </c>
      <c r="D303" t="str">
        <v>SLK1</v>
      </c>
      <c r="E303" t="str">
        <v>SHADOWFAX TECHNOLOGIES PRIVATE LIMITED</v>
      </c>
      <c r="F303" t="str">
        <v>MH12YB3190</v>
      </c>
      <c r="G303" t="str">
        <v>ACE</v>
      </c>
      <c r="H303" t="str">
        <v>CNG</v>
      </c>
      <c r="I303">
        <v>4</v>
      </c>
      <c r="J303">
        <v>8</v>
      </c>
      <c r="K303">
        <v>25000</v>
      </c>
      <c r="L303">
        <v>1000</v>
      </c>
      <c r="M303">
        <v>55</v>
      </c>
      <c r="N303">
        <v>31</v>
      </c>
      <c r="O303" t="str">
        <v>PUN01 NC Cluster 75</v>
      </c>
      <c r="P303">
        <v>0</v>
      </c>
      <c r="Q303">
        <v>8.4027777777777771E-2</v>
      </c>
      <c r="R303">
        <v>0.1696064814814815</v>
      </c>
      <c r="S303">
        <v>15041</v>
      </c>
      <c r="T303">
        <v>0.34381944444444446</v>
      </c>
      <c r="U303">
        <v>0.34388888888888891</v>
      </c>
      <c r="V303">
        <v>15070</v>
      </c>
      <c r="W303">
        <v>37</v>
      </c>
      <c r="X303">
        <v>48</v>
      </c>
      <c r="Y303">
        <v>-11</v>
      </c>
      <c r="Z303">
        <v>29</v>
      </c>
      <c r="AA303">
        <v>29</v>
      </c>
      <c r="AB303">
        <v>0</v>
      </c>
      <c r="AC303">
        <v>0</v>
      </c>
      <c r="AD303">
        <v>1</v>
      </c>
      <c r="AE303">
        <v>150</v>
      </c>
      <c r="AF303">
        <v>0</v>
      </c>
      <c r="AG303">
        <v>0</v>
      </c>
      <c r="AH303">
        <v>0</v>
      </c>
      <c r="AI303">
        <v>0</v>
      </c>
      <c r="AJ303">
        <v>956.45</v>
      </c>
      <c r="AK303">
        <v>0</v>
      </c>
      <c r="AL303">
        <v>956.45</v>
      </c>
      <c r="AM303">
        <v>0</v>
      </c>
      <c r="AN303">
        <v>0</v>
      </c>
      <c r="AO303">
        <v>0</v>
      </c>
    </row>
    <row r="304" spans="1:41">
      <c r="A304">
        <v>303</v>
      </c>
      <c r="B304" s="42">
        <v>45944</v>
      </c>
      <c r="C304" t="str">
        <v>HINJEWADI</v>
      </c>
      <c r="D304" t="str">
        <v>SLK1</v>
      </c>
      <c r="E304" t="str">
        <v>SHADOWFAX TECHNOLOGIES PRIVATE LIMITED</v>
      </c>
      <c r="F304" t="str">
        <v>MH14KA0766</v>
      </c>
      <c r="G304" t="str">
        <v>ACE</v>
      </c>
      <c r="H304" t="str">
        <v>CNG</v>
      </c>
      <c r="I304">
        <v>4</v>
      </c>
      <c r="J304">
        <v>8</v>
      </c>
      <c r="K304">
        <v>25000</v>
      </c>
      <c r="L304">
        <v>1000</v>
      </c>
      <c r="M304">
        <v>55</v>
      </c>
      <c r="N304">
        <v>31</v>
      </c>
      <c r="O304" t="str">
        <v>PUN01 NC Cluster 10</v>
      </c>
      <c r="P304">
        <v>0</v>
      </c>
      <c r="Q304">
        <v>6.1805555555555558E-2</v>
      </c>
      <c r="R304">
        <v>0.17381944444444444</v>
      </c>
      <c r="S304">
        <v>143846</v>
      </c>
      <c r="T304">
        <v>0.30068287037037039</v>
      </c>
      <c r="U304">
        <v>0.30078703703703702</v>
      </c>
      <c r="V304">
        <v>143872</v>
      </c>
      <c r="W304">
        <v>30</v>
      </c>
      <c r="X304">
        <v>55</v>
      </c>
      <c r="Y304">
        <v>-25</v>
      </c>
      <c r="Z304">
        <v>26</v>
      </c>
      <c r="AA304">
        <v>26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806.45</v>
      </c>
      <c r="AK304">
        <v>0</v>
      </c>
      <c r="AL304">
        <v>806.45</v>
      </c>
      <c r="AM304">
        <v>0</v>
      </c>
      <c r="AN304">
        <v>0</v>
      </c>
      <c r="AO304">
        <v>0</v>
      </c>
    </row>
    <row r="305" spans="1:41">
      <c r="A305">
        <v>304</v>
      </c>
      <c r="B305" s="42">
        <v>45944</v>
      </c>
      <c r="C305" t="str">
        <v>HINJEWADI</v>
      </c>
      <c r="D305" t="str">
        <v>SLK1</v>
      </c>
      <c r="E305" t="str">
        <v>SHADOWFAX TECHNOLOGIES PRIVATE LIMITED</v>
      </c>
      <c r="F305" t="str">
        <v>MH14KA1228</v>
      </c>
      <c r="G305" t="str">
        <v>ACE</v>
      </c>
      <c r="H305" t="str">
        <v>CNG</v>
      </c>
      <c r="I305">
        <v>4</v>
      </c>
      <c r="J305">
        <v>8</v>
      </c>
      <c r="K305">
        <v>25000</v>
      </c>
      <c r="L305">
        <v>1000</v>
      </c>
      <c r="M305">
        <v>55</v>
      </c>
      <c r="N305">
        <v>31</v>
      </c>
      <c r="O305" t="str">
        <v>PUN01 NC Cluster 61</v>
      </c>
      <c r="P305">
        <v>0</v>
      </c>
      <c r="Q305">
        <v>0.12916666666666668</v>
      </c>
      <c r="R305">
        <v>0.17281250000000001</v>
      </c>
      <c r="S305">
        <v>159206</v>
      </c>
      <c r="T305">
        <v>0.31621527777777775</v>
      </c>
      <c r="U305">
        <v>0.31648148148148147</v>
      </c>
      <c r="V305">
        <v>159234</v>
      </c>
      <c r="W305">
        <v>38</v>
      </c>
      <c r="X305">
        <v>33</v>
      </c>
      <c r="Y305">
        <v>5</v>
      </c>
      <c r="Z305">
        <v>28</v>
      </c>
      <c r="AA305">
        <v>28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806.45</v>
      </c>
      <c r="AK305">
        <v>0</v>
      </c>
      <c r="AL305">
        <v>806.45</v>
      </c>
      <c r="AM305">
        <v>0</v>
      </c>
      <c r="AN305">
        <v>0</v>
      </c>
      <c r="AO305">
        <v>0</v>
      </c>
    </row>
    <row r="306" spans="1:41">
      <c r="A306">
        <v>305</v>
      </c>
      <c r="B306" s="42">
        <v>45944</v>
      </c>
      <c r="C306" t="str">
        <v>HINJEWADI</v>
      </c>
      <c r="D306" t="str">
        <v>SLK1</v>
      </c>
      <c r="E306" t="str">
        <v>SHADOWFAX TECHNOLOGIES PRIVATE LIMITED</v>
      </c>
      <c r="F306" t="str">
        <v>MH14KA1873</v>
      </c>
      <c r="G306" t="str">
        <v>ACE</v>
      </c>
      <c r="H306" t="str">
        <v>CNG</v>
      </c>
      <c r="I306">
        <v>4</v>
      </c>
      <c r="J306">
        <v>8</v>
      </c>
      <c r="K306">
        <v>25000</v>
      </c>
      <c r="L306">
        <v>1000</v>
      </c>
      <c r="M306">
        <v>55</v>
      </c>
      <c r="N306">
        <v>31</v>
      </c>
      <c r="O306" t="str">
        <v>PUN01 NC Cluster 40</v>
      </c>
      <c r="P306">
        <v>0</v>
      </c>
      <c r="Q306">
        <v>4.4444444444444446E-2</v>
      </c>
      <c r="R306">
        <v>0.16827546296296295</v>
      </c>
      <c r="S306">
        <v>113141</v>
      </c>
      <c r="T306">
        <v>0.3087037037037037</v>
      </c>
      <c r="U306">
        <v>0.30883101851851852</v>
      </c>
      <c r="V306">
        <v>113156</v>
      </c>
      <c r="W306">
        <v>40</v>
      </c>
      <c r="X306">
        <v>49</v>
      </c>
      <c r="Y306">
        <v>-9</v>
      </c>
      <c r="Z306">
        <v>15</v>
      </c>
      <c r="AA306">
        <v>15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806.45</v>
      </c>
      <c r="AK306">
        <v>0</v>
      </c>
      <c r="AL306">
        <v>806.45</v>
      </c>
      <c r="AM306">
        <v>0</v>
      </c>
      <c r="AN306">
        <v>0</v>
      </c>
      <c r="AO306">
        <v>0</v>
      </c>
    </row>
    <row r="307" spans="1:41">
      <c r="A307">
        <v>306</v>
      </c>
      <c r="B307" s="42">
        <v>45944</v>
      </c>
      <c r="C307" t="str">
        <v>HINJEWADI</v>
      </c>
      <c r="D307" t="str">
        <v>SLK1</v>
      </c>
      <c r="E307" t="str">
        <v>SHADOWFAX TECHNOLOGIES PRIVATE LIMITED</v>
      </c>
      <c r="F307" t="str">
        <v>MH14KA2871</v>
      </c>
      <c r="G307" t="str">
        <v>ACE</v>
      </c>
      <c r="H307" t="str">
        <v>CNG</v>
      </c>
      <c r="I307">
        <v>4</v>
      </c>
      <c r="J307">
        <v>8</v>
      </c>
      <c r="K307">
        <v>25000</v>
      </c>
      <c r="L307">
        <v>1000</v>
      </c>
      <c r="M307">
        <v>55</v>
      </c>
      <c r="N307">
        <v>31</v>
      </c>
      <c r="O307" t="str">
        <v>PUN01 NC Cluster 124</v>
      </c>
      <c r="P307">
        <v>0</v>
      </c>
      <c r="Q307">
        <v>0.12430555555555556</v>
      </c>
      <c r="R307">
        <v>0.17542824074074073</v>
      </c>
      <c r="S307">
        <v>77995</v>
      </c>
      <c r="T307">
        <v>0.29998842592592595</v>
      </c>
      <c r="U307">
        <v>0.30008101851851848</v>
      </c>
      <c r="V307">
        <v>78022</v>
      </c>
      <c r="W307">
        <v>42</v>
      </c>
      <c r="X307">
        <v>42</v>
      </c>
      <c r="Y307">
        <v>0</v>
      </c>
      <c r="Z307">
        <v>27</v>
      </c>
      <c r="AA307">
        <v>27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806.45</v>
      </c>
      <c r="AK307">
        <v>0</v>
      </c>
      <c r="AL307">
        <v>806.45</v>
      </c>
      <c r="AM307">
        <v>0</v>
      </c>
      <c r="AN307">
        <v>0</v>
      </c>
      <c r="AO307">
        <v>0</v>
      </c>
    </row>
    <row r="308" spans="1:41">
      <c r="A308">
        <v>307</v>
      </c>
      <c r="B308" s="42">
        <v>45944</v>
      </c>
      <c r="C308" t="str">
        <v>HINJEWADI</v>
      </c>
      <c r="D308" t="str">
        <v>SLK1</v>
      </c>
      <c r="E308" t="str">
        <v>SHADOWFAX TECHNOLOGIES PRIVATE LIMITED</v>
      </c>
      <c r="F308" t="str">
        <v>MH14KA6513</v>
      </c>
      <c r="G308" t="str">
        <v>ACE</v>
      </c>
      <c r="H308" t="str">
        <v>CNG</v>
      </c>
      <c r="I308">
        <v>6</v>
      </c>
      <c r="J308">
        <v>8</v>
      </c>
      <c r="K308">
        <v>33000</v>
      </c>
      <c r="L308">
        <v>2000</v>
      </c>
      <c r="M308">
        <v>55</v>
      </c>
      <c r="N308">
        <v>31</v>
      </c>
      <c r="O308" t="str">
        <v>PUN01 NC Cluster 230</v>
      </c>
      <c r="P308">
        <v>0</v>
      </c>
      <c r="Q308">
        <v>0.1388888888888889</v>
      </c>
      <c r="R308">
        <v>0.19540509259259262</v>
      </c>
      <c r="S308">
        <v>47872</v>
      </c>
      <c r="T308">
        <v>0.35293981481481485</v>
      </c>
      <c r="U308">
        <v>0.35538194444444443</v>
      </c>
      <c r="V308">
        <v>47962</v>
      </c>
      <c r="W308">
        <v>0</v>
      </c>
      <c r="X308">
        <v>0</v>
      </c>
      <c r="Y308">
        <v>0</v>
      </c>
      <c r="Z308">
        <v>90</v>
      </c>
      <c r="AA308">
        <v>90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150</v>
      </c>
      <c r="AH308">
        <v>0</v>
      </c>
      <c r="AI308">
        <v>0</v>
      </c>
      <c r="AJ308">
        <v>1064.52</v>
      </c>
      <c r="AK308">
        <v>150</v>
      </c>
      <c r="AL308">
        <v>914.52</v>
      </c>
      <c r="AM308">
        <v>0</v>
      </c>
      <c r="AN308">
        <v>0</v>
      </c>
      <c r="AO308">
        <v>0</v>
      </c>
    </row>
    <row r="309" spans="1:41">
      <c r="A309">
        <v>308</v>
      </c>
      <c r="B309" s="42">
        <v>45944</v>
      </c>
      <c r="C309" t="str">
        <v>HINJEWADI</v>
      </c>
      <c r="D309" t="str">
        <v>SLK1</v>
      </c>
      <c r="E309" t="str">
        <v>SHADOWFAX TECHNOLOGIES PRIVATE LIMITED</v>
      </c>
      <c r="F309" t="str">
        <v>MH14KQ0279</v>
      </c>
      <c r="G309" t="str">
        <v>ACE</v>
      </c>
      <c r="H309" t="str">
        <v>CNG</v>
      </c>
      <c r="I309">
        <v>4</v>
      </c>
      <c r="J309">
        <v>8</v>
      </c>
      <c r="K309">
        <v>25000</v>
      </c>
      <c r="L309">
        <v>1000</v>
      </c>
      <c r="M309">
        <v>55</v>
      </c>
      <c r="N309">
        <v>31</v>
      </c>
      <c r="O309" t="str">
        <v>PUN01 NC Cluster 35</v>
      </c>
      <c r="P309">
        <v>0</v>
      </c>
      <c r="Q309">
        <v>0.12430555555555556</v>
      </c>
      <c r="R309">
        <v>0.18010416666666665</v>
      </c>
      <c r="S309">
        <v>18399</v>
      </c>
      <c r="T309">
        <v>0.35259259259259257</v>
      </c>
      <c r="U309">
        <v>0.35415509259259265</v>
      </c>
      <c r="V309">
        <v>18415</v>
      </c>
      <c r="W309">
        <v>0</v>
      </c>
      <c r="X309">
        <v>0</v>
      </c>
      <c r="Y309">
        <v>0</v>
      </c>
      <c r="Z309">
        <v>16</v>
      </c>
      <c r="AA309">
        <v>16</v>
      </c>
      <c r="AB309">
        <v>0</v>
      </c>
      <c r="AC309">
        <v>0</v>
      </c>
      <c r="AD309">
        <v>1</v>
      </c>
      <c r="AE309">
        <v>150</v>
      </c>
      <c r="AF309">
        <v>0</v>
      </c>
      <c r="AG309">
        <v>0</v>
      </c>
      <c r="AH309">
        <v>0</v>
      </c>
      <c r="AI309">
        <v>0</v>
      </c>
      <c r="AJ309">
        <v>956.45</v>
      </c>
      <c r="AK309">
        <v>0</v>
      </c>
      <c r="AL309">
        <v>956.45</v>
      </c>
      <c r="AM309">
        <v>0</v>
      </c>
      <c r="AN309">
        <v>0</v>
      </c>
      <c r="AO309">
        <v>0</v>
      </c>
    </row>
    <row r="310" spans="1:41">
      <c r="A310">
        <v>309</v>
      </c>
      <c r="B310" s="42">
        <v>45944</v>
      </c>
      <c r="C310" t="str">
        <v>HINJEWADI</v>
      </c>
      <c r="D310" t="str">
        <v>SLK1</v>
      </c>
      <c r="E310" t="str">
        <v>SHADOWFAX TECHNOLOGIES PRIVATE LIMITED</v>
      </c>
      <c r="F310" t="str">
        <v>MH14LB6751</v>
      </c>
      <c r="G310" t="str">
        <v>ACE</v>
      </c>
      <c r="H310" t="str">
        <v>CNG</v>
      </c>
      <c r="I310">
        <v>4</v>
      </c>
      <c r="J310">
        <v>8</v>
      </c>
      <c r="K310">
        <v>25000</v>
      </c>
      <c r="L310">
        <v>1000</v>
      </c>
      <c r="M310">
        <v>55</v>
      </c>
      <c r="N310">
        <v>31</v>
      </c>
      <c r="O310" t="str">
        <v>PUN01 NC Cluster 62</v>
      </c>
      <c r="P310">
        <v>0</v>
      </c>
      <c r="Q310">
        <v>4.3750000000000004E-2</v>
      </c>
      <c r="R310">
        <v>0.16978009259259261</v>
      </c>
      <c r="S310">
        <v>83726</v>
      </c>
      <c r="T310">
        <v>0.30810185185185185</v>
      </c>
      <c r="U310">
        <v>0.30831018518518521</v>
      </c>
      <c r="V310">
        <v>83747</v>
      </c>
      <c r="W310">
        <v>38</v>
      </c>
      <c r="X310">
        <v>30</v>
      </c>
      <c r="Y310">
        <v>8</v>
      </c>
      <c r="Z310">
        <v>21</v>
      </c>
      <c r="AA310">
        <v>21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806.45</v>
      </c>
      <c r="AK310">
        <v>0</v>
      </c>
      <c r="AL310">
        <v>806.45</v>
      </c>
      <c r="AM310">
        <v>0</v>
      </c>
      <c r="AN310">
        <v>0</v>
      </c>
      <c r="AO310">
        <v>0</v>
      </c>
    </row>
    <row r="311" spans="1:41">
      <c r="A311">
        <v>310</v>
      </c>
      <c r="B311" s="42">
        <v>45944</v>
      </c>
      <c r="C311" t="str">
        <v>HINJEWADI</v>
      </c>
      <c r="D311" t="str">
        <v>SLK1</v>
      </c>
      <c r="E311" t="str">
        <v>SHADOWFAX TECHNOLOGIES PRIVATE LIMITED</v>
      </c>
      <c r="F311" t="str">
        <v>MH14LL5974</v>
      </c>
      <c r="G311" t="str">
        <v>ACE</v>
      </c>
      <c r="H311" t="str">
        <v>CNG</v>
      </c>
      <c r="I311">
        <v>4</v>
      </c>
      <c r="J311">
        <v>8</v>
      </c>
      <c r="K311">
        <v>25000</v>
      </c>
      <c r="L311">
        <v>1000</v>
      </c>
      <c r="M311">
        <v>55</v>
      </c>
      <c r="N311">
        <v>31</v>
      </c>
      <c r="O311" t="str">
        <v>PUN01 NC Cluster 140</v>
      </c>
      <c r="P311">
        <v>0</v>
      </c>
      <c r="Q311">
        <v>8.9583333333333334E-2</v>
      </c>
      <c r="R311">
        <v>0.17546296296296296</v>
      </c>
      <c r="S311">
        <v>36772</v>
      </c>
      <c r="T311">
        <v>0.30658564814814815</v>
      </c>
      <c r="U311">
        <v>0.30952546296296296</v>
      </c>
      <c r="V311">
        <v>36799</v>
      </c>
      <c r="W311">
        <v>35</v>
      </c>
      <c r="X311">
        <v>61</v>
      </c>
      <c r="Y311">
        <v>-26</v>
      </c>
      <c r="Z311">
        <v>27</v>
      </c>
      <c r="AA311">
        <v>27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806.45</v>
      </c>
      <c r="AK311">
        <v>0</v>
      </c>
      <c r="AL311">
        <v>806.45</v>
      </c>
      <c r="AM311">
        <v>0</v>
      </c>
      <c r="AN311">
        <v>0</v>
      </c>
      <c r="AO311">
        <v>0</v>
      </c>
    </row>
    <row r="312" spans="1:41">
      <c r="A312">
        <v>311</v>
      </c>
      <c r="B312" s="42">
        <v>45944</v>
      </c>
      <c r="C312" t="str">
        <v>HINJEWADI</v>
      </c>
      <c r="D312" t="str">
        <v>SLK1</v>
      </c>
      <c r="E312" t="str">
        <v>SHADOWFAX TECHNOLOGIES PRIVATE LIMITED</v>
      </c>
      <c r="F312" t="str">
        <v>MH14LL6836</v>
      </c>
      <c r="G312" t="str">
        <v>ACE</v>
      </c>
      <c r="H312" t="str">
        <v>CNG</v>
      </c>
      <c r="I312">
        <v>6</v>
      </c>
      <c r="J312">
        <v>8</v>
      </c>
      <c r="K312">
        <v>33000</v>
      </c>
      <c r="L312">
        <v>2000</v>
      </c>
      <c r="M312">
        <v>55</v>
      </c>
      <c r="N312">
        <v>31</v>
      </c>
      <c r="O312" t="str">
        <v>PUN01 NC Cluster 303</v>
      </c>
      <c r="P312">
        <v>0</v>
      </c>
      <c r="Q312">
        <v>8.6805555555555566E-2</v>
      </c>
      <c r="R312">
        <v>0.17358796296296297</v>
      </c>
      <c r="S312">
        <v>33476</v>
      </c>
      <c r="T312">
        <v>0.30170138888888892</v>
      </c>
      <c r="U312">
        <v>0.30179398148148145</v>
      </c>
      <c r="V312">
        <v>33552</v>
      </c>
      <c r="W312">
        <v>32</v>
      </c>
      <c r="X312">
        <v>33</v>
      </c>
      <c r="Y312">
        <v>-1</v>
      </c>
      <c r="Z312">
        <v>76</v>
      </c>
      <c r="AA312">
        <v>76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1064.52</v>
      </c>
      <c r="AK312">
        <v>0</v>
      </c>
      <c r="AL312">
        <v>1064.52</v>
      </c>
      <c r="AM312">
        <v>0</v>
      </c>
      <c r="AN312">
        <v>0</v>
      </c>
      <c r="AO312">
        <v>0</v>
      </c>
    </row>
    <row r="313" spans="1:41">
      <c r="A313">
        <v>312</v>
      </c>
      <c r="B313" s="42">
        <v>45944</v>
      </c>
      <c r="C313" t="str">
        <v>HINJEWADI</v>
      </c>
      <c r="D313" t="str">
        <v>SLK1</v>
      </c>
      <c r="E313" t="str">
        <v>SHADOWFAX TECHNOLOGIES PRIVATE LIMITED</v>
      </c>
      <c r="F313" t="str">
        <v>MH14LX6360</v>
      </c>
      <c r="G313" t="str">
        <v>ACE</v>
      </c>
      <c r="H313" t="str">
        <v>CNG</v>
      </c>
      <c r="I313">
        <v>4</v>
      </c>
      <c r="J313">
        <v>8</v>
      </c>
      <c r="K313">
        <v>25000</v>
      </c>
      <c r="L313">
        <v>1000</v>
      </c>
      <c r="M313">
        <v>55</v>
      </c>
      <c r="N313">
        <v>31</v>
      </c>
      <c r="O313" t="str">
        <v>PUN01 NC Cluster 37</v>
      </c>
      <c r="P313">
        <v>0</v>
      </c>
      <c r="Q313">
        <v>4.4444444444444446E-2</v>
      </c>
      <c r="R313">
        <v>0.17228009259259258</v>
      </c>
      <c r="S313">
        <v>38517</v>
      </c>
      <c r="T313">
        <v>0.30780092592592595</v>
      </c>
      <c r="U313">
        <v>0.30792824074074071</v>
      </c>
      <c r="V313">
        <v>38533</v>
      </c>
      <c r="W313">
        <v>40</v>
      </c>
      <c r="X313">
        <v>37</v>
      </c>
      <c r="Y313">
        <v>3</v>
      </c>
      <c r="Z313">
        <v>16</v>
      </c>
      <c r="AA313">
        <v>16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806.45</v>
      </c>
      <c r="AK313">
        <v>0</v>
      </c>
      <c r="AL313">
        <v>806.45</v>
      </c>
      <c r="AM313">
        <v>0</v>
      </c>
      <c r="AN313">
        <v>0</v>
      </c>
      <c r="AO313">
        <v>0</v>
      </c>
    </row>
    <row r="314" spans="1:41">
      <c r="A314">
        <v>313</v>
      </c>
      <c r="B314" s="42">
        <v>45944</v>
      </c>
      <c r="C314" t="str">
        <v>HINJEWADI</v>
      </c>
      <c r="D314" t="str">
        <v>SLK1</v>
      </c>
      <c r="E314" t="str">
        <v>SHADOWFAX TECHNOLOGIES PRIVATE LIMITED</v>
      </c>
      <c r="F314" t="str">
        <v>MH14MH6374</v>
      </c>
      <c r="G314" t="str">
        <v>ACE</v>
      </c>
      <c r="H314" t="str">
        <v>CNG</v>
      </c>
      <c r="I314">
        <v>4</v>
      </c>
      <c r="J314">
        <v>8</v>
      </c>
      <c r="K314">
        <v>25000</v>
      </c>
      <c r="L314">
        <v>1000</v>
      </c>
      <c r="M314">
        <v>55</v>
      </c>
      <c r="N314">
        <v>31</v>
      </c>
      <c r="O314" t="str">
        <v>PUN01 NC Cluster 199</v>
      </c>
      <c r="P314">
        <v>0</v>
      </c>
      <c r="Q314">
        <v>0.11805555555555557</v>
      </c>
      <c r="R314">
        <v>0.17041666666666666</v>
      </c>
      <c r="S314">
        <v>7299</v>
      </c>
      <c r="T314">
        <v>0.42321759259259256</v>
      </c>
      <c r="U314">
        <v>0.4233912037037037</v>
      </c>
      <c r="V314">
        <v>7325</v>
      </c>
      <c r="W314">
        <v>1</v>
      </c>
      <c r="X314">
        <v>13</v>
      </c>
      <c r="Y314">
        <v>-12</v>
      </c>
      <c r="Z314">
        <v>26</v>
      </c>
      <c r="AA314">
        <v>26</v>
      </c>
      <c r="AB314">
        <v>0</v>
      </c>
      <c r="AC314">
        <v>0</v>
      </c>
      <c r="AD314">
        <v>3</v>
      </c>
      <c r="AE314">
        <v>450</v>
      </c>
      <c r="AF314">
        <v>0</v>
      </c>
      <c r="AG314">
        <v>0</v>
      </c>
      <c r="AH314">
        <v>0</v>
      </c>
      <c r="AI314">
        <v>0</v>
      </c>
      <c r="AJ314">
        <v>1256.45</v>
      </c>
      <c r="AK314">
        <v>0</v>
      </c>
      <c r="AL314">
        <v>1256.45</v>
      </c>
      <c r="AM314">
        <v>0</v>
      </c>
      <c r="AN314">
        <v>0</v>
      </c>
      <c r="AO314">
        <v>0</v>
      </c>
    </row>
    <row r="315" spans="1:41">
      <c r="A315">
        <v>314</v>
      </c>
      <c r="B315" s="42">
        <v>45944</v>
      </c>
      <c r="C315" t="str">
        <v>HINJEWADI</v>
      </c>
      <c r="D315" t="str">
        <v>SLK1</v>
      </c>
      <c r="E315" t="str">
        <v>SHADOWFAX TECHNOLOGIES PRIVATE LIMITED</v>
      </c>
      <c r="F315" t="str">
        <v>MH14MH8276</v>
      </c>
      <c r="G315" t="str">
        <v>ACE</v>
      </c>
      <c r="H315" t="str">
        <v>CNG</v>
      </c>
      <c r="I315">
        <v>4</v>
      </c>
      <c r="J315">
        <v>8</v>
      </c>
      <c r="K315">
        <v>25000</v>
      </c>
      <c r="L315">
        <v>1000</v>
      </c>
      <c r="M315">
        <v>55</v>
      </c>
      <c r="N315">
        <v>31</v>
      </c>
      <c r="O315" t="str">
        <v>PUN01 NC Cluster 42</v>
      </c>
      <c r="P315">
        <v>0</v>
      </c>
      <c r="Q315">
        <v>4.4444444444444446E-2</v>
      </c>
      <c r="R315">
        <v>0.17087962962962963</v>
      </c>
      <c r="S315">
        <v>4791</v>
      </c>
      <c r="T315">
        <v>0.30844907407407407</v>
      </c>
      <c r="U315">
        <v>0.30855324074074075</v>
      </c>
      <c r="V315">
        <v>4815</v>
      </c>
      <c r="W315">
        <v>36</v>
      </c>
      <c r="X315">
        <v>48</v>
      </c>
      <c r="Y315">
        <v>-12</v>
      </c>
      <c r="Z315">
        <v>24</v>
      </c>
      <c r="AA315">
        <v>24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806.45</v>
      </c>
      <c r="AK315">
        <v>0</v>
      </c>
      <c r="AL315">
        <v>806.45</v>
      </c>
      <c r="AM315">
        <v>0</v>
      </c>
      <c r="AN315">
        <v>0</v>
      </c>
      <c r="AO315">
        <v>0</v>
      </c>
    </row>
    <row r="316" spans="1:41">
      <c r="A316">
        <v>315</v>
      </c>
      <c r="B316" s="42">
        <v>45944</v>
      </c>
      <c r="C316" t="str">
        <v>HINJEWADI</v>
      </c>
      <c r="D316" t="str">
        <v>SLK1</v>
      </c>
      <c r="E316" t="str">
        <v>SHADOWFAX TECHNOLOGIES PRIVATE LIMITED</v>
      </c>
      <c r="F316" t="str">
        <v>MH14LL4513</v>
      </c>
      <c r="G316" t="str">
        <v>BOLERO</v>
      </c>
      <c r="H316" t="str">
        <v>DIESEL</v>
      </c>
      <c r="I316">
        <v>4</v>
      </c>
      <c r="J316">
        <v>10</v>
      </c>
      <c r="K316">
        <v>29000</v>
      </c>
      <c r="L316">
        <v>1000</v>
      </c>
      <c r="M316">
        <v>55</v>
      </c>
      <c r="N316">
        <v>31</v>
      </c>
      <c r="O316" t="str">
        <v>PUN01 NC Cluster 71</v>
      </c>
      <c r="P316">
        <v>0</v>
      </c>
      <c r="Q316">
        <v>0.11458333333333333</v>
      </c>
      <c r="R316">
        <v>0.17363425925925927</v>
      </c>
      <c r="S316">
        <v>32867</v>
      </c>
      <c r="T316">
        <v>0.34638888888888886</v>
      </c>
      <c r="U316">
        <v>0.35162037037037036</v>
      </c>
      <c r="V316">
        <v>32880</v>
      </c>
      <c r="W316">
        <v>40</v>
      </c>
      <c r="X316">
        <v>38</v>
      </c>
      <c r="Y316">
        <v>2</v>
      </c>
      <c r="Z316">
        <v>13</v>
      </c>
      <c r="AA316">
        <v>13</v>
      </c>
      <c r="AB316">
        <v>0</v>
      </c>
      <c r="AC316">
        <v>0</v>
      </c>
      <c r="AD316">
        <v>1</v>
      </c>
      <c r="AE316">
        <v>150</v>
      </c>
      <c r="AF316">
        <v>0</v>
      </c>
      <c r="AG316">
        <v>0</v>
      </c>
      <c r="AH316">
        <v>0</v>
      </c>
      <c r="AI316">
        <v>0</v>
      </c>
      <c r="AJ316">
        <v>1085.48</v>
      </c>
      <c r="AK316">
        <v>0</v>
      </c>
      <c r="AL316">
        <v>1085.48</v>
      </c>
      <c r="AM316">
        <v>0</v>
      </c>
      <c r="AN316">
        <v>0</v>
      </c>
      <c r="AO316">
        <v>0</v>
      </c>
    </row>
    <row r="317" spans="1:41">
      <c r="A317">
        <v>316</v>
      </c>
      <c r="B317" s="42">
        <v>45944</v>
      </c>
      <c r="C317" t="str">
        <v>HINJEWADI</v>
      </c>
      <c r="D317" t="str">
        <v>SLK1</v>
      </c>
      <c r="E317" t="str">
        <v>SHADOWFAX TECHNOLOGIES PRIVATE LIMITED</v>
      </c>
      <c r="F317" t="str">
        <v>MH14LX4839</v>
      </c>
      <c r="G317" t="str">
        <v>BOLERO</v>
      </c>
      <c r="H317" t="str">
        <v>DIESEL</v>
      </c>
      <c r="I317">
        <v>4</v>
      </c>
      <c r="J317">
        <v>10</v>
      </c>
      <c r="K317">
        <v>29000</v>
      </c>
      <c r="L317">
        <v>1000</v>
      </c>
      <c r="M317">
        <v>55</v>
      </c>
      <c r="N317">
        <v>31</v>
      </c>
      <c r="O317" t="str">
        <v>PUN01 NC Cluster 11</v>
      </c>
      <c r="P317">
        <v>0</v>
      </c>
      <c r="Q317">
        <v>8.3333333333333329E-2</v>
      </c>
      <c r="R317">
        <v>0.17063657407407407</v>
      </c>
      <c r="S317">
        <v>38789</v>
      </c>
      <c r="T317">
        <v>0.32552083333333331</v>
      </c>
      <c r="U317">
        <v>0.32924768518518516</v>
      </c>
      <c r="V317">
        <v>38817</v>
      </c>
      <c r="W317">
        <v>53</v>
      </c>
      <c r="X317">
        <v>51</v>
      </c>
      <c r="Y317">
        <v>2</v>
      </c>
      <c r="Z317">
        <v>28</v>
      </c>
      <c r="AA317">
        <v>28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935.48</v>
      </c>
      <c r="AK317">
        <v>0</v>
      </c>
      <c r="AL317">
        <v>935.48</v>
      </c>
      <c r="AM317">
        <v>0</v>
      </c>
      <c r="AN317">
        <v>0</v>
      </c>
      <c r="AO317">
        <v>0</v>
      </c>
    </row>
    <row r="318" spans="1:41">
      <c r="A318">
        <v>317</v>
      </c>
      <c r="B318" s="42">
        <v>45944</v>
      </c>
      <c r="C318" t="str">
        <v>HINJEWADI</v>
      </c>
      <c r="D318" t="str">
        <v>SLK1</v>
      </c>
      <c r="E318" t="str">
        <v>SHADOWFAX TECHNOLOGIES PRIVATE LIMITED</v>
      </c>
      <c r="F318" t="str">
        <v>MH14LX4840</v>
      </c>
      <c r="G318" t="str">
        <v>BOLERO</v>
      </c>
      <c r="H318" t="str">
        <v>DIESEL</v>
      </c>
      <c r="I318">
        <v>4</v>
      </c>
      <c r="J318">
        <v>10</v>
      </c>
      <c r="K318">
        <v>29000</v>
      </c>
      <c r="L318">
        <v>1000</v>
      </c>
      <c r="M318">
        <v>55</v>
      </c>
      <c r="N318">
        <v>31</v>
      </c>
      <c r="O318" t="str">
        <v>PUN01 NC Cluster 149</v>
      </c>
      <c r="P318">
        <v>0</v>
      </c>
      <c r="Q318">
        <v>0.11041666666666666</v>
      </c>
      <c r="R318">
        <v>0.1771527777777778</v>
      </c>
      <c r="S318">
        <v>60537</v>
      </c>
      <c r="T318">
        <v>0.29881944444444447</v>
      </c>
      <c r="U318">
        <v>0.29903935185185188</v>
      </c>
      <c r="V318">
        <v>60572</v>
      </c>
      <c r="W318">
        <v>75</v>
      </c>
      <c r="X318">
        <v>88</v>
      </c>
      <c r="Y318">
        <v>-13</v>
      </c>
      <c r="Z318">
        <v>35</v>
      </c>
      <c r="AA318">
        <v>35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935.48</v>
      </c>
      <c r="AK318">
        <v>0</v>
      </c>
      <c r="AL318">
        <v>935.48</v>
      </c>
      <c r="AM318">
        <v>0</v>
      </c>
      <c r="AN318">
        <v>0</v>
      </c>
      <c r="AO318">
        <v>0</v>
      </c>
    </row>
    <row r="319" spans="1:41">
      <c r="A319">
        <v>318</v>
      </c>
      <c r="B319" s="42">
        <v>45944</v>
      </c>
      <c r="C319" t="str">
        <v>HINJEWADI</v>
      </c>
      <c r="D319" t="str">
        <v>SLK1</v>
      </c>
      <c r="E319" t="str">
        <v>SHADOWFAX TECHNOLOGIES PRIVATE LIMITED</v>
      </c>
      <c r="F319" t="str">
        <v>MH14MH7322</v>
      </c>
      <c r="G319" t="str">
        <v>BOLERO</v>
      </c>
      <c r="H319" t="str">
        <v>DIESEL</v>
      </c>
      <c r="I319">
        <v>4</v>
      </c>
      <c r="J319">
        <v>10</v>
      </c>
      <c r="K319">
        <v>29000</v>
      </c>
      <c r="L319">
        <v>1000</v>
      </c>
      <c r="M319">
        <v>55</v>
      </c>
      <c r="N319">
        <v>31</v>
      </c>
      <c r="O319" t="str">
        <v>PUN01 NC Cluster 135</v>
      </c>
      <c r="P319">
        <v>0</v>
      </c>
      <c r="Q319">
        <v>0.11944444444444445</v>
      </c>
      <c r="R319">
        <v>0.1741898148148148</v>
      </c>
      <c r="S319">
        <v>3141</v>
      </c>
      <c r="T319">
        <v>0.30283564814814817</v>
      </c>
      <c r="U319">
        <v>0.3029513888888889</v>
      </c>
      <c r="V319">
        <v>3169</v>
      </c>
      <c r="W319">
        <v>58</v>
      </c>
      <c r="X319">
        <v>58</v>
      </c>
      <c r="Y319">
        <v>0</v>
      </c>
      <c r="Z319">
        <v>28</v>
      </c>
      <c r="AA319">
        <v>28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935.48</v>
      </c>
      <c r="AK319">
        <v>0</v>
      </c>
      <c r="AL319">
        <v>935.48</v>
      </c>
      <c r="AM319">
        <v>0</v>
      </c>
      <c r="AN319">
        <v>0</v>
      </c>
      <c r="AO319">
        <v>0</v>
      </c>
    </row>
    <row r="320" spans="1:41">
      <c r="A320">
        <v>319</v>
      </c>
      <c r="B320" s="42">
        <v>45944</v>
      </c>
      <c r="C320" t="str">
        <v>HINJEWADI</v>
      </c>
      <c r="D320" t="str">
        <v>SLK1</v>
      </c>
      <c r="E320" t="str">
        <v>SHADOWFAX TECHNOLOGIES PRIVATE LIMITED</v>
      </c>
      <c r="F320" t="str">
        <v>MH16CD7321</v>
      </c>
      <c r="G320" t="str">
        <v>BOLERO</v>
      </c>
      <c r="H320" t="str">
        <v>DIESEL</v>
      </c>
      <c r="I320">
        <v>4</v>
      </c>
      <c r="J320">
        <v>10</v>
      </c>
      <c r="K320">
        <v>29000</v>
      </c>
      <c r="L320">
        <v>1000</v>
      </c>
      <c r="M320">
        <v>55</v>
      </c>
      <c r="N320">
        <v>31</v>
      </c>
      <c r="O320" t="str">
        <v>PUN01 NC Cluster 132</v>
      </c>
      <c r="P320">
        <v>0</v>
      </c>
      <c r="Q320">
        <v>8.6111111111111124E-2</v>
      </c>
      <c r="R320">
        <v>0.17381944444444444</v>
      </c>
      <c r="S320">
        <v>139138</v>
      </c>
      <c r="T320">
        <v>0.32689814814814816</v>
      </c>
      <c r="U320">
        <v>0.32708333333333334</v>
      </c>
      <c r="V320">
        <v>139171</v>
      </c>
      <c r="W320">
        <v>34</v>
      </c>
      <c r="X320">
        <v>43</v>
      </c>
      <c r="Y320">
        <v>-9</v>
      </c>
      <c r="Z320">
        <v>33</v>
      </c>
      <c r="AA320">
        <v>33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935.48</v>
      </c>
      <c r="AK320">
        <v>0</v>
      </c>
      <c r="AL320">
        <v>935.48</v>
      </c>
      <c r="AM320">
        <v>0</v>
      </c>
      <c r="AN320">
        <v>0</v>
      </c>
      <c r="AO320">
        <v>0</v>
      </c>
    </row>
    <row r="321" spans="1:41">
      <c r="A321">
        <v>320</v>
      </c>
      <c r="B321" s="42">
        <v>45945</v>
      </c>
      <c r="C321" t="str">
        <v>HINJEWADI</v>
      </c>
      <c r="D321" t="str">
        <v>SLK1</v>
      </c>
      <c r="E321" t="str">
        <v>SHADOWFAX TECHNOLOGIES PRIVATE LIMITED</v>
      </c>
      <c r="F321" t="str">
        <v>MH03AH8989</v>
      </c>
      <c r="G321" t="str">
        <v>ACE</v>
      </c>
      <c r="H321" t="str">
        <v>CNG</v>
      </c>
      <c r="I321">
        <v>4</v>
      </c>
      <c r="J321">
        <v>8</v>
      </c>
      <c r="K321">
        <v>25000</v>
      </c>
      <c r="L321">
        <v>1000</v>
      </c>
      <c r="M321">
        <v>55</v>
      </c>
      <c r="N321">
        <v>31</v>
      </c>
      <c r="O321" t="str">
        <v>PUN01 NC Cluster 1</v>
      </c>
      <c r="P321">
        <v>0</v>
      </c>
      <c r="Q321">
        <v>4.3750000000000004E-2</v>
      </c>
      <c r="R321">
        <v>0.18425925925925926</v>
      </c>
      <c r="S321">
        <v>57057</v>
      </c>
      <c r="T321">
        <v>0.29162037037037036</v>
      </c>
      <c r="U321">
        <v>0.29180555555555554</v>
      </c>
      <c r="V321">
        <v>57063</v>
      </c>
      <c r="W321">
        <v>40</v>
      </c>
      <c r="X321">
        <v>40</v>
      </c>
      <c r="Y321">
        <v>0</v>
      </c>
      <c r="Z321">
        <v>6</v>
      </c>
      <c r="AA321">
        <v>6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806.45</v>
      </c>
      <c r="AK321">
        <v>0</v>
      </c>
      <c r="AL321">
        <v>806.45</v>
      </c>
      <c r="AM321">
        <v>0</v>
      </c>
      <c r="AN321">
        <v>0</v>
      </c>
      <c r="AO321">
        <v>0</v>
      </c>
    </row>
    <row r="322" spans="1:41">
      <c r="A322">
        <v>321</v>
      </c>
      <c r="B322" s="42">
        <v>45945</v>
      </c>
      <c r="C322" t="str">
        <v>HINJEWADI</v>
      </c>
      <c r="D322" t="str">
        <v>SLK1</v>
      </c>
      <c r="E322" t="str">
        <v>SHADOWFAX TECHNOLOGIES PRIVATE LIMITED</v>
      </c>
      <c r="F322" t="str">
        <v>MH12SF9859</v>
      </c>
      <c r="G322" t="str">
        <v>ACE</v>
      </c>
      <c r="H322" t="str">
        <v>CNG</v>
      </c>
      <c r="I322">
        <v>4</v>
      </c>
      <c r="J322">
        <v>8</v>
      </c>
      <c r="K322">
        <v>25000</v>
      </c>
      <c r="L322">
        <v>1000</v>
      </c>
      <c r="M322">
        <v>55</v>
      </c>
      <c r="N322">
        <v>31</v>
      </c>
      <c r="O322" t="str">
        <v>PUN01 NC Cluster 5</v>
      </c>
      <c r="P322">
        <v>0</v>
      </c>
      <c r="Q322">
        <v>5.1388888888888894E-2</v>
      </c>
      <c r="R322">
        <v>0.18246527777777777</v>
      </c>
      <c r="S322">
        <v>110452</v>
      </c>
      <c r="T322">
        <v>0.29486111111111107</v>
      </c>
      <c r="U322">
        <v>0.29515046296296293</v>
      </c>
      <c r="V322">
        <v>110464</v>
      </c>
      <c r="W322">
        <v>29</v>
      </c>
      <c r="X322">
        <v>29</v>
      </c>
      <c r="Y322">
        <v>0</v>
      </c>
      <c r="Z322">
        <v>12</v>
      </c>
      <c r="AA322">
        <v>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806.45</v>
      </c>
      <c r="AK322">
        <v>0</v>
      </c>
      <c r="AL322">
        <v>806.45</v>
      </c>
      <c r="AM322">
        <v>0</v>
      </c>
      <c r="AN322">
        <v>0</v>
      </c>
      <c r="AO322">
        <v>0</v>
      </c>
    </row>
    <row r="323" spans="1:41">
      <c r="A323">
        <v>322</v>
      </c>
      <c r="B323" s="42">
        <v>45945</v>
      </c>
      <c r="C323" t="str">
        <v>HINJEWADI</v>
      </c>
      <c r="D323" t="str">
        <v>SLK1</v>
      </c>
      <c r="E323" t="str">
        <v>SHADOWFAX TECHNOLOGIES PRIVATE LIMITED</v>
      </c>
      <c r="F323" t="str">
        <v>MH12UM3063</v>
      </c>
      <c r="G323" t="str">
        <v>ACE</v>
      </c>
      <c r="H323" t="str">
        <v>CNG</v>
      </c>
      <c r="I323">
        <v>6</v>
      </c>
      <c r="J323">
        <v>8</v>
      </c>
      <c r="K323">
        <v>33000</v>
      </c>
      <c r="L323">
        <v>2000</v>
      </c>
      <c r="M323">
        <v>55</v>
      </c>
      <c r="N323">
        <v>31</v>
      </c>
      <c r="O323" t="str">
        <v>PUN01 NC Cluster 229</v>
      </c>
      <c r="P323">
        <v>0</v>
      </c>
      <c r="Q323">
        <v>4.6527777777777779E-2</v>
      </c>
      <c r="R323">
        <v>0.18267361111111111</v>
      </c>
      <c r="S323">
        <v>100044</v>
      </c>
      <c r="T323">
        <v>0</v>
      </c>
      <c r="U323">
        <v>0</v>
      </c>
      <c r="V323">
        <v>100044</v>
      </c>
      <c r="W323">
        <v>0</v>
      </c>
      <c r="X323">
        <v>83</v>
      </c>
      <c r="Y323">
        <v>-83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1064.52</v>
      </c>
      <c r="AK323">
        <v>0</v>
      </c>
      <c r="AL323">
        <v>1064.52</v>
      </c>
      <c r="AM323">
        <v>0</v>
      </c>
      <c r="AN323">
        <v>0</v>
      </c>
      <c r="AO323">
        <v>0</v>
      </c>
    </row>
    <row r="324" spans="1:41">
      <c r="A324">
        <v>323</v>
      </c>
      <c r="B324" s="42">
        <v>45945</v>
      </c>
      <c r="C324" t="str">
        <v>HINJEWADI</v>
      </c>
      <c r="D324" t="str">
        <v>SLK1</v>
      </c>
      <c r="E324" t="str">
        <v>SHADOWFAX TECHNOLOGIES PRIVATE LIMITED</v>
      </c>
      <c r="F324" t="str">
        <v>MH12VF3782</v>
      </c>
      <c r="G324" t="str">
        <v>ACE</v>
      </c>
      <c r="H324" t="str">
        <v>CNG</v>
      </c>
      <c r="I324">
        <v>4</v>
      </c>
      <c r="J324">
        <v>8</v>
      </c>
      <c r="K324">
        <v>25000</v>
      </c>
      <c r="L324">
        <v>1000</v>
      </c>
      <c r="M324">
        <v>55</v>
      </c>
      <c r="N324">
        <v>31</v>
      </c>
      <c r="O324" t="str">
        <v>PUN01 NC Cluster 135</v>
      </c>
      <c r="P324">
        <v>0</v>
      </c>
      <c r="Q324">
        <v>0.13055555555555556</v>
      </c>
      <c r="R324">
        <v>0.18633101851851852</v>
      </c>
      <c r="S324">
        <v>83995</v>
      </c>
      <c r="T324">
        <v>0.32780092592592591</v>
      </c>
      <c r="U324">
        <v>0.33103009259259258</v>
      </c>
      <c r="V324">
        <v>84027</v>
      </c>
      <c r="W324">
        <v>60</v>
      </c>
      <c r="X324">
        <v>60</v>
      </c>
      <c r="Y324">
        <v>0</v>
      </c>
      <c r="Z324">
        <v>32</v>
      </c>
      <c r="AA324">
        <v>32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806.45</v>
      </c>
      <c r="AK324">
        <v>0</v>
      </c>
      <c r="AL324">
        <v>806.45</v>
      </c>
      <c r="AM324">
        <v>0</v>
      </c>
      <c r="AN324">
        <v>0</v>
      </c>
      <c r="AO324">
        <v>0</v>
      </c>
    </row>
    <row r="325" spans="1:41">
      <c r="A325">
        <v>324</v>
      </c>
      <c r="B325" s="42">
        <v>45945</v>
      </c>
      <c r="C325" t="str">
        <v>HINJEWADI</v>
      </c>
      <c r="D325" t="str">
        <v>SLK1</v>
      </c>
      <c r="E325" t="str">
        <v>SHADOWFAX TECHNOLOGIES PRIVATE LIMITED</v>
      </c>
      <c r="F325" t="str">
        <v>MH12WX6236</v>
      </c>
      <c r="G325" t="str">
        <v>ACE</v>
      </c>
      <c r="H325" t="str">
        <v>CNG</v>
      </c>
      <c r="I325">
        <v>4</v>
      </c>
      <c r="J325">
        <v>8</v>
      </c>
      <c r="K325">
        <v>25000</v>
      </c>
      <c r="L325">
        <v>1000</v>
      </c>
      <c r="M325">
        <v>55</v>
      </c>
      <c r="N325">
        <v>31</v>
      </c>
      <c r="O325" t="str">
        <v>PUN01 NC Cluster 142</v>
      </c>
      <c r="P325">
        <v>0</v>
      </c>
      <c r="Q325">
        <v>4.5138888888888888E-2</v>
      </c>
      <c r="R325">
        <v>0.17513888888888887</v>
      </c>
      <c r="S325">
        <v>38097</v>
      </c>
      <c r="T325">
        <v>0.3230555555555556</v>
      </c>
      <c r="U325">
        <v>0.32317129629629632</v>
      </c>
      <c r="V325">
        <v>38121</v>
      </c>
      <c r="W325">
        <v>36</v>
      </c>
      <c r="X325">
        <v>39</v>
      </c>
      <c r="Y325">
        <v>-3</v>
      </c>
      <c r="Z325">
        <v>24</v>
      </c>
      <c r="AA325">
        <v>24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806.45</v>
      </c>
      <c r="AK325">
        <v>0</v>
      </c>
      <c r="AL325">
        <v>806.45</v>
      </c>
      <c r="AM325">
        <v>0</v>
      </c>
      <c r="AN325">
        <v>0</v>
      </c>
      <c r="AO325">
        <v>0</v>
      </c>
    </row>
    <row r="326" spans="1:41">
      <c r="A326">
        <v>325</v>
      </c>
      <c r="B326" s="42">
        <v>45945</v>
      </c>
      <c r="C326" t="str">
        <v>HINJEWADI</v>
      </c>
      <c r="D326" t="str">
        <v>SLK1</v>
      </c>
      <c r="E326" t="str">
        <v>SHADOWFAX TECHNOLOGIES PRIVATE LIMITED</v>
      </c>
      <c r="F326" t="str">
        <v>MH12XM2801</v>
      </c>
      <c r="G326" t="str">
        <v>ACE</v>
      </c>
      <c r="H326" t="str">
        <v>CNG</v>
      </c>
      <c r="I326">
        <v>4</v>
      </c>
      <c r="J326">
        <v>8</v>
      </c>
      <c r="K326">
        <v>25000</v>
      </c>
      <c r="L326">
        <v>1000</v>
      </c>
      <c r="M326">
        <v>55</v>
      </c>
      <c r="N326">
        <v>31</v>
      </c>
      <c r="O326" t="str">
        <v>PUN01 NC Cluster 1</v>
      </c>
      <c r="P326">
        <v>0</v>
      </c>
      <c r="Q326">
        <v>0.12430555555555556</v>
      </c>
      <c r="R326">
        <v>0.29439814814814813</v>
      </c>
      <c r="S326">
        <v>12249</v>
      </c>
      <c r="T326">
        <v>0.29527777777777781</v>
      </c>
      <c r="U326">
        <v>0.29534722222222221</v>
      </c>
      <c r="V326">
        <v>12249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806.45</v>
      </c>
      <c r="AK326">
        <v>0</v>
      </c>
      <c r="AL326">
        <v>806.45</v>
      </c>
      <c r="AM326">
        <v>0</v>
      </c>
      <c r="AN326">
        <v>0</v>
      </c>
      <c r="AO326">
        <v>0</v>
      </c>
    </row>
    <row r="327" spans="1:41">
      <c r="A327">
        <v>326</v>
      </c>
      <c r="B327" s="42">
        <v>45945</v>
      </c>
      <c r="C327" t="str">
        <v>HINJEWADI</v>
      </c>
      <c r="D327" t="str">
        <v>SLK1</v>
      </c>
      <c r="E327" t="str">
        <v>SHADOWFAX TECHNOLOGIES PRIVATE LIMITED</v>
      </c>
      <c r="F327" t="str">
        <v>MH14CP4610</v>
      </c>
      <c r="G327" t="str">
        <v>ACE</v>
      </c>
      <c r="H327" t="str">
        <v>CNG</v>
      </c>
      <c r="I327">
        <v>4</v>
      </c>
      <c r="J327">
        <v>8</v>
      </c>
      <c r="K327">
        <v>25000</v>
      </c>
      <c r="L327">
        <v>1000</v>
      </c>
      <c r="M327">
        <v>55</v>
      </c>
      <c r="N327">
        <v>31</v>
      </c>
      <c r="O327" t="str">
        <v>PUN01 NC Cluster 87</v>
      </c>
      <c r="P327">
        <v>0</v>
      </c>
      <c r="Q327">
        <v>0.10833333333333334</v>
      </c>
      <c r="R327">
        <v>0.18155092592592592</v>
      </c>
      <c r="S327">
        <v>145327</v>
      </c>
      <c r="T327">
        <v>0.32618055555555553</v>
      </c>
      <c r="U327">
        <v>0.3263078703703704</v>
      </c>
      <c r="V327">
        <v>145345</v>
      </c>
      <c r="W327">
        <v>31</v>
      </c>
      <c r="X327">
        <v>31</v>
      </c>
      <c r="Y327">
        <v>0</v>
      </c>
      <c r="Z327">
        <v>18</v>
      </c>
      <c r="AA327">
        <v>18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806.45</v>
      </c>
      <c r="AK327">
        <v>0</v>
      </c>
      <c r="AL327">
        <v>806.45</v>
      </c>
      <c r="AM327">
        <v>0</v>
      </c>
      <c r="AN327">
        <v>0</v>
      </c>
      <c r="AO327">
        <v>0</v>
      </c>
    </row>
    <row r="328" spans="1:41">
      <c r="A328">
        <v>327</v>
      </c>
      <c r="B328" s="42">
        <v>45945</v>
      </c>
      <c r="C328" t="str">
        <v>HINJEWADI</v>
      </c>
      <c r="D328" t="str">
        <v>SLK1</v>
      </c>
      <c r="E328" t="str">
        <v>SHADOWFAX TECHNOLOGIES PRIVATE LIMITED</v>
      </c>
      <c r="F328" t="str">
        <v>MH14EM3160</v>
      </c>
      <c r="G328" t="str">
        <v>ACE</v>
      </c>
      <c r="H328" t="str">
        <v>CNG</v>
      </c>
      <c r="I328">
        <v>4</v>
      </c>
      <c r="J328">
        <v>8</v>
      </c>
      <c r="K328">
        <v>25000</v>
      </c>
      <c r="L328">
        <v>1000</v>
      </c>
      <c r="M328">
        <v>55</v>
      </c>
      <c r="N328">
        <v>31</v>
      </c>
      <c r="O328" t="str">
        <v>PUN01 NC Cluster 13</v>
      </c>
      <c r="P328">
        <v>0</v>
      </c>
      <c r="Q328">
        <v>8.9583333333333334E-2</v>
      </c>
      <c r="R328">
        <v>0.1861689814814815</v>
      </c>
      <c r="S328">
        <v>165301</v>
      </c>
      <c r="T328">
        <v>0.35563657407407406</v>
      </c>
      <c r="U328">
        <v>0.35615740740740742</v>
      </c>
      <c r="V328">
        <v>165320</v>
      </c>
      <c r="W328">
        <v>38</v>
      </c>
      <c r="X328">
        <v>33</v>
      </c>
      <c r="Y328">
        <v>5</v>
      </c>
      <c r="Z328">
        <v>19</v>
      </c>
      <c r="AA328">
        <v>19</v>
      </c>
      <c r="AB328">
        <v>0</v>
      </c>
      <c r="AC328">
        <v>0</v>
      </c>
      <c r="AD328">
        <v>1</v>
      </c>
      <c r="AE328">
        <v>150</v>
      </c>
      <c r="AF328">
        <v>0</v>
      </c>
      <c r="AG328">
        <v>0</v>
      </c>
      <c r="AH328">
        <v>0</v>
      </c>
      <c r="AI328">
        <v>0</v>
      </c>
      <c r="AJ328">
        <v>956.45</v>
      </c>
      <c r="AK328">
        <v>0</v>
      </c>
      <c r="AL328">
        <v>956.45</v>
      </c>
      <c r="AM328">
        <v>0</v>
      </c>
      <c r="AN328">
        <v>0</v>
      </c>
      <c r="AO328">
        <v>0</v>
      </c>
    </row>
    <row r="329" spans="1:41">
      <c r="A329">
        <v>328</v>
      </c>
      <c r="B329" s="42">
        <v>45945</v>
      </c>
      <c r="C329" t="str">
        <v>HINJEWADI</v>
      </c>
      <c r="D329" t="str">
        <v>SLK1</v>
      </c>
      <c r="E329" t="str">
        <v>SHADOWFAX TECHNOLOGIES PRIVATE LIMITED</v>
      </c>
      <c r="F329" t="str">
        <v>MH14KA0766</v>
      </c>
      <c r="G329" t="str">
        <v>ACE</v>
      </c>
      <c r="H329" t="str">
        <v>CNG</v>
      </c>
      <c r="I329">
        <v>4</v>
      </c>
      <c r="J329">
        <v>8</v>
      </c>
      <c r="K329">
        <v>25000</v>
      </c>
      <c r="L329">
        <v>1000</v>
      </c>
      <c r="M329">
        <v>55</v>
      </c>
      <c r="N329">
        <v>31</v>
      </c>
      <c r="O329" t="str">
        <v>PUN01 NC Cluster 10</v>
      </c>
      <c r="P329">
        <v>0</v>
      </c>
      <c r="Q329">
        <v>0.12152777777777778</v>
      </c>
      <c r="R329">
        <v>0.19362268518518519</v>
      </c>
      <c r="S329">
        <v>143972</v>
      </c>
      <c r="T329">
        <v>0.35543981481481479</v>
      </c>
      <c r="U329">
        <v>0.35631944444444441</v>
      </c>
      <c r="V329">
        <v>143998</v>
      </c>
      <c r="W329">
        <v>39</v>
      </c>
      <c r="X329">
        <v>48</v>
      </c>
      <c r="Y329">
        <v>-9</v>
      </c>
      <c r="Z329">
        <v>26</v>
      </c>
      <c r="AA329">
        <v>26</v>
      </c>
      <c r="AB329">
        <v>0</v>
      </c>
      <c r="AC329">
        <v>0</v>
      </c>
      <c r="AD329">
        <v>1</v>
      </c>
      <c r="AE329">
        <v>150</v>
      </c>
      <c r="AF329">
        <v>0</v>
      </c>
      <c r="AG329">
        <v>0</v>
      </c>
      <c r="AH329">
        <v>0</v>
      </c>
      <c r="AI329">
        <v>0</v>
      </c>
      <c r="AJ329">
        <v>956.45</v>
      </c>
      <c r="AK329">
        <v>0</v>
      </c>
      <c r="AL329">
        <v>956.45</v>
      </c>
      <c r="AM329">
        <v>0</v>
      </c>
      <c r="AN329">
        <v>0</v>
      </c>
      <c r="AO329">
        <v>0</v>
      </c>
    </row>
    <row r="330" spans="1:41">
      <c r="A330">
        <v>329</v>
      </c>
      <c r="B330" s="42">
        <v>45945</v>
      </c>
      <c r="C330" t="str">
        <v>HINJEWADI</v>
      </c>
      <c r="D330" t="str">
        <v>SLK1</v>
      </c>
      <c r="E330" t="str">
        <v>SHADOWFAX TECHNOLOGIES PRIVATE LIMITED</v>
      </c>
      <c r="F330" t="str">
        <v>MH14KA1228</v>
      </c>
      <c r="G330" t="str">
        <v>ACE</v>
      </c>
      <c r="H330" t="str">
        <v>CNG</v>
      </c>
      <c r="I330">
        <v>4</v>
      </c>
      <c r="J330">
        <v>8</v>
      </c>
      <c r="K330">
        <v>25000</v>
      </c>
      <c r="L330">
        <v>1000</v>
      </c>
      <c r="M330">
        <v>55</v>
      </c>
      <c r="N330">
        <v>31</v>
      </c>
      <c r="O330" t="str">
        <v>PUN01 NC Cluster 61</v>
      </c>
      <c r="P330">
        <v>0</v>
      </c>
      <c r="Q330">
        <v>6.0416666666666667E-2</v>
      </c>
      <c r="R330">
        <v>0.17864583333333331</v>
      </c>
      <c r="S330">
        <v>159336</v>
      </c>
      <c r="T330">
        <v>0.37202546296296296</v>
      </c>
      <c r="U330">
        <v>0.37214120370370374</v>
      </c>
      <c r="V330">
        <v>159359</v>
      </c>
      <c r="W330">
        <v>38</v>
      </c>
      <c r="X330">
        <v>38</v>
      </c>
      <c r="Y330">
        <v>0</v>
      </c>
      <c r="Z330">
        <v>23</v>
      </c>
      <c r="AA330">
        <v>23</v>
      </c>
      <c r="AB330">
        <v>0</v>
      </c>
      <c r="AC330">
        <v>0</v>
      </c>
      <c r="AD330">
        <v>1</v>
      </c>
      <c r="AE330">
        <v>150</v>
      </c>
      <c r="AF330">
        <v>0</v>
      </c>
      <c r="AG330">
        <v>0</v>
      </c>
      <c r="AH330">
        <v>0</v>
      </c>
      <c r="AI330">
        <v>0</v>
      </c>
      <c r="AJ330">
        <v>956.45</v>
      </c>
      <c r="AK330">
        <v>0</v>
      </c>
      <c r="AL330">
        <v>956.45</v>
      </c>
      <c r="AM330">
        <v>0</v>
      </c>
      <c r="AN330">
        <v>0</v>
      </c>
      <c r="AO330">
        <v>0</v>
      </c>
    </row>
    <row r="331" spans="1:41">
      <c r="A331">
        <v>330</v>
      </c>
      <c r="B331" s="42">
        <v>45945</v>
      </c>
      <c r="C331" t="str">
        <v>HINJEWADI</v>
      </c>
      <c r="D331" t="str">
        <v>SLK1</v>
      </c>
      <c r="E331" t="str">
        <v>SHADOWFAX TECHNOLOGIES PRIVATE LIMITED</v>
      </c>
      <c r="F331" t="str">
        <v>MH14KA1873</v>
      </c>
      <c r="G331" t="str">
        <v>ACE</v>
      </c>
      <c r="H331" t="str">
        <v>CNG</v>
      </c>
      <c r="I331">
        <v>4</v>
      </c>
      <c r="J331">
        <v>8</v>
      </c>
      <c r="K331">
        <v>25000</v>
      </c>
      <c r="L331">
        <v>1000</v>
      </c>
      <c r="M331">
        <v>55</v>
      </c>
      <c r="N331">
        <v>31</v>
      </c>
      <c r="O331" t="str">
        <v>PUN01 NC Cluster 128</v>
      </c>
      <c r="P331">
        <v>0</v>
      </c>
      <c r="Q331">
        <v>4.7222222222222221E-2</v>
      </c>
      <c r="R331">
        <v>0.19719907407407408</v>
      </c>
      <c r="S331">
        <v>113247</v>
      </c>
      <c r="T331">
        <v>0.33068287037037036</v>
      </c>
      <c r="U331">
        <v>0.33076388888888891</v>
      </c>
      <c r="V331">
        <v>113265</v>
      </c>
      <c r="W331">
        <v>37</v>
      </c>
      <c r="X331">
        <v>39</v>
      </c>
      <c r="Y331">
        <v>-2</v>
      </c>
      <c r="Z331">
        <v>18</v>
      </c>
      <c r="AA331">
        <v>18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806.45</v>
      </c>
      <c r="AK331">
        <v>0</v>
      </c>
      <c r="AL331">
        <v>806.45</v>
      </c>
      <c r="AM331">
        <v>0</v>
      </c>
      <c r="AN331">
        <v>0</v>
      </c>
      <c r="AO331">
        <v>0</v>
      </c>
    </row>
    <row r="332" spans="1:41">
      <c r="A332">
        <v>331</v>
      </c>
      <c r="B332" s="42">
        <v>45945</v>
      </c>
      <c r="C332" t="str">
        <v>HINJEWADI</v>
      </c>
      <c r="D332" t="str">
        <v>SLK1</v>
      </c>
      <c r="E332" t="str">
        <v>SHADOWFAX TECHNOLOGIES PRIVATE LIMITED</v>
      </c>
      <c r="F332" t="str">
        <v>MH14KA2871</v>
      </c>
      <c r="G332" t="str">
        <v>ACE</v>
      </c>
      <c r="H332" t="str">
        <v>CNG</v>
      </c>
      <c r="I332">
        <v>4</v>
      </c>
      <c r="J332">
        <v>8</v>
      </c>
      <c r="K332">
        <v>25000</v>
      </c>
      <c r="L332">
        <v>1000</v>
      </c>
      <c r="M332">
        <v>55</v>
      </c>
      <c r="N332">
        <v>31</v>
      </c>
      <c r="O332" t="str">
        <v>PUN01 NC Cluster 168</v>
      </c>
      <c r="P332">
        <v>0</v>
      </c>
      <c r="Q332">
        <v>0.12361111111111112</v>
      </c>
      <c r="R332">
        <v>0.18761574074074075</v>
      </c>
      <c r="S332">
        <v>78145</v>
      </c>
      <c r="T332">
        <v>0.37178240740740742</v>
      </c>
      <c r="U332">
        <v>0.37187500000000001</v>
      </c>
      <c r="V332">
        <v>78174</v>
      </c>
      <c r="W332">
        <v>57</v>
      </c>
      <c r="X332">
        <v>57</v>
      </c>
      <c r="Y332">
        <v>0</v>
      </c>
      <c r="Z332">
        <v>29</v>
      </c>
      <c r="AA332">
        <v>29</v>
      </c>
      <c r="AB332">
        <v>0</v>
      </c>
      <c r="AC332">
        <v>0</v>
      </c>
      <c r="AD332">
        <v>1</v>
      </c>
      <c r="AE332">
        <v>150</v>
      </c>
      <c r="AF332">
        <v>0</v>
      </c>
      <c r="AG332">
        <v>0</v>
      </c>
      <c r="AH332">
        <v>0</v>
      </c>
      <c r="AI332">
        <v>0</v>
      </c>
      <c r="AJ332">
        <v>956.45</v>
      </c>
      <c r="AK332">
        <v>0</v>
      </c>
      <c r="AL332">
        <v>956.45</v>
      </c>
      <c r="AM332">
        <v>0</v>
      </c>
      <c r="AN332">
        <v>0</v>
      </c>
      <c r="AO332">
        <v>0</v>
      </c>
    </row>
    <row r="333" spans="1:41">
      <c r="A333">
        <v>332</v>
      </c>
      <c r="B333" s="42">
        <v>45945</v>
      </c>
      <c r="C333" t="str">
        <v>HINJEWADI</v>
      </c>
      <c r="D333" t="str">
        <v>SLK1</v>
      </c>
      <c r="E333" t="str">
        <v>SHADOWFAX TECHNOLOGIES PRIVATE LIMITED</v>
      </c>
      <c r="F333" t="str">
        <v>MH14KA5782</v>
      </c>
      <c r="G333" t="str">
        <v>ACE</v>
      </c>
      <c r="H333" t="str">
        <v>CNG</v>
      </c>
      <c r="I333">
        <v>4</v>
      </c>
      <c r="J333">
        <v>8</v>
      </c>
      <c r="K333">
        <v>25000</v>
      </c>
      <c r="L333">
        <v>1000</v>
      </c>
      <c r="M333">
        <v>55</v>
      </c>
      <c r="N333">
        <v>31</v>
      </c>
      <c r="O333" t="str">
        <v>PUN01 NC Cluster 40</v>
      </c>
      <c r="P333">
        <v>0</v>
      </c>
      <c r="Q333">
        <v>8.1250000000000003E-2</v>
      </c>
      <c r="R333">
        <v>0.18070601851851853</v>
      </c>
      <c r="S333">
        <v>88848</v>
      </c>
      <c r="T333">
        <v>0.33355324074074072</v>
      </c>
      <c r="U333">
        <v>0.33364583333333336</v>
      </c>
      <c r="V333">
        <v>88863</v>
      </c>
      <c r="W333">
        <v>45</v>
      </c>
      <c r="X333">
        <v>45</v>
      </c>
      <c r="Y333">
        <v>0</v>
      </c>
      <c r="Z333">
        <v>15</v>
      </c>
      <c r="AA333">
        <v>15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806.45</v>
      </c>
      <c r="AK333">
        <v>0</v>
      </c>
      <c r="AL333">
        <v>806.45</v>
      </c>
      <c r="AM333">
        <v>0</v>
      </c>
      <c r="AN333">
        <v>0</v>
      </c>
      <c r="AO333">
        <v>0</v>
      </c>
    </row>
    <row r="334" spans="1:41">
      <c r="A334">
        <v>333</v>
      </c>
      <c r="B334" s="42">
        <v>45945</v>
      </c>
      <c r="C334" t="str">
        <v>HINJEWADI</v>
      </c>
      <c r="D334" t="str">
        <v>SLK1</v>
      </c>
      <c r="E334" t="str">
        <v>SHADOWFAX TECHNOLOGIES PRIVATE LIMITED</v>
      </c>
      <c r="F334" t="str">
        <v>MH14KA6730</v>
      </c>
      <c r="G334" t="str">
        <v>ACE</v>
      </c>
      <c r="H334" t="str">
        <v>CNG</v>
      </c>
      <c r="I334">
        <v>4</v>
      </c>
      <c r="J334">
        <v>8</v>
      </c>
      <c r="K334">
        <v>25000</v>
      </c>
      <c r="L334">
        <v>1000</v>
      </c>
      <c r="M334">
        <v>55</v>
      </c>
      <c r="N334">
        <v>31</v>
      </c>
      <c r="O334" t="str">
        <v>PUN01 NC Cluster 59</v>
      </c>
      <c r="P334">
        <v>0</v>
      </c>
      <c r="Q334">
        <v>4.5833333333333337E-2</v>
      </c>
      <c r="R334">
        <v>0.18237268518518521</v>
      </c>
      <c r="S334">
        <v>87569</v>
      </c>
      <c r="T334">
        <v>0.34030092592592592</v>
      </c>
      <c r="U334">
        <v>0.34037037037037038</v>
      </c>
      <c r="V334">
        <v>87587</v>
      </c>
      <c r="W334">
        <v>29</v>
      </c>
      <c r="X334">
        <v>29</v>
      </c>
      <c r="Y334">
        <v>0</v>
      </c>
      <c r="Z334">
        <v>18</v>
      </c>
      <c r="AA334">
        <v>18</v>
      </c>
      <c r="AB334">
        <v>0</v>
      </c>
      <c r="AC334">
        <v>0</v>
      </c>
      <c r="AD334">
        <v>1</v>
      </c>
      <c r="AE334">
        <v>150</v>
      </c>
      <c r="AF334">
        <v>0</v>
      </c>
      <c r="AG334">
        <v>0</v>
      </c>
      <c r="AH334">
        <v>0</v>
      </c>
      <c r="AI334">
        <v>0</v>
      </c>
      <c r="AJ334">
        <v>956.45</v>
      </c>
      <c r="AK334">
        <v>0</v>
      </c>
      <c r="AL334">
        <v>956.45</v>
      </c>
      <c r="AM334">
        <v>0</v>
      </c>
      <c r="AN334">
        <v>0</v>
      </c>
      <c r="AO334">
        <v>0</v>
      </c>
    </row>
    <row r="335" spans="1:41">
      <c r="A335">
        <v>334</v>
      </c>
      <c r="B335" s="42">
        <v>45945</v>
      </c>
      <c r="C335" t="str">
        <v>HINJEWADI</v>
      </c>
      <c r="D335" t="str">
        <v>SLK1</v>
      </c>
      <c r="E335" t="str">
        <v>SHADOWFAX TECHNOLOGIES PRIVATE LIMITED</v>
      </c>
      <c r="F335" t="str">
        <v>MH14LB5906</v>
      </c>
      <c r="G335" t="str">
        <v>ACE</v>
      </c>
      <c r="H335" t="str">
        <v>CNG</v>
      </c>
      <c r="I335">
        <v>4</v>
      </c>
      <c r="J335">
        <v>8</v>
      </c>
      <c r="K335">
        <v>25000</v>
      </c>
      <c r="L335">
        <v>1000</v>
      </c>
      <c r="M335">
        <v>55</v>
      </c>
      <c r="N335">
        <v>31</v>
      </c>
      <c r="O335" t="str">
        <v>PUN01 NC Cluster 126</v>
      </c>
      <c r="P335">
        <v>0</v>
      </c>
      <c r="Q335">
        <v>9.1666666666666674E-2</v>
      </c>
      <c r="R335">
        <v>0.17635416666666667</v>
      </c>
      <c r="S335">
        <v>44503</v>
      </c>
      <c r="T335">
        <v>0.29939814814814814</v>
      </c>
      <c r="U335">
        <v>0.29949074074074072</v>
      </c>
      <c r="V335">
        <v>44540</v>
      </c>
      <c r="W335">
        <v>32</v>
      </c>
      <c r="X335">
        <v>32</v>
      </c>
      <c r="Y335">
        <v>0</v>
      </c>
      <c r="Z335">
        <v>37</v>
      </c>
      <c r="AA335">
        <v>37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806.45</v>
      </c>
      <c r="AK335">
        <v>0</v>
      </c>
      <c r="AL335">
        <v>806.45</v>
      </c>
      <c r="AM335">
        <v>0</v>
      </c>
      <c r="AN335">
        <v>0</v>
      </c>
      <c r="AO335">
        <v>0</v>
      </c>
    </row>
    <row r="336" spans="1:41">
      <c r="A336">
        <v>335</v>
      </c>
      <c r="B336" s="42">
        <v>45945</v>
      </c>
      <c r="C336" t="str">
        <v>HINJEWADI</v>
      </c>
      <c r="D336" t="str">
        <v>SLK1</v>
      </c>
      <c r="E336" t="str">
        <v>SHADOWFAX TECHNOLOGIES PRIVATE LIMITED</v>
      </c>
      <c r="F336" t="str">
        <v>MH14LB6751</v>
      </c>
      <c r="G336" t="str">
        <v>ACE</v>
      </c>
      <c r="H336" t="str">
        <v>CNG</v>
      </c>
      <c r="I336">
        <v>4</v>
      </c>
      <c r="J336">
        <v>8</v>
      </c>
      <c r="K336">
        <v>25000</v>
      </c>
      <c r="L336">
        <v>1000</v>
      </c>
      <c r="M336">
        <v>55</v>
      </c>
      <c r="N336">
        <v>31</v>
      </c>
      <c r="O336" t="str">
        <v>PUN01 NC Cluster 35</v>
      </c>
      <c r="P336">
        <v>0</v>
      </c>
      <c r="Q336">
        <v>4.5138888888888888E-2</v>
      </c>
      <c r="R336">
        <v>0.18255787037037038</v>
      </c>
      <c r="S336">
        <v>83845</v>
      </c>
      <c r="T336">
        <v>0.32643518518518516</v>
      </c>
      <c r="U336">
        <v>0.32653935185185184</v>
      </c>
      <c r="V336">
        <v>83862</v>
      </c>
      <c r="W336">
        <v>35</v>
      </c>
      <c r="X336">
        <v>35</v>
      </c>
      <c r="Y336">
        <v>0</v>
      </c>
      <c r="Z336">
        <v>17</v>
      </c>
      <c r="AA336">
        <v>17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806.45</v>
      </c>
      <c r="AK336">
        <v>0</v>
      </c>
      <c r="AL336">
        <v>806.45</v>
      </c>
      <c r="AM336">
        <v>0</v>
      </c>
      <c r="AN336">
        <v>0</v>
      </c>
      <c r="AO336">
        <v>0</v>
      </c>
    </row>
    <row r="337" spans="1:41">
      <c r="A337">
        <v>336</v>
      </c>
      <c r="B337" s="42">
        <v>45945</v>
      </c>
      <c r="C337" t="str">
        <v>HINJEWADI</v>
      </c>
      <c r="D337" t="str">
        <v>SLK1</v>
      </c>
      <c r="E337" t="str">
        <v>SHADOWFAX TECHNOLOGIES PRIVATE LIMITED</v>
      </c>
      <c r="F337" t="str">
        <v>MH14LL5974</v>
      </c>
      <c r="G337" t="str">
        <v>ACE</v>
      </c>
      <c r="H337" t="str">
        <v>CNG</v>
      </c>
      <c r="I337">
        <v>4</v>
      </c>
      <c r="J337">
        <v>8</v>
      </c>
      <c r="K337">
        <v>25000</v>
      </c>
      <c r="L337">
        <v>1000</v>
      </c>
      <c r="M337">
        <v>55</v>
      </c>
      <c r="N337">
        <v>31</v>
      </c>
      <c r="O337" t="str">
        <v>PUN01 NC Cluster 125A</v>
      </c>
      <c r="P337">
        <v>0</v>
      </c>
      <c r="Q337">
        <v>9.0972222222222218E-2</v>
      </c>
      <c r="R337">
        <v>0.18568287037037037</v>
      </c>
      <c r="S337">
        <v>36852</v>
      </c>
      <c r="T337">
        <v>0.32482638888888887</v>
      </c>
      <c r="U337">
        <v>0.32494212962962959</v>
      </c>
      <c r="V337">
        <v>36883</v>
      </c>
      <c r="W337">
        <v>41</v>
      </c>
      <c r="X337">
        <v>41</v>
      </c>
      <c r="Y337">
        <v>0</v>
      </c>
      <c r="Z337">
        <v>31</v>
      </c>
      <c r="AA337">
        <v>31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806.45</v>
      </c>
      <c r="AK337">
        <v>0</v>
      </c>
      <c r="AL337">
        <v>806.45</v>
      </c>
      <c r="AM337">
        <v>0</v>
      </c>
      <c r="AN337">
        <v>0</v>
      </c>
      <c r="AO337">
        <v>0</v>
      </c>
    </row>
    <row r="338" spans="1:41">
      <c r="A338">
        <v>337</v>
      </c>
      <c r="B338" s="42">
        <v>45945</v>
      </c>
      <c r="C338" t="str">
        <v>HINJEWADI</v>
      </c>
      <c r="D338" t="str">
        <v>SLK1</v>
      </c>
      <c r="E338" t="str">
        <v>SHADOWFAX TECHNOLOGIES PRIVATE LIMITED</v>
      </c>
      <c r="F338" t="str">
        <v>MH14LL6836</v>
      </c>
      <c r="G338" t="str">
        <v>ACE</v>
      </c>
      <c r="H338" t="str">
        <v>CNG</v>
      </c>
      <c r="I338">
        <v>6</v>
      </c>
      <c r="J338">
        <v>8</v>
      </c>
      <c r="K338">
        <v>33000</v>
      </c>
      <c r="L338">
        <v>2000</v>
      </c>
      <c r="M338">
        <v>55</v>
      </c>
      <c r="N338">
        <v>31</v>
      </c>
      <c r="O338" t="str">
        <v>PUN01 NC Cluster 303</v>
      </c>
      <c r="P338">
        <v>0</v>
      </c>
      <c r="Q338">
        <v>0.13402777777777777</v>
      </c>
      <c r="R338">
        <v>0.18708333333333335</v>
      </c>
      <c r="S338">
        <v>33623</v>
      </c>
      <c r="T338">
        <v>0.40065972222222218</v>
      </c>
      <c r="U338">
        <v>0.4009375</v>
      </c>
      <c r="V338">
        <v>33698</v>
      </c>
      <c r="W338">
        <v>50</v>
      </c>
      <c r="X338">
        <v>45</v>
      </c>
      <c r="Y338">
        <v>5</v>
      </c>
      <c r="Z338">
        <v>75</v>
      </c>
      <c r="AA338">
        <v>75</v>
      </c>
      <c r="AB338">
        <v>0</v>
      </c>
      <c r="AC338">
        <v>0</v>
      </c>
      <c r="AD338">
        <v>1</v>
      </c>
      <c r="AE338">
        <v>150</v>
      </c>
      <c r="AF338">
        <v>1</v>
      </c>
      <c r="AG338">
        <v>150</v>
      </c>
      <c r="AH338">
        <v>0</v>
      </c>
      <c r="AI338">
        <v>0</v>
      </c>
      <c r="AJ338">
        <v>1214.52</v>
      </c>
      <c r="AK338">
        <v>150</v>
      </c>
      <c r="AL338">
        <v>1064.52</v>
      </c>
      <c r="AM338">
        <v>0</v>
      </c>
      <c r="AN338">
        <v>0</v>
      </c>
      <c r="AO338">
        <v>0</v>
      </c>
    </row>
    <row r="339" spans="1:41">
      <c r="A339">
        <v>338</v>
      </c>
      <c r="B339" s="42">
        <v>45945</v>
      </c>
      <c r="C339" t="str">
        <v>HINJEWADI</v>
      </c>
      <c r="D339" t="str">
        <v>SLK1</v>
      </c>
      <c r="E339" t="str">
        <v>SHADOWFAX TECHNOLOGIES PRIVATE LIMITED</v>
      </c>
      <c r="F339" t="str">
        <v>MH14LX6360</v>
      </c>
      <c r="G339" t="str">
        <v>ACE</v>
      </c>
      <c r="H339" t="str">
        <v>CNG</v>
      </c>
      <c r="I339">
        <v>4</v>
      </c>
      <c r="J339">
        <v>8</v>
      </c>
      <c r="K339">
        <v>25000</v>
      </c>
      <c r="L339">
        <v>1000</v>
      </c>
      <c r="M339">
        <v>55</v>
      </c>
      <c r="N339">
        <v>31</v>
      </c>
      <c r="O339" t="str">
        <v>PUN01 NC Cluster 37</v>
      </c>
      <c r="P339">
        <v>0</v>
      </c>
      <c r="Q339">
        <v>4.4444444444444446E-2</v>
      </c>
      <c r="R339">
        <v>0.18592592592592594</v>
      </c>
      <c r="S339">
        <v>38653</v>
      </c>
      <c r="T339">
        <v>0.32880787037037035</v>
      </c>
      <c r="U339">
        <v>0.32898148148148149</v>
      </c>
      <c r="V339">
        <v>38675</v>
      </c>
      <c r="W339">
        <v>39</v>
      </c>
      <c r="X339">
        <v>39</v>
      </c>
      <c r="Y339">
        <v>0</v>
      </c>
      <c r="Z339">
        <v>22</v>
      </c>
      <c r="AA339">
        <v>22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806.45</v>
      </c>
      <c r="AK339">
        <v>0</v>
      </c>
      <c r="AL339">
        <v>806.45</v>
      </c>
      <c r="AM339">
        <v>0</v>
      </c>
      <c r="AN339">
        <v>0</v>
      </c>
      <c r="AO339">
        <v>0</v>
      </c>
    </row>
    <row r="340" spans="1:41">
      <c r="A340">
        <v>339</v>
      </c>
      <c r="B340" s="42">
        <v>45945</v>
      </c>
      <c r="C340" t="str">
        <v>HINJEWADI</v>
      </c>
      <c r="D340" t="str">
        <v>SLK1</v>
      </c>
      <c r="E340" t="str">
        <v>SHADOWFAX TECHNOLOGIES PRIVATE LIMITED</v>
      </c>
      <c r="F340" t="str">
        <v>MH14MH6374</v>
      </c>
      <c r="G340" t="str">
        <v>ACE</v>
      </c>
      <c r="H340" t="str">
        <v>CNG</v>
      </c>
      <c r="I340">
        <v>4</v>
      </c>
      <c r="J340">
        <v>8</v>
      </c>
      <c r="K340">
        <v>25000</v>
      </c>
      <c r="L340">
        <v>1000</v>
      </c>
      <c r="M340">
        <v>55</v>
      </c>
      <c r="N340">
        <v>31</v>
      </c>
      <c r="O340" t="str">
        <v>PUN01 NC Cluster 201</v>
      </c>
      <c r="P340">
        <v>0</v>
      </c>
      <c r="Q340">
        <v>4.4444444444444446E-2</v>
      </c>
      <c r="R340">
        <v>0.18162037037037038</v>
      </c>
      <c r="S340">
        <v>7362</v>
      </c>
      <c r="T340">
        <v>0.32282407407407404</v>
      </c>
      <c r="U340">
        <v>0.32290509259259259</v>
      </c>
      <c r="V340">
        <v>7399</v>
      </c>
      <c r="W340">
        <v>29</v>
      </c>
      <c r="X340">
        <v>38</v>
      </c>
      <c r="Y340">
        <v>-9</v>
      </c>
      <c r="Z340">
        <v>37</v>
      </c>
      <c r="AA340">
        <v>37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806.45</v>
      </c>
      <c r="AK340">
        <v>0</v>
      </c>
      <c r="AL340">
        <v>806.45</v>
      </c>
      <c r="AM340">
        <v>0</v>
      </c>
      <c r="AN340">
        <v>0</v>
      </c>
      <c r="AO340">
        <v>0</v>
      </c>
    </row>
    <row r="341" spans="1:41">
      <c r="A341">
        <v>340</v>
      </c>
      <c r="B341" s="42">
        <v>45945</v>
      </c>
      <c r="C341" t="str">
        <v>HINJEWADI</v>
      </c>
      <c r="D341" t="str">
        <v>SLK1</v>
      </c>
      <c r="E341" t="str">
        <v>SHADOWFAX TECHNOLOGIES PRIVATE LIMITED</v>
      </c>
      <c r="F341" t="str">
        <v>MH14MH8276</v>
      </c>
      <c r="G341" t="str">
        <v>ACE</v>
      </c>
      <c r="H341" t="str">
        <v>CNG</v>
      </c>
      <c r="I341">
        <v>4</v>
      </c>
      <c r="J341">
        <v>8</v>
      </c>
      <c r="K341">
        <v>25000</v>
      </c>
      <c r="L341">
        <v>1000</v>
      </c>
      <c r="M341">
        <v>55</v>
      </c>
      <c r="N341">
        <v>31</v>
      </c>
      <c r="O341" t="str">
        <v>PUN01 NC Cluster 38</v>
      </c>
      <c r="P341">
        <v>0</v>
      </c>
      <c r="Q341">
        <v>4.6527777777777779E-2</v>
      </c>
      <c r="R341">
        <v>0.18275462962962963</v>
      </c>
      <c r="S341">
        <v>4946</v>
      </c>
      <c r="T341">
        <v>0.34196759259259263</v>
      </c>
      <c r="U341">
        <v>0.34206018518518522</v>
      </c>
      <c r="V341">
        <v>4962</v>
      </c>
      <c r="W341">
        <v>52</v>
      </c>
      <c r="X341">
        <v>52</v>
      </c>
      <c r="Y341">
        <v>0</v>
      </c>
      <c r="Z341">
        <v>16</v>
      </c>
      <c r="AA341">
        <v>16</v>
      </c>
      <c r="AB341">
        <v>0</v>
      </c>
      <c r="AC341">
        <v>0</v>
      </c>
      <c r="AD341">
        <v>1</v>
      </c>
      <c r="AE341">
        <v>150</v>
      </c>
      <c r="AF341">
        <v>0</v>
      </c>
      <c r="AG341">
        <v>0</v>
      </c>
      <c r="AH341">
        <v>0</v>
      </c>
      <c r="AI341">
        <v>0</v>
      </c>
      <c r="AJ341">
        <v>956.45</v>
      </c>
      <c r="AK341">
        <v>0</v>
      </c>
      <c r="AL341">
        <v>956.45</v>
      </c>
      <c r="AM341">
        <v>0</v>
      </c>
      <c r="AN341">
        <v>0</v>
      </c>
      <c r="AO341">
        <v>0</v>
      </c>
    </row>
    <row r="342" spans="1:41">
      <c r="A342">
        <v>341</v>
      </c>
      <c r="B342" s="42">
        <v>45945</v>
      </c>
      <c r="C342" t="str">
        <v>HINJEWADI</v>
      </c>
      <c r="D342" t="str">
        <v>SLK1</v>
      </c>
      <c r="E342" t="str">
        <v>SHADOWFAX TECHNOLOGIES PRIVATE LIMITED</v>
      </c>
      <c r="F342" t="str">
        <v>MH20GC8804</v>
      </c>
      <c r="G342" t="str">
        <v>ACE</v>
      </c>
      <c r="H342" t="str">
        <v>CNG</v>
      </c>
      <c r="I342">
        <v>4</v>
      </c>
      <c r="J342">
        <v>8</v>
      </c>
      <c r="K342">
        <v>25000</v>
      </c>
      <c r="L342">
        <v>1000</v>
      </c>
      <c r="M342">
        <v>55</v>
      </c>
      <c r="N342">
        <v>31</v>
      </c>
      <c r="O342" t="str">
        <v>PUN01 NC Cluster 136</v>
      </c>
      <c r="P342">
        <v>0</v>
      </c>
      <c r="Q342">
        <v>0.10625</v>
      </c>
      <c r="R342">
        <v>0.18733796296296298</v>
      </c>
      <c r="S342">
        <v>41451</v>
      </c>
      <c r="T342">
        <v>0.30454861111111114</v>
      </c>
      <c r="U342">
        <v>0.30478009259259259</v>
      </c>
      <c r="V342">
        <v>41481</v>
      </c>
      <c r="W342">
        <v>46</v>
      </c>
      <c r="X342">
        <v>67</v>
      </c>
      <c r="Y342">
        <v>-21</v>
      </c>
      <c r="Z342">
        <v>30</v>
      </c>
      <c r="AA342">
        <v>30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806.45</v>
      </c>
      <c r="AK342">
        <v>0</v>
      </c>
      <c r="AL342">
        <v>806.45</v>
      </c>
      <c r="AM342">
        <v>0</v>
      </c>
      <c r="AN342">
        <v>0</v>
      </c>
      <c r="AO342">
        <v>0</v>
      </c>
    </row>
    <row r="343" spans="1:41">
      <c r="A343">
        <v>342</v>
      </c>
      <c r="B343" s="42">
        <v>45945</v>
      </c>
      <c r="C343" t="str">
        <v>HINJEWADI</v>
      </c>
      <c r="D343" t="str">
        <v>SLK1</v>
      </c>
      <c r="E343" t="str">
        <v>SHADOWFAX TECHNOLOGIES PRIVATE LIMITED</v>
      </c>
      <c r="F343" t="str">
        <v>MH14LX4839</v>
      </c>
      <c r="G343" t="str">
        <v>BOLERO</v>
      </c>
      <c r="H343" t="str">
        <v>DIESEL</v>
      </c>
      <c r="I343">
        <v>4</v>
      </c>
      <c r="J343">
        <v>10</v>
      </c>
      <c r="K343">
        <v>29000</v>
      </c>
      <c r="L343">
        <v>1000</v>
      </c>
      <c r="M343">
        <v>55</v>
      </c>
      <c r="N343">
        <v>31</v>
      </c>
      <c r="O343" t="str">
        <v>PUN01 NC Cluster 38</v>
      </c>
      <c r="P343">
        <v>0</v>
      </c>
      <c r="Q343">
        <v>7.013888888888889E-2</v>
      </c>
      <c r="R343">
        <v>0.29267361111111112</v>
      </c>
      <c r="S343">
        <v>38887</v>
      </c>
      <c r="T343">
        <v>0.3117476851851852</v>
      </c>
      <c r="U343">
        <v>0.31186342592592592</v>
      </c>
      <c r="V343">
        <v>38902</v>
      </c>
      <c r="W343">
        <v>0</v>
      </c>
      <c r="X343">
        <v>0</v>
      </c>
      <c r="Y343">
        <v>0</v>
      </c>
      <c r="Z343">
        <v>15</v>
      </c>
      <c r="AA343">
        <v>15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935.48</v>
      </c>
      <c r="AK343">
        <v>0</v>
      </c>
      <c r="AL343">
        <v>935.48</v>
      </c>
      <c r="AM343">
        <v>0</v>
      </c>
      <c r="AN343">
        <v>0</v>
      </c>
      <c r="AO343">
        <v>0</v>
      </c>
    </row>
    <row r="344" spans="1:41">
      <c r="A344">
        <v>343</v>
      </c>
      <c r="B344" s="42">
        <v>45945</v>
      </c>
      <c r="C344" t="str">
        <v>HINJEWADI</v>
      </c>
      <c r="D344" t="str">
        <v>SLK1</v>
      </c>
      <c r="E344" t="str">
        <v>SHADOWFAX TECHNOLOGIES PRIVATE LIMITED</v>
      </c>
      <c r="F344" t="str">
        <v>MH14LX4840</v>
      </c>
      <c r="G344" t="str">
        <v>BOLERO</v>
      </c>
      <c r="H344" t="str">
        <v>DIESEL</v>
      </c>
      <c r="I344">
        <v>4</v>
      </c>
      <c r="J344">
        <v>10</v>
      </c>
      <c r="K344">
        <v>29000</v>
      </c>
      <c r="L344">
        <v>1000</v>
      </c>
      <c r="M344">
        <v>55</v>
      </c>
      <c r="N344">
        <v>31</v>
      </c>
      <c r="O344" t="str">
        <v>PUN01 NC Cluster 25</v>
      </c>
      <c r="P344">
        <v>0</v>
      </c>
      <c r="Q344">
        <v>0.10486111111111111</v>
      </c>
      <c r="R344">
        <v>0.18975694444444446</v>
      </c>
      <c r="S344">
        <v>60641</v>
      </c>
      <c r="T344">
        <v>0.35592592592592592</v>
      </c>
      <c r="U344">
        <v>0.35603009259259261</v>
      </c>
      <c r="V344">
        <v>60667</v>
      </c>
      <c r="W344">
        <v>49</v>
      </c>
      <c r="X344">
        <v>49</v>
      </c>
      <c r="Y344">
        <v>0</v>
      </c>
      <c r="Z344">
        <v>26</v>
      </c>
      <c r="AA344">
        <v>26</v>
      </c>
      <c r="AB344">
        <v>0</v>
      </c>
      <c r="AC344">
        <v>0</v>
      </c>
      <c r="AD344">
        <v>1</v>
      </c>
      <c r="AE344">
        <v>150</v>
      </c>
      <c r="AF344">
        <v>0</v>
      </c>
      <c r="AG344">
        <v>0</v>
      </c>
      <c r="AH344">
        <v>0</v>
      </c>
      <c r="AI344">
        <v>0</v>
      </c>
      <c r="AJ344">
        <v>1085.48</v>
      </c>
      <c r="AK344">
        <v>0</v>
      </c>
      <c r="AL344">
        <v>1085.48</v>
      </c>
      <c r="AM344">
        <v>0</v>
      </c>
      <c r="AN344">
        <v>0</v>
      </c>
      <c r="AO344">
        <v>0</v>
      </c>
    </row>
    <row r="345" spans="1:41">
      <c r="A345">
        <v>344</v>
      </c>
      <c r="B345" s="42">
        <v>45945</v>
      </c>
      <c r="C345" t="str">
        <v>HINJEWADI</v>
      </c>
      <c r="D345" t="str">
        <v>SLK1</v>
      </c>
      <c r="E345" t="str">
        <v>SHADOWFAX TECHNOLOGIES PRIVATE LIMITED</v>
      </c>
      <c r="F345" t="str">
        <v>MH14MH7322</v>
      </c>
      <c r="G345" t="str">
        <v>BOLERO</v>
      </c>
      <c r="H345" t="str">
        <v>DIESEL</v>
      </c>
      <c r="I345">
        <v>4</v>
      </c>
      <c r="J345">
        <v>10</v>
      </c>
      <c r="K345">
        <v>29000</v>
      </c>
      <c r="L345">
        <v>1000</v>
      </c>
      <c r="M345">
        <v>55</v>
      </c>
      <c r="N345">
        <v>31</v>
      </c>
      <c r="O345" t="str">
        <v>PUN01 Cluster 133</v>
      </c>
      <c r="P345">
        <v>0</v>
      </c>
      <c r="Q345">
        <v>0.10555555555555556</v>
      </c>
      <c r="R345">
        <v>0.18833333333333332</v>
      </c>
      <c r="S345">
        <v>3189</v>
      </c>
      <c r="T345">
        <v>0.31516203703703705</v>
      </c>
      <c r="U345">
        <v>0.31525462962962963</v>
      </c>
      <c r="V345">
        <v>3226</v>
      </c>
      <c r="W345">
        <v>75</v>
      </c>
      <c r="X345">
        <v>75</v>
      </c>
      <c r="Y345">
        <v>0</v>
      </c>
      <c r="Z345">
        <v>37</v>
      </c>
      <c r="AA345">
        <v>37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935.48</v>
      </c>
      <c r="AK345">
        <v>0</v>
      </c>
      <c r="AL345">
        <v>935.48</v>
      </c>
      <c r="AM345">
        <v>0</v>
      </c>
      <c r="AN345">
        <v>0</v>
      </c>
      <c r="AO345">
        <v>0</v>
      </c>
    </row>
    <row r="346" spans="1:41">
      <c r="A346">
        <v>345</v>
      </c>
      <c r="B346" s="42">
        <v>45945</v>
      </c>
      <c r="C346" t="str">
        <v>HINJEWADI</v>
      </c>
      <c r="D346" t="str">
        <v>SLK1</v>
      </c>
      <c r="E346" t="str">
        <v>SHADOWFAX TECHNOLOGIES PRIVATE LIMITED</v>
      </c>
      <c r="F346" t="str">
        <v>MH16CD7321</v>
      </c>
      <c r="G346" t="str">
        <v>BOLERO</v>
      </c>
      <c r="H346" t="str">
        <v>DIESEL</v>
      </c>
      <c r="I346">
        <v>4</v>
      </c>
      <c r="J346">
        <v>10</v>
      </c>
      <c r="K346">
        <v>29000</v>
      </c>
      <c r="L346">
        <v>1000</v>
      </c>
      <c r="M346">
        <v>55</v>
      </c>
      <c r="N346">
        <v>31</v>
      </c>
      <c r="O346" t="str">
        <v>PUN01 NC Cluster 139</v>
      </c>
      <c r="P346">
        <v>0</v>
      </c>
      <c r="Q346">
        <v>8.6805555555555566E-2</v>
      </c>
      <c r="R346">
        <v>0.18614583333333334</v>
      </c>
      <c r="S346">
        <v>139202</v>
      </c>
      <c r="T346">
        <v>0.31039351851851854</v>
      </c>
      <c r="U346">
        <v>0.31059027777777776</v>
      </c>
      <c r="V346">
        <v>139226</v>
      </c>
      <c r="W346">
        <v>50</v>
      </c>
      <c r="X346">
        <v>61</v>
      </c>
      <c r="Y346">
        <v>-11</v>
      </c>
      <c r="Z346">
        <v>24</v>
      </c>
      <c r="AA346">
        <v>24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935.48</v>
      </c>
      <c r="AK346">
        <v>0</v>
      </c>
      <c r="AL346">
        <v>935.48</v>
      </c>
      <c r="AM346">
        <v>0</v>
      </c>
      <c r="AN346">
        <v>0</v>
      </c>
      <c r="AO346">
        <v>0</v>
      </c>
    </row>
    <row r="347" spans="1:41">
      <c r="A347">
        <v>346</v>
      </c>
      <c r="B347" s="42">
        <v>45945</v>
      </c>
      <c r="C347" t="str">
        <v>HINJEWADI</v>
      </c>
      <c r="D347" t="str">
        <v>SLK1</v>
      </c>
      <c r="E347" t="str">
        <v>SHADOWFAX TECHNOLOGIES PRIVATE LIMITED</v>
      </c>
      <c r="F347" t="str">
        <v>MH14JL3308</v>
      </c>
      <c r="G347" t="str">
        <v>ACE</v>
      </c>
      <c r="H347" t="str">
        <v>CNG</v>
      </c>
      <c r="I347">
        <v>4</v>
      </c>
      <c r="J347">
        <v>8</v>
      </c>
      <c r="K347">
        <v>25000</v>
      </c>
      <c r="L347">
        <v>1000</v>
      </c>
      <c r="M347">
        <v>55</v>
      </c>
      <c r="N347">
        <v>31</v>
      </c>
      <c r="O347" t="str">
        <v>PUN01 NC Cluster 12</v>
      </c>
      <c r="P347">
        <v>0</v>
      </c>
      <c r="Q347">
        <v>4.8611111111111112E-2</v>
      </c>
      <c r="R347">
        <v>0.18076388888888886</v>
      </c>
      <c r="S347">
        <v>115383</v>
      </c>
      <c r="T347">
        <v>0.31393518518518521</v>
      </c>
      <c r="U347">
        <v>0.31417824074074074</v>
      </c>
      <c r="V347">
        <v>115407</v>
      </c>
      <c r="W347">
        <v>55</v>
      </c>
      <c r="X347">
        <v>55</v>
      </c>
      <c r="Y347">
        <v>0</v>
      </c>
      <c r="Z347">
        <v>24</v>
      </c>
      <c r="AA347">
        <v>24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806.45</v>
      </c>
      <c r="AK347">
        <v>0</v>
      </c>
      <c r="AL347">
        <v>806.45</v>
      </c>
      <c r="AM347">
        <v>0</v>
      </c>
      <c r="AN347">
        <v>0</v>
      </c>
      <c r="AO347">
        <v>0</v>
      </c>
    </row>
    <row r="348" spans="1:41">
      <c r="A348">
        <v>347</v>
      </c>
      <c r="B348" s="42">
        <v>45946</v>
      </c>
      <c r="C348" t="str">
        <v>HINJEWADI</v>
      </c>
      <c r="D348" t="str">
        <v>SLK1</v>
      </c>
      <c r="E348" t="str">
        <v>SHADOWFAX TECHNOLOGIES PRIVATE LIMITED</v>
      </c>
      <c r="F348" t="str">
        <v>MH03AH8989</v>
      </c>
      <c r="G348" t="str">
        <v>ACE</v>
      </c>
      <c r="H348" t="str">
        <v>CNG</v>
      </c>
      <c r="I348">
        <v>4</v>
      </c>
      <c r="J348">
        <v>8</v>
      </c>
      <c r="K348">
        <v>25000</v>
      </c>
      <c r="L348">
        <v>1000</v>
      </c>
      <c r="M348">
        <v>55</v>
      </c>
      <c r="N348">
        <v>31</v>
      </c>
      <c r="O348" t="str">
        <v>PUN01 NC Cluster 1</v>
      </c>
      <c r="P348">
        <v>0</v>
      </c>
      <c r="Q348">
        <v>5.2777777777777778E-2</v>
      </c>
      <c r="R348">
        <v>0.15737268518518518</v>
      </c>
      <c r="S348">
        <v>57221</v>
      </c>
      <c r="T348">
        <v>0.29237268518518517</v>
      </c>
      <c r="U348">
        <v>0.29252314814814812</v>
      </c>
      <c r="V348">
        <v>57229</v>
      </c>
      <c r="W348">
        <v>40</v>
      </c>
      <c r="X348">
        <v>41</v>
      </c>
      <c r="Y348">
        <v>-1</v>
      </c>
      <c r="Z348">
        <v>8</v>
      </c>
      <c r="AA348">
        <v>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806.45</v>
      </c>
      <c r="AK348">
        <v>0</v>
      </c>
      <c r="AL348">
        <v>806.45</v>
      </c>
      <c r="AM348">
        <v>0</v>
      </c>
      <c r="AN348">
        <v>0</v>
      </c>
      <c r="AO348">
        <v>0</v>
      </c>
    </row>
    <row r="349" spans="1:41">
      <c r="A349">
        <v>348</v>
      </c>
      <c r="B349" s="42">
        <v>45946</v>
      </c>
      <c r="C349" t="str">
        <v>HINJEWADI</v>
      </c>
      <c r="D349" t="str">
        <v>SLK1</v>
      </c>
      <c r="E349" t="str">
        <v>SHADOWFAX TECHNOLOGIES PRIVATE LIMITED</v>
      </c>
      <c r="F349" t="str">
        <v>MH12VF3782</v>
      </c>
      <c r="G349" t="str">
        <v>ACE</v>
      </c>
      <c r="H349" t="str">
        <v>CNG</v>
      </c>
      <c r="I349">
        <v>4</v>
      </c>
      <c r="J349">
        <v>8</v>
      </c>
      <c r="K349">
        <v>25000</v>
      </c>
      <c r="L349">
        <v>1000</v>
      </c>
      <c r="M349">
        <v>55</v>
      </c>
      <c r="N349">
        <v>31</v>
      </c>
      <c r="O349" t="str">
        <v>PUN01 NC Cluster 13</v>
      </c>
      <c r="P349">
        <v>0</v>
      </c>
      <c r="Q349">
        <v>0.12361111111111112</v>
      </c>
      <c r="R349">
        <v>0.16136574074074075</v>
      </c>
      <c r="S349">
        <v>84048</v>
      </c>
      <c r="T349">
        <v>0.34016203703703707</v>
      </c>
      <c r="U349">
        <v>0.34024305555555556</v>
      </c>
      <c r="V349">
        <v>84074</v>
      </c>
      <c r="W349">
        <v>30</v>
      </c>
      <c r="X349">
        <v>32</v>
      </c>
      <c r="Y349">
        <v>-2</v>
      </c>
      <c r="Z349">
        <v>26</v>
      </c>
      <c r="AA349">
        <v>26</v>
      </c>
      <c r="AB349">
        <v>0</v>
      </c>
      <c r="AC349">
        <v>0</v>
      </c>
      <c r="AD349">
        <v>1</v>
      </c>
      <c r="AE349">
        <v>150</v>
      </c>
      <c r="AF349">
        <v>0</v>
      </c>
      <c r="AG349">
        <v>0</v>
      </c>
      <c r="AH349">
        <v>0</v>
      </c>
      <c r="AI349">
        <v>0</v>
      </c>
      <c r="AJ349">
        <v>956.45</v>
      </c>
      <c r="AK349">
        <v>0</v>
      </c>
      <c r="AL349">
        <v>956.45</v>
      </c>
      <c r="AM349">
        <v>0</v>
      </c>
      <c r="AN349">
        <v>0</v>
      </c>
      <c r="AO349">
        <v>0</v>
      </c>
    </row>
    <row r="350" spans="1:41">
      <c r="A350">
        <v>349</v>
      </c>
      <c r="B350" s="42">
        <v>45946</v>
      </c>
      <c r="C350" t="str">
        <v>HINJEWADI</v>
      </c>
      <c r="D350" t="str">
        <v>SLK1</v>
      </c>
      <c r="E350" t="str">
        <v>SHADOWFAX TECHNOLOGIES PRIVATE LIMITED</v>
      </c>
      <c r="F350" t="str">
        <v>MH12WX6236</v>
      </c>
      <c r="G350" t="str">
        <v>ACE</v>
      </c>
      <c r="H350" t="str">
        <v>CNG</v>
      </c>
      <c r="I350">
        <v>4</v>
      </c>
      <c r="J350">
        <v>8</v>
      </c>
      <c r="K350">
        <v>25000</v>
      </c>
      <c r="L350">
        <v>1000</v>
      </c>
      <c r="M350">
        <v>55</v>
      </c>
      <c r="N350">
        <v>31</v>
      </c>
      <c r="O350" t="str">
        <v>PUN01 NC Cluster 106</v>
      </c>
      <c r="P350">
        <v>0</v>
      </c>
      <c r="Q350">
        <v>5.2083333333333336E-2</v>
      </c>
      <c r="R350">
        <v>0.16321759259259258</v>
      </c>
      <c r="S350">
        <v>38217</v>
      </c>
      <c r="T350">
        <v>0.33231481481481479</v>
      </c>
      <c r="U350">
        <v>0.33281250000000001</v>
      </c>
      <c r="V350">
        <v>38241</v>
      </c>
      <c r="W350">
        <v>30</v>
      </c>
      <c r="X350">
        <v>40</v>
      </c>
      <c r="Y350">
        <v>-10</v>
      </c>
      <c r="Z350">
        <v>24</v>
      </c>
      <c r="AA350">
        <v>24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806.45</v>
      </c>
      <c r="AK350">
        <v>0</v>
      </c>
      <c r="AL350">
        <v>806.45</v>
      </c>
      <c r="AM350">
        <v>0</v>
      </c>
      <c r="AN350">
        <v>0</v>
      </c>
      <c r="AO350">
        <v>0</v>
      </c>
    </row>
    <row r="351" spans="1:41">
      <c r="A351">
        <v>350</v>
      </c>
      <c r="B351" s="42">
        <v>45946</v>
      </c>
      <c r="C351" t="str">
        <v>HINJEWADI</v>
      </c>
      <c r="D351" t="str">
        <v>SLK1</v>
      </c>
      <c r="E351" t="str">
        <v>SHADOWFAX TECHNOLOGIES PRIVATE LIMITED</v>
      </c>
      <c r="F351" t="str">
        <v>MH12XM2801</v>
      </c>
      <c r="G351" t="str">
        <v>ACE</v>
      </c>
      <c r="H351" t="str">
        <v>CNG</v>
      </c>
      <c r="I351">
        <v>4</v>
      </c>
      <c r="J351">
        <v>8</v>
      </c>
      <c r="K351">
        <v>25000</v>
      </c>
      <c r="L351">
        <v>1000</v>
      </c>
      <c r="M351">
        <v>55</v>
      </c>
      <c r="N351">
        <v>31</v>
      </c>
      <c r="O351" t="str">
        <v>PUN01 NC Cluster 36</v>
      </c>
      <c r="P351">
        <v>0</v>
      </c>
      <c r="Q351">
        <v>5.4166666666666669E-2</v>
      </c>
      <c r="R351">
        <v>0.15618055555555554</v>
      </c>
      <c r="S351">
        <v>12444</v>
      </c>
      <c r="T351">
        <v>0.29572916666666665</v>
      </c>
      <c r="U351">
        <v>0.29583333333333334</v>
      </c>
      <c r="V351">
        <v>12465</v>
      </c>
      <c r="W351">
        <v>27</v>
      </c>
      <c r="X351">
        <v>34</v>
      </c>
      <c r="Y351">
        <v>-7</v>
      </c>
      <c r="Z351">
        <v>21</v>
      </c>
      <c r="AA351">
        <v>21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806.45</v>
      </c>
      <c r="AK351">
        <v>0</v>
      </c>
      <c r="AL351">
        <v>806.45</v>
      </c>
      <c r="AM351">
        <v>0</v>
      </c>
      <c r="AN351">
        <v>0</v>
      </c>
      <c r="AO351">
        <v>0</v>
      </c>
    </row>
    <row r="352" spans="1:41">
      <c r="A352">
        <v>351</v>
      </c>
      <c r="B352" s="42">
        <v>45946</v>
      </c>
      <c r="C352" t="str">
        <v>HINJEWADI</v>
      </c>
      <c r="D352" t="str">
        <v>SLK1</v>
      </c>
      <c r="E352" t="str">
        <v>SHADOWFAX TECHNOLOGIES PRIVATE LIMITED</v>
      </c>
      <c r="F352" t="str">
        <v>MH12YB3190</v>
      </c>
      <c r="G352" t="str">
        <v>ACE</v>
      </c>
      <c r="H352" t="str">
        <v>CNG</v>
      </c>
      <c r="I352">
        <v>4</v>
      </c>
      <c r="J352">
        <v>8</v>
      </c>
      <c r="K352">
        <v>25000</v>
      </c>
      <c r="L352">
        <v>1000</v>
      </c>
      <c r="M352">
        <v>55</v>
      </c>
      <c r="N352">
        <v>31</v>
      </c>
      <c r="O352" t="str">
        <v>PUN01 NC Cluster 72</v>
      </c>
      <c r="P352">
        <v>0</v>
      </c>
      <c r="Q352">
        <v>7.6388888888888895E-2</v>
      </c>
      <c r="R352">
        <v>0.15789351851851852</v>
      </c>
      <c r="S352">
        <v>15325</v>
      </c>
      <c r="T352">
        <v>0.32915509259259262</v>
      </c>
      <c r="U352">
        <v>0.32925925925925925</v>
      </c>
      <c r="V352">
        <v>15346</v>
      </c>
      <c r="W352">
        <v>30</v>
      </c>
      <c r="X352">
        <v>44</v>
      </c>
      <c r="Y352">
        <v>-14</v>
      </c>
      <c r="Z352">
        <v>21</v>
      </c>
      <c r="AA352">
        <v>21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806.45</v>
      </c>
      <c r="AK352">
        <v>0</v>
      </c>
      <c r="AL352">
        <v>806.45</v>
      </c>
      <c r="AM352">
        <v>0</v>
      </c>
      <c r="AN352">
        <v>0</v>
      </c>
      <c r="AO352">
        <v>0</v>
      </c>
    </row>
    <row r="353" spans="1:41">
      <c r="A353">
        <v>352</v>
      </c>
      <c r="B353" s="42">
        <v>45946</v>
      </c>
      <c r="C353" t="str">
        <v>HINJEWADI</v>
      </c>
      <c r="D353" t="str">
        <v>SLK1</v>
      </c>
      <c r="E353" t="str">
        <v>SHADOWFAX TECHNOLOGIES PRIVATE LIMITED</v>
      </c>
      <c r="F353" t="str">
        <v>MH14CP4610</v>
      </c>
      <c r="G353" t="str">
        <v>ACE</v>
      </c>
      <c r="H353" t="str">
        <v>CNG</v>
      </c>
      <c r="I353">
        <v>4</v>
      </c>
      <c r="J353">
        <v>8</v>
      </c>
      <c r="K353">
        <v>25000</v>
      </c>
      <c r="L353">
        <v>1000</v>
      </c>
      <c r="M353">
        <v>55</v>
      </c>
      <c r="N353">
        <v>31</v>
      </c>
      <c r="O353" t="str">
        <v>PUN01 NC Cluster 87</v>
      </c>
      <c r="P353">
        <v>0</v>
      </c>
      <c r="Q353">
        <v>9.5138888888888884E-2</v>
      </c>
      <c r="R353">
        <v>0.15458333333333332</v>
      </c>
      <c r="S353">
        <v>145350</v>
      </c>
      <c r="T353">
        <v>0.29372685185185182</v>
      </c>
      <c r="U353">
        <v>0.29383101851851851</v>
      </c>
      <c r="V353">
        <v>145367</v>
      </c>
      <c r="W353">
        <v>26</v>
      </c>
      <c r="X353">
        <v>32</v>
      </c>
      <c r="Y353">
        <v>-6</v>
      </c>
      <c r="Z353">
        <v>17</v>
      </c>
      <c r="AA353">
        <v>17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806.45</v>
      </c>
      <c r="AK353">
        <v>0</v>
      </c>
      <c r="AL353">
        <v>806.45</v>
      </c>
      <c r="AM353">
        <v>0</v>
      </c>
      <c r="AN353">
        <v>0</v>
      </c>
      <c r="AO353">
        <v>0</v>
      </c>
    </row>
    <row r="354" spans="1:41">
      <c r="A354">
        <v>353</v>
      </c>
      <c r="B354" s="42">
        <v>45946</v>
      </c>
      <c r="C354" t="str">
        <v>HINJEWADI</v>
      </c>
      <c r="D354" t="str">
        <v>SLK1</v>
      </c>
      <c r="E354" t="str">
        <v>SHADOWFAX TECHNOLOGIES PRIVATE LIMITED</v>
      </c>
      <c r="F354" t="str">
        <v>MH14JL3308</v>
      </c>
      <c r="G354" t="str">
        <v>ACE</v>
      </c>
      <c r="H354" t="str">
        <v>CNG</v>
      </c>
      <c r="I354">
        <v>4</v>
      </c>
      <c r="J354">
        <v>8</v>
      </c>
      <c r="K354">
        <v>25000</v>
      </c>
      <c r="L354">
        <v>1000</v>
      </c>
      <c r="M354">
        <v>55</v>
      </c>
      <c r="N354">
        <v>31</v>
      </c>
      <c r="O354" t="str">
        <v>PUN01 NC Cluster 12</v>
      </c>
      <c r="P354">
        <v>0</v>
      </c>
      <c r="Q354">
        <v>4.9999999999999996E-2</v>
      </c>
      <c r="R354">
        <v>0.16013888888888889</v>
      </c>
      <c r="S354">
        <v>115466</v>
      </c>
      <c r="T354">
        <v>0.29200231481481481</v>
      </c>
      <c r="U354">
        <v>0.29215277777777776</v>
      </c>
      <c r="V354">
        <v>115486</v>
      </c>
      <c r="W354">
        <v>34</v>
      </c>
      <c r="X354">
        <v>49</v>
      </c>
      <c r="Y354">
        <v>-15</v>
      </c>
      <c r="Z354">
        <v>20</v>
      </c>
      <c r="AA354">
        <v>20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806.45</v>
      </c>
      <c r="AK354">
        <v>0</v>
      </c>
      <c r="AL354">
        <v>806.45</v>
      </c>
      <c r="AM354">
        <v>0</v>
      </c>
      <c r="AN354">
        <v>0</v>
      </c>
      <c r="AO354">
        <v>0</v>
      </c>
    </row>
    <row r="355" spans="1:41">
      <c r="A355">
        <v>354</v>
      </c>
      <c r="B355" s="42">
        <v>45946</v>
      </c>
      <c r="C355" t="str">
        <v>HINJEWADI</v>
      </c>
      <c r="D355" t="str">
        <v>SLK1</v>
      </c>
      <c r="E355" t="str">
        <v>SHADOWFAX TECHNOLOGIES PRIVATE LIMITED</v>
      </c>
      <c r="F355" t="str">
        <v>MH14KA0766</v>
      </c>
      <c r="G355" t="str">
        <v>ACE</v>
      </c>
      <c r="H355" t="str">
        <v>CNG</v>
      </c>
      <c r="I355">
        <v>4</v>
      </c>
      <c r="J355">
        <v>8</v>
      </c>
      <c r="K355">
        <v>25000</v>
      </c>
      <c r="L355">
        <v>1000</v>
      </c>
      <c r="M355">
        <v>55</v>
      </c>
      <c r="N355">
        <v>31</v>
      </c>
      <c r="O355" t="str">
        <v>PUN01 NC Cluster 10</v>
      </c>
      <c r="P355">
        <v>0</v>
      </c>
      <c r="Q355">
        <v>5.0694444444444452E-2</v>
      </c>
      <c r="R355">
        <v>0.15752314814814813</v>
      </c>
      <c r="S355">
        <v>144121</v>
      </c>
      <c r="T355">
        <v>0.3246412037037037</v>
      </c>
      <c r="U355">
        <v>0.32475694444444442</v>
      </c>
      <c r="V355">
        <v>144147</v>
      </c>
      <c r="W355">
        <v>35</v>
      </c>
      <c r="X355">
        <v>37</v>
      </c>
      <c r="Y355">
        <v>-2</v>
      </c>
      <c r="Z355">
        <v>26</v>
      </c>
      <c r="AA355">
        <v>26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806.45</v>
      </c>
      <c r="AK355">
        <v>0</v>
      </c>
      <c r="AL355">
        <v>806.45</v>
      </c>
      <c r="AM355">
        <v>0</v>
      </c>
      <c r="AN355">
        <v>0</v>
      </c>
      <c r="AO355">
        <v>0</v>
      </c>
    </row>
    <row r="356" spans="1:41">
      <c r="A356">
        <v>355</v>
      </c>
      <c r="B356" s="42">
        <v>45946</v>
      </c>
      <c r="C356" t="str">
        <v>HINJEWADI</v>
      </c>
      <c r="D356" t="str">
        <v>SLK1</v>
      </c>
      <c r="E356" t="str">
        <v>SHADOWFAX TECHNOLOGIES PRIVATE LIMITED</v>
      </c>
      <c r="F356" t="str">
        <v>MH14KA1873</v>
      </c>
      <c r="G356" t="str">
        <v>ACE</v>
      </c>
      <c r="H356" t="str">
        <v>CNG</v>
      </c>
      <c r="I356">
        <v>4</v>
      </c>
      <c r="J356">
        <v>8</v>
      </c>
      <c r="K356">
        <v>25000</v>
      </c>
      <c r="L356">
        <v>1000</v>
      </c>
      <c r="M356">
        <v>55</v>
      </c>
      <c r="N356">
        <v>31</v>
      </c>
      <c r="O356" t="str">
        <v>PUN01 NC Cluster 40</v>
      </c>
      <c r="P356">
        <v>0</v>
      </c>
      <c r="Q356">
        <v>5.486111111111111E-2</v>
      </c>
      <c r="R356">
        <v>0.15712962962962962</v>
      </c>
      <c r="S356">
        <v>113394</v>
      </c>
      <c r="T356">
        <v>0.29991898148148149</v>
      </c>
      <c r="U356">
        <v>0.30008101851851848</v>
      </c>
      <c r="V356">
        <v>113414</v>
      </c>
      <c r="W356">
        <v>38</v>
      </c>
      <c r="X356">
        <v>48</v>
      </c>
      <c r="Y356">
        <v>-10</v>
      </c>
      <c r="Z356">
        <v>20</v>
      </c>
      <c r="AA356">
        <v>20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806.45</v>
      </c>
      <c r="AK356">
        <v>0</v>
      </c>
      <c r="AL356">
        <v>806.45</v>
      </c>
      <c r="AM356">
        <v>0</v>
      </c>
      <c r="AN356">
        <v>0</v>
      </c>
      <c r="AO356">
        <v>0</v>
      </c>
    </row>
    <row r="357" spans="1:41">
      <c r="A357">
        <v>356</v>
      </c>
      <c r="B357" s="42">
        <v>45946</v>
      </c>
      <c r="C357" t="str">
        <v>HINJEWADI</v>
      </c>
      <c r="D357" t="str">
        <v>SLK1</v>
      </c>
      <c r="E357" t="str">
        <v>SHADOWFAX TECHNOLOGIES PRIVATE LIMITED</v>
      </c>
      <c r="F357" t="str">
        <v>MH14KA2871</v>
      </c>
      <c r="G357" t="str">
        <v>ACE</v>
      </c>
      <c r="H357" t="str">
        <v>CNG</v>
      </c>
      <c r="I357">
        <v>4</v>
      </c>
      <c r="J357">
        <v>8</v>
      </c>
      <c r="K357">
        <v>25000</v>
      </c>
      <c r="L357">
        <v>1000</v>
      </c>
      <c r="M357">
        <v>55</v>
      </c>
      <c r="N357">
        <v>31</v>
      </c>
      <c r="O357" t="str">
        <v>PUN01 NC Cluster 191</v>
      </c>
      <c r="P357">
        <v>0</v>
      </c>
      <c r="Q357">
        <v>5.2777777777777778E-2</v>
      </c>
      <c r="R357">
        <v>0.16916666666666666</v>
      </c>
      <c r="S357">
        <v>78199</v>
      </c>
      <c r="T357">
        <v>0.31270833333333331</v>
      </c>
      <c r="U357">
        <v>0.31281249999999999</v>
      </c>
      <c r="V357">
        <v>78235</v>
      </c>
      <c r="W357">
        <v>35</v>
      </c>
      <c r="X357">
        <v>44</v>
      </c>
      <c r="Y357">
        <v>-9</v>
      </c>
      <c r="Z357">
        <v>36</v>
      </c>
      <c r="AA357">
        <v>36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806.45</v>
      </c>
      <c r="AK357">
        <v>0</v>
      </c>
      <c r="AL357">
        <v>806.45</v>
      </c>
      <c r="AM357">
        <v>0</v>
      </c>
      <c r="AN357">
        <v>0</v>
      </c>
      <c r="AO357">
        <v>0</v>
      </c>
    </row>
    <row r="358" spans="1:41">
      <c r="A358">
        <v>357</v>
      </c>
      <c r="B358" s="42">
        <v>45946</v>
      </c>
      <c r="C358" t="str">
        <v>HINJEWADI</v>
      </c>
      <c r="D358" t="str">
        <v>SLK1</v>
      </c>
      <c r="E358" t="str">
        <v>SHADOWFAX TECHNOLOGIES PRIVATE LIMITED</v>
      </c>
      <c r="F358" t="str">
        <v>MH14KA5782</v>
      </c>
      <c r="G358" t="str">
        <v>ACE</v>
      </c>
      <c r="H358" t="str">
        <v>CNG</v>
      </c>
      <c r="I358">
        <v>4</v>
      </c>
      <c r="J358">
        <v>8</v>
      </c>
      <c r="K358">
        <v>25000</v>
      </c>
      <c r="L358">
        <v>1000</v>
      </c>
      <c r="M358">
        <v>55</v>
      </c>
      <c r="N358">
        <v>31</v>
      </c>
      <c r="O358" t="str">
        <v>PUN01 NC Cluster 15</v>
      </c>
      <c r="P358">
        <v>0</v>
      </c>
      <c r="Q358">
        <v>8.7500000000000008E-2</v>
      </c>
      <c r="R358">
        <v>0.17608796296296295</v>
      </c>
      <c r="S358">
        <v>88968</v>
      </c>
      <c r="T358">
        <v>0</v>
      </c>
      <c r="U358">
        <v>0</v>
      </c>
      <c r="V358">
        <v>88968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806.45</v>
      </c>
      <c r="AK358">
        <v>0</v>
      </c>
      <c r="AL358">
        <v>806.45</v>
      </c>
      <c r="AM358">
        <v>0</v>
      </c>
      <c r="AN358">
        <v>0</v>
      </c>
      <c r="AO358">
        <v>0</v>
      </c>
    </row>
    <row r="359" spans="1:41">
      <c r="A359">
        <v>358</v>
      </c>
      <c r="B359" s="42">
        <v>45946</v>
      </c>
      <c r="C359" t="str">
        <v>HINJEWADI</v>
      </c>
      <c r="D359" t="str">
        <v>SLK1</v>
      </c>
      <c r="E359" t="str">
        <v>SHADOWFAX TECHNOLOGIES PRIVATE LIMITED</v>
      </c>
      <c r="F359" t="str">
        <v>MH14KA6513</v>
      </c>
      <c r="G359" t="str">
        <v>ACE</v>
      </c>
      <c r="H359" t="str">
        <v>CNG</v>
      </c>
      <c r="I359">
        <v>6</v>
      </c>
      <c r="J359">
        <v>8</v>
      </c>
      <c r="K359">
        <v>33000</v>
      </c>
      <c r="L359">
        <v>2000</v>
      </c>
      <c r="M359">
        <v>55</v>
      </c>
      <c r="N359">
        <v>31</v>
      </c>
      <c r="O359" t="str">
        <v>PUN01 NC Cluster 300</v>
      </c>
      <c r="P359">
        <v>0</v>
      </c>
      <c r="Q359">
        <v>0.10902777777777778</v>
      </c>
      <c r="R359">
        <v>0.15898148148148147</v>
      </c>
      <c r="S359">
        <v>48028</v>
      </c>
      <c r="T359">
        <v>0.33354166666666668</v>
      </c>
      <c r="U359">
        <v>0.33395833333333336</v>
      </c>
      <c r="V359">
        <v>48125</v>
      </c>
      <c r="W359">
        <v>27</v>
      </c>
      <c r="X359">
        <v>58</v>
      </c>
      <c r="Y359">
        <v>-31</v>
      </c>
      <c r="Z359">
        <v>97</v>
      </c>
      <c r="AA359">
        <v>97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1064.52</v>
      </c>
      <c r="AK359">
        <v>0</v>
      </c>
      <c r="AL359">
        <v>1064.52</v>
      </c>
      <c r="AM359">
        <v>0</v>
      </c>
      <c r="AN359">
        <v>0</v>
      </c>
      <c r="AO359">
        <v>0</v>
      </c>
    </row>
    <row r="360" spans="1:41">
      <c r="A360">
        <v>359</v>
      </c>
      <c r="B360" s="42">
        <v>45946</v>
      </c>
      <c r="C360" t="str">
        <v>HINJEWADI</v>
      </c>
      <c r="D360" t="str">
        <v>SLK1</v>
      </c>
      <c r="E360" t="str">
        <v>SHADOWFAX TECHNOLOGIES PRIVATE LIMITED</v>
      </c>
      <c r="F360" t="str">
        <v>MH14LB4598</v>
      </c>
      <c r="G360" t="str">
        <v>ACE</v>
      </c>
      <c r="H360" t="str">
        <v>CNG</v>
      </c>
      <c r="I360">
        <v>4</v>
      </c>
      <c r="J360">
        <v>8</v>
      </c>
      <c r="K360">
        <v>25000</v>
      </c>
      <c r="L360">
        <v>1000</v>
      </c>
      <c r="M360">
        <v>55</v>
      </c>
      <c r="N360">
        <v>31</v>
      </c>
      <c r="O360" t="str">
        <v>PUN01 NC Cluster 93</v>
      </c>
      <c r="P360">
        <v>0</v>
      </c>
      <c r="Q360">
        <v>4.8611111111111112E-2</v>
      </c>
      <c r="R360">
        <v>0.17961805555555554</v>
      </c>
      <c r="S360">
        <v>66157</v>
      </c>
      <c r="T360">
        <v>0.34835648148148146</v>
      </c>
      <c r="U360">
        <v>0.34847222222222224</v>
      </c>
      <c r="V360">
        <v>66169</v>
      </c>
      <c r="W360">
        <v>28</v>
      </c>
      <c r="X360">
        <v>36</v>
      </c>
      <c r="Y360">
        <v>-8</v>
      </c>
      <c r="Z360">
        <v>12</v>
      </c>
      <c r="AA360">
        <v>12</v>
      </c>
      <c r="AB360">
        <v>0</v>
      </c>
      <c r="AC360">
        <v>0</v>
      </c>
      <c r="AD360">
        <v>1</v>
      </c>
      <c r="AE360">
        <v>150</v>
      </c>
      <c r="AF360">
        <v>0</v>
      </c>
      <c r="AG360">
        <v>0</v>
      </c>
      <c r="AH360">
        <v>0</v>
      </c>
      <c r="AI360">
        <v>0</v>
      </c>
      <c r="AJ360">
        <v>956.45</v>
      </c>
      <c r="AK360">
        <v>0</v>
      </c>
      <c r="AL360">
        <v>956.45</v>
      </c>
      <c r="AM360">
        <v>0</v>
      </c>
      <c r="AN360">
        <v>0</v>
      </c>
      <c r="AO360">
        <v>0</v>
      </c>
    </row>
    <row r="361" spans="1:41">
      <c r="A361">
        <v>360</v>
      </c>
      <c r="B361" s="42">
        <v>45946</v>
      </c>
      <c r="C361" t="str">
        <v>HINJEWADI</v>
      </c>
      <c r="D361" t="str">
        <v>SLK1</v>
      </c>
      <c r="E361" t="str">
        <v>SHADOWFAX TECHNOLOGIES PRIVATE LIMITED</v>
      </c>
      <c r="F361" t="str">
        <v>MH14LB6751</v>
      </c>
      <c r="G361" t="str">
        <v>ACE</v>
      </c>
      <c r="H361" t="str">
        <v>CNG</v>
      </c>
      <c r="I361">
        <v>4</v>
      </c>
      <c r="J361">
        <v>8</v>
      </c>
      <c r="K361">
        <v>25000</v>
      </c>
      <c r="L361">
        <v>1000</v>
      </c>
      <c r="M361">
        <v>55</v>
      </c>
      <c r="N361">
        <v>31</v>
      </c>
      <c r="O361" t="str">
        <v>PUN01 NC Cluster 42</v>
      </c>
      <c r="P361">
        <v>0</v>
      </c>
      <c r="Q361">
        <v>5.347222222222222E-2</v>
      </c>
      <c r="R361">
        <v>0.15525462962962963</v>
      </c>
      <c r="S361">
        <v>83969</v>
      </c>
      <c r="T361">
        <v>0.29123842592592591</v>
      </c>
      <c r="U361">
        <v>0.29180555555555554</v>
      </c>
      <c r="V361">
        <v>83986</v>
      </c>
      <c r="W361">
        <v>37</v>
      </c>
      <c r="X361">
        <v>48</v>
      </c>
      <c r="Y361">
        <v>-11</v>
      </c>
      <c r="Z361">
        <v>17</v>
      </c>
      <c r="AA361">
        <v>17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806.45</v>
      </c>
      <c r="AK361">
        <v>0</v>
      </c>
      <c r="AL361">
        <v>806.45</v>
      </c>
      <c r="AM361">
        <v>0</v>
      </c>
      <c r="AN361">
        <v>0</v>
      </c>
      <c r="AO361">
        <v>0</v>
      </c>
    </row>
    <row r="362" spans="1:41">
      <c r="A362">
        <v>361</v>
      </c>
      <c r="B362" s="42">
        <v>45946</v>
      </c>
      <c r="C362" t="str">
        <v>HINJEWADI</v>
      </c>
      <c r="D362" t="str">
        <v>SLK1</v>
      </c>
      <c r="E362" t="str">
        <v>SHADOWFAX TECHNOLOGIES PRIVATE LIMITED</v>
      </c>
      <c r="F362" t="str">
        <v>MH14LL5974</v>
      </c>
      <c r="G362" t="str">
        <v>ACE</v>
      </c>
      <c r="H362" t="str">
        <v>CNG</v>
      </c>
      <c r="I362">
        <v>4</v>
      </c>
      <c r="J362">
        <v>8</v>
      </c>
      <c r="K362">
        <v>25000</v>
      </c>
      <c r="L362">
        <v>1000</v>
      </c>
      <c r="M362">
        <v>55</v>
      </c>
      <c r="N362">
        <v>31</v>
      </c>
      <c r="O362" t="str">
        <v>PUN01 NC Cluster 149</v>
      </c>
      <c r="P362">
        <v>0</v>
      </c>
      <c r="Q362">
        <v>9.0972222222222218E-2</v>
      </c>
      <c r="R362">
        <v>0.16484953703703703</v>
      </c>
      <c r="S362">
        <v>36930</v>
      </c>
      <c r="T362">
        <v>0.30100694444444448</v>
      </c>
      <c r="U362">
        <v>0.30111111111111111</v>
      </c>
      <c r="V362">
        <v>36959</v>
      </c>
      <c r="W362">
        <v>40</v>
      </c>
      <c r="X362">
        <v>42</v>
      </c>
      <c r="Y362">
        <v>-2</v>
      </c>
      <c r="Z362">
        <v>29</v>
      </c>
      <c r="AA362">
        <v>29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806.45</v>
      </c>
      <c r="AK362">
        <v>0</v>
      </c>
      <c r="AL362">
        <v>806.45</v>
      </c>
      <c r="AM362">
        <v>0</v>
      </c>
      <c r="AN362">
        <v>0</v>
      </c>
      <c r="AO362">
        <v>0</v>
      </c>
    </row>
    <row r="363" spans="1:41">
      <c r="A363">
        <v>362</v>
      </c>
      <c r="B363" s="42">
        <v>45946</v>
      </c>
      <c r="C363" t="str">
        <v>HINJEWADI</v>
      </c>
      <c r="D363" t="str">
        <v>SLK1</v>
      </c>
      <c r="E363" t="str">
        <v>SHADOWFAX TECHNOLOGIES PRIVATE LIMITED</v>
      </c>
      <c r="F363" t="str">
        <v>MH14LL6836</v>
      </c>
      <c r="G363" t="str">
        <v>ACE</v>
      </c>
      <c r="H363" t="str">
        <v>CNG</v>
      </c>
      <c r="I363">
        <v>6</v>
      </c>
      <c r="J363">
        <v>8</v>
      </c>
      <c r="K363">
        <v>33000</v>
      </c>
      <c r="L363">
        <v>2000</v>
      </c>
      <c r="M363">
        <v>55</v>
      </c>
      <c r="N363">
        <v>31</v>
      </c>
      <c r="O363" t="str">
        <v>PUN01 NC Cluster 303</v>
      </c>
      <c r="P363">
        <v>0</v>
      </c>
      <c r="Q363">
        <v>4.9305555555555554E-2</v>
      </c>
      <c r="R363">
        <v>0.15958333333333333</v>
      </c>
      <c r="S363">
        <v>33765</v>
      </c>
      <c r="T363">
        <v>0.34527777777777779</v>
      </c>
      <c r="U363">
        <v>0.34563657407407405</v>
      </c>
      <c r="V363">
        <v>33837</v>
      </c>
      <c r="W363">
        <v>29</v>
      </c>
      <c r="X363">
        <v>37</v>
      </c>
      <c r="Y363">
        <v>-8</v>
      </c>
      <c r="Z363">
        <v>72</v>
      </c>
      <c r="AA363">
        <v>72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1064.52</v>
      </c>
      <c r="AK363">
        <v>0</v>
      </c>
      <c r="AL363">
        <v>1064.52</v>
      </c>
      <c r="AM363">
        <v>0</v>
      </c>
      <c r="AN363">
        <v>0</v>
      </c>
      <c r="AO363">
        <v>0</v>
      </c>
    </row>
    <row r="364" spans="1:41">
      <c r="A364">
        <v>363</v>
      </c>
      <c r="B364" s="42">
        <v>45946</v>
      </c>
      <c r="C364" t="str">
        <v>HINJEWADI</v>
      </c>
      <c r="D364" t="str">
        <v>SLK1</v>
      </c>
      <c r="E364" t="str">
        <v>SHADOWFAX TECHNOLOGIES PRIVATE LIMITED</v>
      </c>
      <c r="F364" t="str">
        <v>MH14LX6360</v>
      </c>
      <c r="G364" t="str">
        <v>ACE</v>
      </c>
      <c r="H364" t="str">
        <v>CNG</v>
      </c>
      <c r="I364">
        <v>4</v>
      </c>
      <c r="J364">
        <v>8</v>
      </c>
      <c r="K364">
        <v>25000</v>
      </c>
      <c r="L364">
        <v>1000</v>
      </c>
      <c r="M364">
        <v>55</v>
      </c>
      <c r="N364">
        <v>31</v>
      </c>
      <c r="O364" t="str">
        <v>PUN01 NC Cluster 37</v>
      </c>
      <c r="P364">
        <v>0</v>
      </c>
      <c r="Q364">
        <v>5.4166666666666669E-2</v>
      </c>
      <c r="R364">
        <v>0.15756944444444446</v>
      </c>
      <c r="S364">
        <v>38759</v>
      </c>
      <c r="T364">
        <v>0.29422453703703705</v>
      </c>
      <c r="U364">
        <v>0.29432870370370373</v>
      </c>
      <c r="V364">
        <v>38773</v>
      </c>
      <c r="W364">
        <v>38</v>
      </c>
      <c r="X364">
        <v>38</v>
      </c>
      <c r="Y364">
        <v>0</v>
      </c>
      <c r="Z364">
        <v>14</v>
      </c>
      <c r="AA364">
        <v>14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806.45</v>
      </c>
      <c r="AK364">
        <v>0</v>
      </c>
      <c r="AL364">
        <v>806.45</v>
      </c>
      <c r="AM364">
        <v>0</v>
      </c>
      <c r="AN364">
        <v>0</v>
      </c>
      <c r="AO364">
        <v>0</v>
      </c>
    </row>
    <row r="365" spans="1:41">
      <c r="A365">
        <v>364</v>
      </c>
      <c r="B365" s="42">
        <v>45946</v>
      </c>
      <c r="C365" t="str">
        <v>HINJEWADI</v>
      </c>
      <c r="D365" t="str">
        <v>SLK1</v>
      </c>
      <c r="E365" t="str">
        <v>SHADOWFAX TECHNOLOGIES PRIVATE LIMITED</v>
      </c>
      <c r="F365" t="str">
        <v>MH14MH6374</v>
      </c>
      <c r="G365" t="str">
        <v>ACE</v>
      </c>
      <c r="H365" t="str">
        <v>CNG</v>
      </c>
      <c r="I365">
        <v>4</v>
      </c>
      <c r="J365">
        <v>8</v>
      </c>
      <c r="K365">
        <v>25000</v>
      </c>
      <c r="L365">
        <v>1000</v>
      </c>
      <c r="M365">
        <v>55</v>
      </c>
      <c r="N365">
        <v>31</v>
      </c>
      <c r="O365" t="str">
        <v>PUN01 NC Cluster 201</v>
      </c>
      <c r="P365">
        <v>0</v>
      </c>
      <c r="Q365">
        <v>5.5555555555555552E-2</v>
      </c>
      <c r="R365">
        <v>0.15368055555555557</v>
      </c>
      <c r="S365">
        <v>7436</v>
      </c>
      <c r="T365">
        <v>0.30209490740740741</v>
      </c>
      <c r="U365">
        <v>0.3021875</v>
      </c>
      <c r="V365">
        <v>7466</v>
      </c>
      <c r="W365">
        <v>38</v>
      </c>
      <c r="X365">
        <v>33</v>
      </c>
      <c r="Y365">
        <v>5</v>
      </c>
      <c r="Z365">
        <v>30</v>
      </c>
      <c r="AA365">
        <v>30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806.45</v>
      </c>
      <c r="AK365">
        <v>0</v>
      </c>
      <c r="AL365">
        <v>806.45</v>
      </c>
      <c r="AM365">
        <v>0</v>
      </c>
      <c r="AN365">
        <v>0</v>
      </c>
      <c r="AO365">
        <v>0</v>
      </c>
    </row>
    <row r="366" spans="1:41">
      <c r="A366">
        <v>365</v>
      </c>
      <c r="B366" s="42">
        <v>45946</v>
      </c>
      <c r="C366" t="str">
        <v>HINJEWADI</v>
      </c>
      <c r="D366" t="str">
        <v>SLK1</v>
      </c>
      <c r="E366" t="str">
        <v>SHADOWFAX TECHNOLOGIES PRIVATE LIMITED</v>
      </c>
      <c r="F366" t="str">
        <v>MH14MH8276</v>
      </c>
      <c r="G366" t="str">
        <v>ACE</v>
      </c>
      <c r="H366" t="str">
        <v>CNG</v>
      </c>
      <c r="I366">
        <v>4</v>
      </c>
      <c r="J366">
        <v>8</v>
      </c>
      <c r="K366">
        <v>25000</v>
      </c>
      <c r="L366">
        <v>1000</v>
      </c>
      <c r="M366">
        <v>55</v>
      </c>
      <c r="N366">
        <v>31</v>
      </c>
      <c r="O366" t="str">
        <v>PUN01 NC Cluster 38</v>
      </c>
      <c r="P366">
        <v>0</v>
      </c>
      <c r="Q366">
        <v>5.2777777777777778E-2</v>
      </c>
      <c r="R366">
        <v>0.15440972222222224</v>
      </c>
      <c r="S366">
        <v>5104</v>
      </c>
      <c r="T366">
        <v>0.29452546296296295</v>
      </c>
      <c r="U366">
        <v>0.2945949074074074</v>
      </c>
      <c r="V366">
        <v>5120</v>
      </c>
      <c r="W366">
        <v>40</v>
      </c>
      <c r="X366">
        <v>48</v>
      </c>
      <c r="Y366">
        <v>-8</v>
      </c>
      <c r="Z366">
        <v>16</v>
      </c>
      <c r="AA366">
        <v>16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806.45</v>
      </c>
      <c r="AK366">
        <v>0</v>
      </c>
      <c r="AL366">
        <v>806.45</v>
      </c>
      <c r="AM366">
        <v>0</v>
      </c>
      <c r="AN366">
        <v>0</v>
      </c>
      <c r="AO366">
        <v>0</v>
      </c>
    </row>
    <row r="367" spans="1:41">
      <c r="A367">
        <v>366</v>
      </c>
      <c r="B367" s="42">
        <v>45946</v>
      </c>
      <c r="C367" t="str">
        <v>HINJEWADI</v>
      </c>
      <c r="D367" t="str">
        <v>SLK1</v>
      </c>
      <c r="E367" t="str">
        <v>SHADOWFAX TECHNOLOGIES PRIVATE LIMITED</v>
      </c>
      <c r="F367" t="str">
        <v>MH20GC8804</v>
      </c>
      <c r="G367" t="str">
        <v>ACE</v>
      </c>
      <c r="H367" t="str">
        <v>CNG</v>
      </c>
      <c r="I367">
        <v>4</v>
      </c>
      <c r="J367">
        <v>8</v>
      </c>
      <c r="K367">
        <v>25000</v>
      </c>
      <c r="L367">
        <v>1000</v>
      </c>
      <c r="M367">
        <v>55</v>
      </c>
      <c r="N367">
        <v>31</v>
      </c>
      <c r="O367" t="str">
        <v>PUN01 NC Cluster 23</v>
      </c>
      <c r="P367">
        <v>0</v>
      </c>
      <c r="Q367">
        <v>0.11458333333333333</v>
      </c>
      <c r="R367">
        <v>0.17203703703703702</v>
      </c>
      <c r="S367">
        <v>41524</v>
      </c>
      <c r="T367">
        <v>0.31737268518518519</v>
      </c>
      <c r="U367">
        <v>0.31747685185185187</v>
      </c>
      <c r="V367">
        <v>41542</v>
      </c>
      <c r="W367">
        <v>36</v>
      </c>
      <c r="X367">
        <v>30</v>
      </c>
      <c r="Y367">
        <v>6</v>
      </c>
      <c r="Z367">
        <v>18</v>
      </c>
      <c r="AA367">
        <v>18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806.45</v>
      </c>
      <c r="AK367">
        <v>0</v>
      </c>
      <c r="AL367">
        <v>806.45</v>
      </c>
      <c r="AM367">
        <v>0</v>
      </c>
      <c r="AN367">
        <v>0</v>
      </c>
      <c r="AO367">
        <v>0</v>
      </c>
    </row>
    <row r="368" spans="1:41">
      <c r="A368">
        <v>367</v>
      </c>
      <c r="B368" s="42">
        <v>45946</v>
      </c>
      <c r="C368" t="str">
        <v>HINJEWADI</v>
      </c>
      <c r="D368" t="str">
        <v>SLK1</v>
      </c>
      <c r="E368" t="str">
        <v>SHADOWFAX TECHNOLOGIES PRIVATE LIMITED</v>
      </c>
      <c r="F368" t="str">
        <v>MH14LL4513</v>
      </c>
      <c r="G368" t="str">
        <v>BOLERO</v>
      </c>
      <c r="H368" t="str">
        <v>DIESEL</v>
      </c>
      <c r="I368">
        <v>4</v>
      </c>
      <c r="J368">
        <v>10</v>
      </c>
      <c r="K368">
        <v>29000</v>
      </c>
      <c r="L368">
        <v>1000</v>
      </c>
      <c r="M368">
        <v>55</v>
      </c>
      <c r="N368">
        <v>31</v>
      </c>
      <c r="O368" t="str">
        <v>PUN01 NC Cluster 73</v>
      </c>
      <c r="P368">
        <v>0</v>
      </c>
      <c r="Q368">
        <v>0.12430555555555556</v>
      </c>
      <c r="R368">
        <v>0.15943287037037038</v>
      </c>
      <c r="S368">
        <v>32982</v>
      </c>
      <c r="T368">
        <v>0.35584490740740743</v>
      </c>
      <c r="U368">
        <v>0.35604166666666665</v>
      </c>
      <c r="V368">
        <v>32991</v>
      </c>
      <c r="W368">
        <v>33</v>
      </c>
      <c r="X368">
        <v>69</v>
      </c>
      <c r="Y368">
        <v>-36</v>
      </c>
      <c r="Z368">
        <v>9</v>
      </c>
      <c r="AA368">
        <v>9</v>
      </c>
      <c r="AB368">
        <v>0</v>
      </c>
      <c r="AC368">
        <v>0</v>
      </c>
      <c r="AD368">
        <v>1</v>
      </c>
      <c r="AE368">
        <v>150</v>
      </c>
      <c r="AF368">
        <v>0</v>
      </c>
      <c r="AG368">
        <v>0</v>
      </c>
      <c r="AH368">
        <v>0</v>
      </c>
      <c r="AI368">
        <v>0</v>
      </c>
      <c r="AJ368">
        <v>1085.48</v>
      </c>
      <c r="AK368">
        <v>0</v>
      </c>
      <c r="AL368">
        <v>1085.48</v>
      </c>
      <c r="AM368">
        <v>0</v>
      </c>
      <c r="AN368">
        <v>0</v>
      </c>
      <c r="AO368">
        <v>0</v>
      </c>
    </row>
    <row r="369" spans="1:41">
      <c r="A369">
        <v>368</v>
      </c>
      <c r="B369" s="42">
        <v>45946</v>
      </c>
      <c r="C369" t="str">
        <v>HINJEWADI</v>
      </c>
      <c r="D369" t="str">
        <v>SLK1</v>
      </c>
      <c r="E369" t="str">
        <v>SHADOWFAX TECHNOLOGIES PRIVATE LIMITED</v>
      </c>
      <c r="F369" t="str">
        <v>MH14LX4839</v>
      </c>
      <c r="G369" t="str">
        <v>BOLERO</v>
      </c>
      <c r="H369" t="str">
        <v>DIESEL</v>
      </c>
      <c r="I369">
        <v>4</v>
      </c>
      <c r="J369">
        <v>10</v>
      </c>
      <c r="K369">
        <v>29000</v>
      </c>
      <c r="L369">
        <v>1000</v>
      </c>
      <c r="M369">
        <v>55</v>
      </c>
      <c r="N369">
        <v>31</v>
      </c>
      <c r="O369" t="str">
        <v>PUN01 NC Cluster 25</v>
      </c>
      <c r="P369">
        <v>0</v>
      </c>
      <c r="Q369">
        <v>6.1111111111111116E-2</v>
      </c>
      <c r="R369">
        <v>0.16211805555555556</v>
      </c>
      <c r="S369">
        <v>38968</v>
      </c>
      <c r="T369">
        <v>0.35250000000000004</v>
      </c>
      <c r="U369">
        <v>0.35385416666666664</v>
      </c>
      <c r="V369">
        <v>38997</v>
      </c>
      <c r="W369">
        <v>29</v>
      </c>
      <c r="X369">
        <v>65</v>
      </c>
      <c r="Y369">
        <v>-36</v>
      </c>
      <c r="Z369">
        <v>29</v>
      </c>
      <c r="AA369">
        <v>29</v>
      </c>
      <c r="AB369">
        <v>0</v>
      </c>
      <c r="AC369">
        <v>0</v>
      </c>
      <c r="AD369">
        <v>1</v>
      </c>
      <c r="AE369">
        <v>150</v>
      </c>
      <c r="AF369">
        <v>0</v>
      </c>
      <c r="AG369">
        <v>0</v>
      </c>
      <c r="AH369">
        <v>0</v>
      </c>
      <c r="AI369">
        <v>0</v>
      </c>
      <c r="AJ369">
        <v>1085.48</v>
      </c>
      <c r="AK369">
        <v>0</v>
      </c>
      <c r="AL369">
        <v>1085.48</v>
      </c>
      <c r="AM369">
        <v>0</v>
      </c>
      <c r="AN369">
        <v>0</v>
      </c>
      <c r="AO369">
        <v>0</v>
      </c>
    </row>
    <row r="370" spans="1:41">
      <c r="A370">
        <v>369</v>
      </c>
      <c r="B370" s="42">
        <v>45946</v>
      </c>
      <c r="C370" t="str">
        <v>HINJEWADI</v>
      </c>
      <c r="D370" t="str">
        <v>SLK1</v>
      </c>
      <c r="E370" t="str">
        <v>SHADOWFAX TECHNOLOGIES PRIVATE LIMITED</v>
      </c>
      <c r="F370" t="str">
        <v>MH14MH7322</v>
      </c>
      <c r="G370" t="str">
        <v>BOLERO</v>
      </c>
      <c r="H370" t="str">
        <v>DIESEL</v>
      </c>
      <c r="I370">
        <v>4</v>
      </c>
      <c r="J370">
        <v>10</v>
      </c>
      <c r="K370">
        <v>29000</v>
      </c>
      <c r="L370">
        <v>1000</v>
      </c>
      <c r="M370">
        <v>55</v>
      </c>
      <c r="N370">
        <v>31</v>
      </c>
      <c r="O370" t="str">
        <v>PUN01 NC Cluster 101</v>
      </c>
      <c r="P370">
        <v>0</v>
      </c>
      <c r="Q370">
        <v>9.5138888888888884E-2</v>
      </c>
      <c r="R370">
        <v>0.16658564814814816</v>
      </c>
      <c r="S370">
        <v>3247</v>
      </c>
      <c r="T370">
        <v>0.32412037037037039</v>
      </c>
      <c r="U370">
        <v>0.32427083333333334</v>
      </c>
      <c r="V370">
        <v>3271</v>
      </c>
      <c r="W370">
        <v>47</v>
      </c>
      <c r="X370">
        <v>68</v>
      </c>
      <c r="Y370">
        <v>-21</v>
      </c>
      <c r="Z370">
        <v>24</v>
      </c>
      <c r="AA370">
        <v>24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935.48</v>
      </c>
      <c r="AK370">
        <v>0</v>
      </c>
      <c r="AL370">
        <v>935.48</v>
      </c>
      <c r="AM370">
        <v>0</v>
      </c>
      <c r="AN370">
        <v>0</v>
      </c>
      <c r="AO370">
        <v>0</v>
      </c>
    </row>
    <row r="371" spans="1:41">
      <c r="A371">
        <v>370</v>
      </c>
      <c r="B371" s="42">
        <v>45946</v>
      </c>
      <c r="C371" t="str">
        <v>HINJEWADI</v>
      </c>
      <c r="D371" t="str">
        <v>SLK1</v>
      </c>
      <c r="E371" t="str">
        <v>SHADOWFAX TECHNOLOGIES PRIVATE LIMITED</v>
      </c>
      <c r="F371" t="str">
        <v>MH16CD7321</v>
      </c>
      <c r="G371" t="str">
        <v>BOLERO</v>
      </c>
      <c r="H371" t="str">
        <v>DIESEL</v>
      </c>
      <c r="I371">
        <v>4</v>
      </c>
      <c r="J371">
        <v>10</v>
      </c>
      <c r="K371">
        <v>29000</v>
      </c>
      <c r="L371">
        <v>1000</v>
      </c>
      <c r="M371">
        <v>55</v>
      </c>
      <c r="N371">
        <v>31</v>
      </c>
      <c r="O371" t="str">
        <v>PUN01 NC Cluster 126</v>
      </c>
      <c r="P371">
        <v>0</v>
      </c>
      <c r="Q371">
        <v>9.1666666666666674E-2</v>
      </c>
      <c r="R371">
        <v>0.16560185185185186</v>
      </c>
      <c r="S371">
        <v>139257</v>
      </c>
      <c r="T371">
        <v>0.29545138888888889</v>
      </c>
      <c r="U371">
        <v>0.2955787037037037</v>
      </c>
      <c r="V371">
        <v>139295</v>
      </c>
      <c r="W371">
        <v>60</v>
      </c>
      <c r="X371">
        <v>28</v>
      </c>
      <c r="Y371">
        <v>32</v>
      </c>
      <c r="Z371">
        <v>38</v>
      </c>
      <c r="AA371">
        <v>38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935.48</v>
      </c>
      <c r="AK371">
        <v>0</v>
      </c>
      <c r="AL371">
        <v>935.48</v>
      </c>
      <c r="AM371">
        <v>0</v>
      </c>
      <c r="AN371">
        <v>0</v>
      </c>
      <c r="AO371">
        <v>0</v>
      </c>
    </row>
    <row r="372" spans="1:41">
      <c r="A372">
        <v>371</v>
      </c>
      <c r="B372" s="42">
        <v>45947</v>
      </c>
      <c r="C372" t="str">
        <v>HINJEWADI</v>
      </c>
      <c r="D372" t="str">
        <v>SLK1</v>
      </c>
      <c r="E372" t="str">
        <v>SHADOWFAX TECHNOLOGIES PRIVATE LIMITED</v>
      </c>
      <c r="F372" t="str">
        <v>MH03AH8989</v>
      </c>
      <c r="G372" t="str">
        <v>ACE</v>
      </c>
      <c r="H372" t="str">
        <v>CNG</v>
      </c>
      <c r="I372">
        <v>4</v>
      </c>
      <c r="J372">
        <v>8</v>
      </c>
      <c r="K372">
        <v>25000</v>
      </c>
      <c r="L372">
        <v>1000</v>
      </c>
      <c r="M372">
        <v>55</v>
      </c>
      <c r="N372">
        <v>31</v>
      </c>
      <c r="O372" t="str">
        <v>PUN01 NC Cluster 1</v>
      </c>
      <c r="P372">
        <v>0</v>
      </c>
      <c r="Q372">
        <v>4.2361111111111106E-2</v>
      </c>
      <c r="R372">
        <v>0.19244212962962962</v>
      </c>
      <c r="S372">
        <v>57397</v>
      </c>
      <c r="T372">
        <v>0.33700231481481485</v>
      </c>
      <c r="U372">
        <v>0.33707175925925931</v>
      </c>
      <c r="V372">
        <v>57403</v>
      </c>
      <c r="W372">
        <v>40</v>
      </c>
      <c r="X372">
        <v>40</v>
      </c>
      <c r="Y372">
        <v>0</v>
      </c>
      <c r="Z372">
        <v>6</v>
      </c>
      <c r="AA372">
        <v>6</v>
      </c>
      <c r="AB372">
        <v>0</v>
      </c>
      <c r="AC372">
        <v>0</v>
      </c>
      <c r="AD372">
        <v>1</v>
      </c>
      <c r="AE372">
        <v>150</v>
      </c>
      <c r="AF372">
        <v>0</v>
      </c>
      <c r="AG372">
        <v>0</v>
      </c>
      <c r="AH372">
        <v>0</v>
      </c>
      <c r="AI372">
        <v>0</v>
      </c>
      <c r="AJ372">
        <v>956.45</v>
      </c>
      <c r="AK372">
        <v>0</v>
      </c>
      <c r="AL372">
        <v>956.45</v>
      </c>
      <c r="AM372">
        <v>0</v>
      </c>
      <c r="AN372">
        <v>0</v>
      </c>
      <c r="AO372">
        <v>0</v>
      </c>
    </row>
    <row r="373" spans="1:41">
      <c r="A373">
        <v>372</v>
      </c>
      <c r="B373" s="42">
        <v>45947</v>
      </c>
      <c r="C373" t="str">
        <v>HINJEWADI</v>
      </c>
      <c r="D373" t="str">
        <v>SLK1</v>
      </c>
      <c r="E373" t="str">
        <v>SHADOWFAX TECHNOLOGIES PRIVATE LIMITED</v>
      </c>
      <c r="F373" t="str">
        <v>MH12SF9859</v>
      </c>
      <c r="G373" t="str">
        <v>ACE</v>
      </c>
      <c r="H373" t="str">
        <v>CNG</v>
      </c>
      <c r="I373">
        <v>4</v>
      </c>
      <c r="J373">
        <v>8</v>
      </c>
      <c r="K373">
        <v>25000</v>
      </c>
      <c r="L373">
        <v>1000</v>
      </c>
      <c r="M373">
        <v>55</v>
      </c>
      <c r="N373">
        <v>31</v>
      </c>
      <c r="O373" t="str">
        <v>PUN01 NC Cluster 5</v>
      </c>
      <c r="P373">
        <v>0</v>
      </c>
      <c r="Q373">
        <v>4.7916666666666663E-2</v>
      </c>
      <c r="R373">
        <v>0.19753472222222224</v>
      </c>
      <c r="S373">
        <v>110516</v>
      </c>
      <c r="T373">
        <v>0.28590277777777778</v>
      </c>
      <c r="U373">
        <v>0.28600694444444447</v>
      </c>
      <c r="V373">
        <v>110529</v>
      </c>
      <c r="W373">
        <v>27</v>
      </c>
      <c r="X373">
        <v>27</v>
      </c>
      <c r="Y373">
        <v>0</v>
      </c>
      <c r="Z373">
        <v>13</v>
      </c>
      <c r="AA373">
        <v>13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806.45</v>
      </c>
      <c r="AK373">
        <v>0</v>
      </c>
      <c r="AL373">
        <v>806.45</v>
      </c>
      <c r="AM373">
        <v>0</v>
      </c>
      <c r="AN373">
        <v>0</v>
      </c>
      <c r="AO373">
        <v>0</v>
      </c>
    </row>
    <row r="374" spans="1:41">
      <c r="A374">
        <v>373</v>
      </c>
      <c r="B374" s="42">
        <v>45947</v>
      </c>
      <c r="C374" t="str">
        <v>HINJEWADI</v>
      </c>
      <c r="D374" t="str">
        <v>SLK1</v>
      </c>
      <c r="E374" t="str">
        <v>SHADOWFAX TECHNOLOGIES PRIVATE LIMITED</v>
      </c>
      <c r="F374" t="str">
        <v>MH12WX6236</v>
      </c>
      <c r="G374" t="str">
        <v>ACE</v>
      </c>
      <c r="H374" t="str">
        <v>CNG</v>
      </c>
      <c r="I374">
        <v>4</v>
      </c>
      <c r="J374">
        <v>8</v>
      </c>
      <c r="K374">
        <v>25000</v>
      </c>
      <c r="L374">
        <v>1000</v>
      </c>
      <c r="M374">
        <v>55</v>
      </c>
      <c r="N374">
        <v>31</v>
      </c>
      <c r="O374" t="str">
        <v>PUN01 NC Cluster 8A</v>
      </c>
      <c r="P374">
        <v>0</v>
      </c>
      <c r="Q374">
        <v>4.7916666666666663E-2</v>
      </c>
      <c r="R374">
        <v>0.19680555555555557</v>
      </c>
      <c r="S374">
        <v>38382</v>
      </c>
      <c r="T374">
        <v>0.28422453703703704</v>
      </c>
      <c r="U374">
        <v>0.28528935185185184</v>
      </c>
      <c r="V374">
        <v>38392</v>
      </c>
      <c r="W374">
        <v>34</v>
      </c>
      <c r="X374">
        <v>34</v>
      </c>
      <c r="Y374">
        <v>0</v>
      </c>
      <c r="Z374">
        <v>10</v>
      </c>
      <c r="AA374">
        <v>10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806.45</v>
      </c>
      <c r="AK374">
        <v>0</v>
      </c>
      <c r="AL374">
        <v>806.45</v>
      </c>
      <c r="AM374">
        <v>0</v>
      </c>
      <c r="AN374">
        <v>0</v>
      </c>
      <c r="AO374">
        <v>0</v>
      </c>
    </row>
    <row r="375" spans="1:41">
      <c r="A375">
        <v>374</v>
      </c>
      <c r="B375" s="42">
        <v>45947</v>
      </c>
      <c r="C375" t="str">
        <v>HINJEWADI</v>
      </c>
      <c r="D375" t="str">
        <v>SLK1</v>
      </c>
      <c r="E375" t="str">
        <v>SHADOWFAX TECHNOLOGIES PRIVATE LIMITED</v>
      </c>
      <c r="F375" t="str">
        <v>MH12XM2801</v>
      </c>
      <c r="G375" t="str">
        <v>ACE</v>
      </c>
      <c r="H375" t="str">
        <v>CNG</v>
      </c>
      <c r="I375">
        <v>4</v>
      </c>
      <c r="J375">
        <v>8</v>
      </c>
      <c r="K375">
        <v>25000</v>
      </c>
      <c r="L375">
        <v>1000</v>
      </c>
      <c r="M375">
        <v>55</v>
      </c>
      <c r="N375">
        <v>31</v>
      </c>
      <c r="O375" t="str">
        <v>PUN01 NC Cluster 37</v>
      </c>
      <c r="P375">
        <v>0</v>
      </c>
      <c r="Q375">
        <v>0.11666666666666665</v>
      </c>
      <c r="R375">
        <v>0.19619212962962962</v>
      </c>
      <c r="S375">
        <v>12557</v>
      </c>
      <c r="T375">
        <v>0.29469907407407409</v>
      </c>
      <c r="U375">
        <v>0.29486111111111107</v>
      </c>
      <c r="V375">
        <v>12572</v>
      </c>
      <c r="W375">
        <v>45</v>
      </c>
      <c r="X375">
        <v>32</v>
      </c>
      <c r="Y375">
        <v>13</v>
      </c>
      <c r="Z375">
        <v>15</v>
      </c>
      <c r="AA375">
        <v>15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806.45</v>
      </c>
      <c r="AK375">
        <v>0</v>
      </c>
      <c r="AL375">
        <v>806.45</v>
      </c>
      <c r="AM375">
        <v>0</v>
      </c>
      <c r="AN375">
        <v>0</v>
      </c>
      <c r="AO375">
        <v>0</v>
      </c>
    </row>
    <row r="376" spans="1:41">
      <c r="A376">
        <v>375</v>
      </c>
      <c r="B376" s="42">
        <v>45947</v>
      </c>
      <c r="C376" t="str">
        <v>HINJEWADI</v>
      </c>
      <c r="D376" t="str">
        <v>SLK1</v>
      </c>
      <c r="E376" t="str">
        <v>SHADOWFAX TECHNOLOGIES PRIVATE LIMITED</v>
      </c>
      <c r="F376" t="str">
        <v>MH14CP4610</v>
      </c>
      <c r="G376" t="str">
        <v>ACE</v>
      </c>
      <c r="H376" t="str">
        <v>CNG</v>
      </c>
      <c r="I376">
        <v>4</v>
      </c>
      <c r="J376">
        <v>8</v>
      </c>
      <c r="K376">
        <v>25000</v>
      </c>
      <c r="L376">
        <v>1000</v>
      </c>
      <c r="M376">
        <v>55</v>
      </c>
      <c r="N376">
        <v>31</v>
      </c>
      <c r="O376" t="str">
        <v>PUN01 NC Cluster 87</v>
      </c>
      <c r="P376">
        <v>0</v>
      </c>
      <c r="Q376">
        <v>9.9999999999999992E-2</v>
      </c>
      <c r="R376">
        <v>0.19530092592592593</v>
      </c>
      <c r="S376">
        <v>145371</v>
      </c>
      <c r="T376">
        <v>0.29706018518518518</v>
      </c>
      <c r="U376">
        <v>0.29756944444444444</v>
      </c>
      <c r="V376">
        <v>145388</v>
      </c>
      <c r="W376">
        <v>26</v>
      </c>
      <c r="X376">
        <v>26</v>
      </c>
      <c r="Y376">
        <v>0</v>
      </c>
      <c r="Z376">
        <v>17</v>
      </c>
      <c r="AA376">
        <v>17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806.45</v>
      </c>
      <c r="AK376">
        <v>0</v>
      </c>
      <c r="AL376">
        <v>806.45</v>
      </c>
      <c r="AM376">
        <v>0</v>
      </c>
      <c r="AN376">
        <v>0</v>
      </c>
      <c r="AO376">
        <v>0</v>
      </c>
    </row>
    <row r="377" spans="1:41">
      <c r="A377">
        <v>376</v>
      </c>
      <c r="B377" s="42">
        <v>45947</v>
      </c>
      <c r="C377" t="str">
        <v>HINJEWADI</v>
      </c>
      <c r="D377" t="str">
        <v>SLK1</v>
      </c>
      <c r="E377" t="str">
        <v>SHADOWFAX TECHNOLOGIES PRIVATE LIMITED</v>
      </c>
      <c r="F377" t="str">
        <v>MH14EM3160</v>
      </c>
      <c r="G377" t="str">
        <v>ACE</v>
      </c>
      <c r="H377" t="str">
        <v>CNG</v>
      </c>
      <c r="I377">
        <v>4</v>
      </c>
      <c r="J377">
        <v>8</v>
      </c>
      <c r="K377">
        <v>25000</v>
      </c>
      <c r="L377">
        <v>1000</v>
      </c>
      <c r="M377">
        <v>55</v>
      </c>
      <c r="N377">
        <v>31</v>
      </c>
      <c r="O377" t="str">
        <v>PUN01 NC Cluster 13</v>
      </c>
      <c r="P377">
        <v>0</v>
      </c>
      <c r="Q377">
        <v>4.0972222222222222E-2</v>
      </c>
      <c r="R377">
        <v>0.19280092592592593</v>
      </c>
      <c r="S377">
        <v>165502</v>
      </c>
      <c r="T377">
        <v>0.32451388888888888</v>
      </c>
      <c r="U377">
        <v>0.32468750000000002</v>
      </c>
      <c r="V377">
        <v>165521</v>
      </c>
      <c r="W377">
        <v>35</v>
      </c>
      <c r="X377">
        <v>34</v>
      </c>
      <c r="Y377">
        <v>1</v>
      </c>
      <c r="Z377">
        <v>19</v>
      </c>
      <c r="AA377">
        <v>19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806.45</v>
      </c>
      <c r="AK377">
        <v>0</v>
      </c>
      <c r="AL377">
        <v>806.45</v>
      </c>
      <c r="AM377">
        <v>0</v>
      </c>
      <c r="AN377">
        <v>0</v>
      </c>
      <c r="AO377">
        <v>0</v>
      </c>
    </row>
    <row r="378" spans="1:41">
      <c r="A378">
        <v>377</v>
      </c>
      <c r="B378" s="42">
        <v>45947</v>
      </c>
      <c r="C378" t="str">
        <v>HINJEWADI</v>
      </c>
      <c r="D378" t="str">
        <v>SLK1</v>
      </c>
      <c r="E378" t="str">
        <v>SHADOWFAX TECHNOLOGIES PRIVATE LIMITED</v>
      </c>
      <c r="F378" t="str">
        <v>MH14JL3308</v>
      </c>
      <c r="G378" t="str">
        <v>ACE</v>
      </c>
      <c r="H378" t="str">
        <v>CNG</v>
      </c>
      <c r="I378">
        <v>4</v>
      </c>
      <c r="J378">
        <v>8</v>
      </c>
      <c r="K378">
        <v>25000</v>
      </c>
      <c r="L378">
        <v>1000</v>
      </c>
      <c r="M378">
        <v>55</v>
      </c>
      <c r="N378">
        <v>31</v>
      </c>
      <c r="O378" t="str">
        <v>PUN01 NC Cluster 12</v>
      </c>
      <c r="P378">
        <v>0</v>
      </c>
      <c r="Q378">
        <v>4.0972222222222222E-2</v>
      </c>
      <c r="R378">
        <v>0.19074074074074074</v>
      </c>
      <c r="S378">
        <v>115595</v>
      </c>
      <c r="T378">
        <v>0.3336689814814815</v>
      </c>
      <c r="U378">
        <v>0.33377314814814812</v>
      </c>
      <c r="V378">
        <v>115621</v>
      </c>
      <c r="W378">
        <v>43</v>
      </c>
      <c r="X378">
        <v>43</v>
      </c>
      <c r="Y378">
        <v>0</v>
      </c>
      <c r="Z378">
        <v>26</v>
      </c>
      <c r="AA378">
        <v>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806.45</v>
      </c>
      <c r="AK378">
        <v>0</v>
      </c>
      <c r="AL378">
        <v>806.45</v>
      </c>
      <c r="AM378">
        <v>0</v>
      </c>
      <c r="AN378">
        <v>0</v>
      </c>
      <c r="AO378">
        <v>0</v>
      </c>
    </row>
    <row r="379" spans="1:41">
      <c r="A379">
        <v>378</v>
      </c>
      <c r="B379" s="42">
        <v>45947</v>
      </c>
      <c r="C379" t="str">
        <v>HINJEWADI</v>
      </c>
      <c r="D379" t="str">
        <v>SLK1</v>
      </c>
      <c r="E379" t="str">
        <v>SHADOWFAX TECHNOLOGIES PRIVATE LIMITED</v>
      </c>
      <c r="F379" t="str">
        <v>MH14KA1228</v>
      </c>
      <c r="G379" t="str">
        <v>ACE</v>
      </c>
      <c r="H379" t="str">
        <v>CNG</v>
      </c>
      <c r="I379">
        <v>4</v>
      </c>
      <c r="J379">
        <v>8</v>
      </c>
      <c r="K379">
        <v>25000</v>
      </c>
      <c r="L379">
        <v>1000</v>
      </c>
      <c r="M379">
        <v>55</v>
      </c>
      <c r="N379">
        <v>31</v>
      </c>
      <c r="O379" t="str">
        <v>PUN01 NC Cluster 206</v>
      </c>
      <c r="P379">
        <v>0</v>
      </c>
      <c r="Q379">
        <v>0.12986111111111112</v>
      </c>
      <c r="R379">
        <v>0.20584490740740743</v>
      </c>
      <c r="S379">
        <v>159390</v>
      </c>
      <c r="T379">
        <v>0.33865740740740741</v>
      </c>
      <c r="U379">
        <v>0.33880787037037036</v>
      </c>
      <c r="V379">
        <v>159440</v>
      </c>
      <c r="W379">
        <v>0</v>
      </c>
      <c r="X379">
        <v>0</v>
      </c>
      <c r="Y379">
        <v>0</v>
      </c>
      <c r="Z379">
        <v>50</v>
      </c>
      <c r="AA379">
        <v>50</v>
      </c>
      <c r="AB379">
        <v>0</v>
      </c>
      <c r="AC379">
        <v>0</v>
      </c>
      <c r="AD379">
        <v>1</v>
      </c>
      <c r="AE379">
        <v>150</v>
      </c>
      <c r="AF379">
        <v>0</v>
      </c>
      <c r="AG379">
        <v>0</v>
      </c>
      <c r="AH379">
        <v>0</v>
      </c>
      <c r="AI379">
        <v>0</v>
      </c>
      <c r="AJ379">
        <v>956.45</v>
      </c>
      <c r="AK379">
        <v>0</v>
      </c>
      <c r="AL379">
        <v>956.45</v>
      </c>
      <c r="AM379">
        <v>0</v>
      </c>
      <c r="AN379">
        <v>0</v>
      </c>
      <c r="AO379">
        <v>0</v>
      </c>
    </row>
    <row r="380" spans="1:41">
      <c r="A380">
        <v>379</v>
      </c>
      <c r="B380" s="42">
        <v>45947</v>
      </c>
      <c r="C380" t="str">
        <v>HINJEWADI</v>
      </c>
      <c r="D380" t="str">
        <v>SLK1</v>
      </c>
      <c r="E380" t="str">
        <v>SHADOWFAX TECHNOLOGIES PRIVATE LIMITED</v>
      </c>
      <c r="F380" t="str">
        <v>MH14KA1873</v>
      </c>
      <c r="G380" t="str">
        <v>ACE</v>
      </c>
      <c r="H380" t="str">
        <v>CNG</v>
      </c>
      <c r="I380">
        <v>4</v>
      </c>
      <c r="J380">
        <v>8</v>
      </c>
      <c r="K380">
        <v>25000</v>
      </c>
      <c r="L380">
        <v>1000</v>
      </c>
      <c r="M380">
        <v>55</v>
      </c>
      <c r="N380">
        <v>31</v>
      </c>
      <c r="O380" t="str">
        <v>PUN01 NC Cluster 43</v>
      </c>
      <c r="P380">
        <v>0</v>
      </c>
      <c r="Q380">
        <v>4.5138888888888888E-2</v>
      </c>
      <c r="R380">
        <v>0.19554398148148147</v>
      </c>
      <c r="S380">
        <v>113484</v>
      </c>
      <c r="T380">
        <v>0.31996527777777778</v>
      </c>
      <c r="U380">
        <v>0.3319212962962963</v>
      </c>
      <c r="V380">
        <v>113505</v>
      </c>
      <c r="W380">
        <v>41</v>
      </c>
      <c r="X380">
        <v>52</v>
      </c>
      <c r="Y380">
        <v>-11</v>
      </c>
      <c r="Z380">
        <v>21</v>
      </c>
      <c r="AA380">
        <v>21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806.45</v>
      </c>
      <c r="AK380">
        <v>0</v>
      </c>
      <c r="AL380">
        <v>806.45</v>
      </c>
      <c r="AM380">
        <v>0</v>
      </c>
      <c r="AN380">
        <v>0</v>
      </c>
      <c r="AO380">
        <v>0</v>
      </c>
    </row>
    <row r="381" spans="1:41">
      <c r="A381">
        <v>380</v>
      </c>
      <c r="B381" s="42">
        <v>45947</v>
      </c>
      <c r="C381" t="str">
        <v>HINJEWADI</v>
      </c>
      <c r="D381" t="str">
        <v>SLK1</v>
      </c>
      <c r="E381" t="str">
        <v>SHADOWFAX TECHNOLOGIES PRIVATE LIMITED</v>
      </c>
      <c r="F381" t="str">
        <v>MH14KA2871</v>
      </c>
      <c r="G381" t="str">
        <v>ACE</v>
      </c>
      <c r="H381" t="str">
        <v>CNG</v>
      </c>
      <c r="I381">
        <v>4</v>
      </c>
      <c r="J381">
        <v>8</v>
      </c>
      <c r="K381">
        <v>25000</v>
      </c>
      <c r="L381">
        <v>1000</v>
      </c>
      <c r="M381">
        <v>55</v>
      </c>
      <c r="N381">
        <v>31</v>
      </c>
      <c r="O381" t="str">
        <v>PUN01 NC Cluster 25</v>
      </c>
      <c r="P381">
        <v>0</v>
      </c>
      <c r="Q381">
        <v>0.11805555555555557</v>
      </c>
      <c r="R381">
        <v>0.20371527777777776</v>
      </c>
      <c r="S381">
        <v>78381</v>
      </c>
      <c r="T381">
        <v>0.31866898148148148</v>
      </c>
      <c r="U381">
        <v>0.31893518518518521</v>
      </c>
      <c r="V381">
        <v>78406</v>
      </c>
      <c r="W381">
        <v>50</v>
      </c>
      <c r="X381">
        <v>50</v>
      </c>
      <c r="Y381">
        <v>0</v>
      </c>
      <c r="Z381">
        <v>25</v>
      </c>
      <c r="AA381">
        <v>25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806.45</v>
      </c>
      <c r="AK381">
        <v>0</v>
      </c>
      <c r="AL381">
        <v>806.45</v>
      </c>
      <c r="AM381">
        <v>0</v>
      </c>
      <c r="AN381">
        <v>0</v>
      </c>
      <c r="AO381">
        <v>0</v>
      </c>
    </row>
    <row r="382" spans="1:41">
      <c r="A382">
        <v>381</v>
      </c>
      <c r="B382" s="42">
        <v>45947</v>
      </c>
      <c r="C382" t="str">
        <v>HINJEWADI</v>
      </c>
      <c r="D382" t="str">
        <v>SLK1</v>
      </c>
      <c r="E382" t="str">
        <v>SHADOWFAX TECHNOLOGIES PRIVATE LIMITED</v>
      </c>
      <c r="F382" t="str">
        <v>MH14KA5782</v>
      </c>
      <c r="G382" t="str">
        <v>ACE</v>
      </c>
      <c r="H382" t="str">
        <v>CNG</v>
      </c>
      <c r="I382">
        <v>4</v>
      </c>
      <c r="J382">
        <v>8</v>
      </c>
      <c r="K382">
        <v>25000</v>
      </c>
      <c r="L382">
        <v>1000</v>
      </c>
      <c r="M382">
        <v>55</v>
      </c>
      <c r="N382">
        <v>31</v>
      </c>
      <c r="O382" t="str">
        <v>PUN01 NC Cluster 60</v>
      </c>
      <c r="P382">
        <v>0</v>
      </c>
      <c r="Q382">
        <v>8.7500000000000008E-2</v>
      </c>
      <c r="R382">
        <v>0.19416666666666668</v>
      </c>
      <c r="S382">
        <v>89039</v>
      </c>
      <c r="T382">
        <v>0.34687499999999999</v>
      </c>
      <c r="U382">
        <v>0.34702546296296299</v>
      </c>
      <c r="V382">
        <v>89054</v>
      </c>
      <c r="W382">
        <v>24</v>
      </c>
      <c r="X382">
        <v>24</v>
      </c>
      <c r="Y382">
        <v>0</v>
      </c>
      <c r="Z382">
        <v>15</v>
      </c>
      <c r="AA382">
        <v>15</v>
      </c>
      <c r="AB382">
        <v>0</v>
      </c>
      <c r="AC382">
        <v>0</v>
      </c>
      <c r="AD382">
        <v>1</v>
      </c>
      <c r="AE382">
        <v>150</v>
      </c>
      <c r="AF382">
        <v>0</v>
      </c>
      <c r="AG382">
        <v>0</v>
      </c>
      <c r="AH382">
        <v>0</v>
      </c>
      <c r="AI382">
        <v>0</v>
      </c>
      <c r="AJ382">
        <v>956.45</v>
      </c>
      <c r="AK382">
        <v>0</v>
      </c>
      <c r="AL382">
        <v>956.45</v>
      </c>
      <c r="AM382">
        <v>0</v>
      </c>
      <c r="AN382">
        <v>0</v>
      </c>
      <c r="AO382">
        <v>0</v>
      </c>
    </row>
    <row r="383" spans="1:41">
      <c r="A383">
        <v>382</v>
      </c>
      <c r="B383" s="42">
        <v>45947</v>
      </c>
      <c r="C383" t="str">
        <v>HINJEWADI</v>
      </c>
      <c r="D383" t="str">
        <v>SLK1</v>
      </c>
      <c r="E383" t="str">
        <v>SHADOWFAX TECHNOLOGIES PRIVATE LIMITED</v>
      </c>
      <c r="F383" t="str">
        <v>MH14KA6513</v>
      </c>
      <c r="G383" t="str">
        <v>ACE</v>
      </c>
      <c r="H383" t="str">
        <v>CNG</v>
      </c>
      <c r="I383">
        <v>6</v>
      </c>
      <c r="J383">
        <v>8</v>
      </c>
      <c r="K383">
        <v>33000</v>
      </c>
      <c r="L383">
        <v>2000</v>
      </c>
      <c r="M383">
        <v>55</v>
      </c>
      <c r="N383">
        <v>31</v>
      </c>
      <c r="O383" t="str">
        <v>PUN01 NC Cluster 299</v>
      </c>
      <c r="P383">
        <v>0</v>
      </c>
      <c r="Q383">
        <v>7.4305555555555555E-2</v>
      </c>
      <c r="R383">
        <v>0.19387731481481482</v>
      </c>
      <c r="S383">
        <v>48165</v>
      </c>
      <c r="T383">
        <v>0.36817129629629625</v>
      </c>
      <c r="U383">
        <v>0.3682407407407407</v>
      </c>
      <c r="V383">
        <v>48245</v>
      </c>
      <c r="W383">
        <v>42</v>
      </c>
      <c r="X383">
        <v>42</v>
      </c>
      <c r="Y383">
        <v>0</v>
      </c>
      <c r="Z383">
        <v>80</v>
      </c>
      <c r="AA383">
        <v>80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1064.52</v>
      </c>
      <c r="AK383">
        <v>0</v>
      </c>
      <c r="AL383">
        <v>1064.52</v>
      </c>
      <c r="AM383">
        <v>0</v>
      </c>
      <c r="AN383">
        <v>0</v>
      </c>
      <c r="AO383">
        <v>0</v>
      </c>
    </row>
    <row r="384" spans="1:41">
      <c r="A384">
        <v>383</v>
      </c>
      <c r="B384" s="42">
        <v>45947</v>
      </c>
      <c r="C384" t="str">
        <v>HINJEWADI</v>
      </c>
      <c r="D384" t="str">
        <v>SLK1</v>
      </c>
      <c r="E384" t="str">
        <v>SHADOWFAX TECHNOLOGIES PRIVATE LIMITED</v>
      </c>
      <c r="F384" t="str">
        <v>MH14KA6730</v>
      </c>
      <c r="G384" t="str">
        <v>ACE</v>
      </c>
      <c r="H384" t="str">
        <v>CNG</v>
      </c>
      <c r="I384">
        <v>4</v>
      </c>
      <c r="J384">
        <v>8</v>
      </c>
      <c r="K384">
        <v>25000</v>
      </c>
      <c r="L384">
        <v>1000</v>
      </c>
      <c r="M384">
        <v>55</v>
      </c>
      <c r="N384">
        <v>31</v>
      </c>
      <c r="O384" t="str">
        <v>PUN01 NC Cluster 59</v>
      </c>
      <c r="P384">
        <v>0</v>
      </c>
      <c r="Q384">
        <v>4.5833333333333337E-2</v>
      </c>
      <c r="R384">
        <v>0.19467592592592595</v>
      </c>
      <c r="S384">
        <v>87809</v>
      </c>
      <c r="T384">
        <v>0.30826388888888889</v>
      </c>
      <c r="U384">
        <v>0.30835648148148148</v>
      </c>
      <c r="V384">
        <v>87841</v>
      </c>
      <c r="W384">
        <v>31</v>
      </c>
      <c r="X384">
        <v>31</v>
      </c>
      <c r="Y384">
        <v>0</v>
      </c>
      <c r="Z384">
        <v>32</v>
      </c>
      <c r="AA384">
        <v>32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806.45</v>
      </c>
      <c r="AK384">
        <v>0</v>
      </c>
      <c r="AL384">
        <v>806.45</v>
      </c>
      <c r="AM384">
        <v>0</v>
      </c>
      <c r="AN384">
        <v>0</v>
      </c>
      <c r="AO384">
        <v>0</v>
      </c>
    </row>
    <row r="385" spans="1:41">
      <c r="A385">
        <v>384</v>
      </c>
      <c r="B385" s="42">
        <v>45947</v>
      </c>
      <c r="C385" t="str">
        <v>HINJEWADI</v>
      </c>
      <c r="D385" t="str">
        <v>SLK1</v>
      </c>
      <c r="E385" t="str">
        <v>SHADOWFAX TECHNOLOGIES PRIVATE LIMITED</v>
      </c>
      <c r="F385" t="str">
        <v>MH14KQ0279</v>
      </c>
      <c r="G385" t="str">
        <v>ACE</v>
      </c>
      <c r="H385" t="str">
        <v>CNG</v>
      </c>
      <c r="I385">
        <v>4</v>
      </c>
      <c r="J385">
        <v>8</v>
      </c>
      <c r="K385">
        <v>25000</v>
      </c>
      <c r="L385">
        <v>1000</v>
      </c>
      <c r="M385">
        <v>55</v>
      </c>
      <c r="N385">
        <v>31</v>
      </c>
      <c r="O385" t="str">
        <v>PUN01 NC Cluster 200</v>
      </c>
      <c r="P385">
        <v>0</v>
      </c>
      <c r="Q385">
        <v>0.10416666666666667</v>
      </c>
      <c r="R385">
        <v>0.19300925925925927</v>
      </c>
      <c r="S385">
        <v>118487</v>
      </c>
      <c r="T385">
        <v>0.40709490740740745</v>
      </c>
      <c r="U385">
        <v>0.40718750000000004</v>
      </c>
      <c r="V385">
        <v>118526</v>
      </c>
      <c r="W385">
        <v>34</v>
      </c>
      <c r="X385">
        <v>34</v>
      </c>
      <c r="Y385">
        <v>0</v>
      </c>
      <c r="Z385">
        <v>39</v>
      </c>
      <c r="AA385">
        <v>39</v>
      </c>
      <c r="AB385">
        <v>0</v>
      </c>
      <c r="AC385">
        <v>0</v>
      </c>
      <c r="AD385">
        <v>2</v>
      </c>
      <c r="AE385">
        <v>300</v>
      </c>
      <c r="AF385">
        <v>0</v>
      </c>
      <c r="AG385">
        <v>0</v>
      </c>
      <c r="AH385">
        <v>0</v>
      </c>
      <c r="AI385">
        <v>0</v>
      </c>
      <c r="AJ385">
        <v>1106.45</v>
      </c>
      <c r="AK385">
        <v>0</v>
      </c>
      <c r="AL385">
        <v>1106.45</v>
      </c>
      <c r="AM385">
        <v>0</v>
      </c>
      <c r="AN385">
        <v>0</v>
      </c>
      <c r="AO385">
        <v>0</v>
      </c>
    </row>
    <row r="386" spans="1:41">
      <c r="A386">
        <v>385</v>
      </c>
      <c r="B386" s="42">
        <v>45947</v>
      </c>
      <c r="C386" t="str">
        <v>HINJEWADI</v>
      </c>
      <c r="D386" t="str">
        <v>SLK1</v>
      </c>
      <c r="E386" t="str">
        <v>SHADOWFAX TECHNOLOGIES PRIVATE LIMITED</v>
      </c>
      <c r="F386" t="str">
        <v>MH14KQ4401</v>
      </c>
      <c r="G386" t="str">
        <v>ACE</v>
      </c>
      <c r="H386" t="str">
        <v>CNG</v>
      </c>
      <c r="I386">
        <v>4</v>
      </c>
      <c r="J386">
        <v>8</v>
      </c>
      <c r="K386">
        <v>25000</v>
      </c>
      <c r="L386">
        <v>1000</v>
      </c>
      <c r="M386">
        <v>55</v>
      </c>
      <c r="N386">
        <v>31</v>
      </c>
      <c r="O386" t="str">
        <v>PUN01 NC Cluster 24</v>
      </c>
      <c r="P386">
        <v>0</v>
      </c>
      <c r="Q386">
        <v>0.11597222222222221</v>
      </c>
      <c r="R386">
        <v>0.20432870370370371</v>
      </c>
      <c r="S386">
        <v>75521</v>
      </c>
      <c r="T386">
        <v>0.31516203703703705</v>
      </c>
      <c r="U386">
        <v>0.31543981481481481</v>
      </c>
      <c r="V386">
        <v>75527</v>
      </c>
      <c r="W386">
        <v>35</v>
      </c>
      <c r="X386">
        <v>0</v>
      </c>
      <c r="Y386">
        <v>35</v>
      </c>
      <c r="Z386">
        <v>6</v>
      </c>
      <c r="AA386">
        <v>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806.45</v>
      </c>
      <c r="AK386">
        <v>0</v>
      </c>
      <c r="AL386">
        <v>806.45</v>
      </c>
      <c r="AM386">
        <v>0</v>
      </c>
      <c r="AN386">
        <v>0</v>
      </c>
      <c r="AO386">
        <v>0</v>
      </c>
    </row>
    <row r="387" spans="1:41">
      <c r="A387">
        <v>386</v>
      </c>
      <c r="B387" s="42">
        <v>45947</v>
      </c>
      <c r="C387" t="str">
        <v>HINJEWADI</v>
      </c>
      <c r="D387" t="str">
        <v>SLK1</v>
      </c>
      <c r="E387" t="str">
        <v>SHADOWFAX TECHNOLOGIES PRIVATE LIMITED</v>
      </c>
      <c r="F387" t="str">
        <v>MH14LB4598</v>
      </c>
      <c r="G387" t="str">
        <v>ACE</v>
      </c>
      <c r="H387" t="str">
        <v>CNG</v>
      </c>
      <c r="I387">
        <v>4</v>
      </c>
      <c r="J387">
        <v>8</v>
      </c>
      <c r="K387">
        <v>25000</v>
      </c>
      <c r="L387">
        <v>1000</v>
      </c>
      <c r="M387">
        <v>55</v>
      </c>
      <c r="N387">
        <v>31</v>
      </c>
      <c r="O387" t="str">
        <v>PUN01 NC Cluster 93</v>
      </c>
      <c r="P387">
        <v>0</v>
      </c>
      <c r="Q387">
        <v>4.1666666666666664E-2</v>
      </c>
      <c r="R387">
        <v>0.19247685185185184</v>
      </c>
      <c r="S387">
        <v>66198</v>
      </c>
      <c r="T387">
        <v>0.31949074074074074</v>
      </c>
      <c r="U387">
        <v>0.31958333333333333</v>
      </c>
      <c r="V387">
        <v>66210</v>
      </c>
      <c r="W387">
        <v>32</v>
      </c>
      <c r="X387">
        <v>36</v>
      </c>
      <c r="Y387">
        <v>-4</v>
      </c>
      <c r="Z387">
        <v>12</v>
      </c>
      <c r="AA387">
        <v>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806.45</v>
      </c>
      <c r="AK387">
        <v>0</v>
      </c>
      <c r="AL387">
        <v>806.45</v>
      </c>
      <c r="AM387">
        <v>0</v>
      </c>
      <c r="AN387">
        <v>0</v>
      </c>
      <c r="AO387">
        <v>0</v>
      </c>
    </row>
    <row r="388" spans="1:41">
      <c r="A388">
        <v>387</v>
      </c>
      <c r="B388" s="42">
        <v>45947</v>
      </c>
      <c r="C388" t="str">
        <v>HINJEWADI</v>
      </c>
      <c r="D388" t="str">
        <v>SLK1</v>
      </c>
      <c r="E388" t="str">
        <v>SHADOWFAX TECHNOLOGIES PRIVATE LIMITED</v>
      </c>
      <c r="F388" t="str">
        <v>MH14LB5906</v>
      </c>
      <c r="G388" t="str">
        <v>ACE</v>
      </c>
      <c r="H388" t="str">
        <v>CNG</v>
      </c>
      <c r="I388">
        <v>4</v>
      </c>
      <c r="J388">
        <v>8</v>
      </c>
      <c r="K388">
        <v>25000</v>
      </c>
      <c r="L388">
        <v>1000</v>
      </c>
      <c r="M388">
        <v>55</v>
      </c>
      <c r="N388">
        <v>31</v>
      </c>
      <c r="O388" t="str">
        <v>PUN01 NC Cluster 132</v>
      </c>
      <c r="P388">
        <v>0</v>
      </c>
      <c r="Q388">
        <v>0.10069444444444443</v>
      </c>
      <c r="R388">
        <v>0.19954861111111111</v>
      </c>
      <c r="S388">
        <v>44703</v>
      </c>
      <c r="T388">
        <v>0.30244212962962963</v>
      </c>
      <c r="U388">
        <v>0.30258101851851854</v>
      </c>
      <c r="V388">
        <v>44735</v>
      </c>
      <c r="W388">
        <v>40</v>
      </c>
      <c r="X388">
        <v>40</v>
      </c>
      <c r="Y388">
        <v>0</v>
      </c>
      <c r="Z388">
        <v>32</v>
      </c>
      <c r="AA388">
        <v>32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806.45</v>
      </c>
      <c r="AK388">
        <v>0</v>
      </c>
      <c r="AL388">
        <v>806.45</v>
      </c>
      <c r="AM388">
        <v>0</v>
      </c>
      <c r="AN388">
        <v>0</v>
      </c>
      <c r="AO388">
        <v>0</v>
      </c>
    </row>
    <row r="389" spans="1:41">
      <c r="A389">
        <v>388</v>
      </c>
      <c r="B389" s="42">
        <v>45947</v>
      </c>
      <c r="C389" t="str">
        <v>HINJEWADI</v>
      </c>
      <c r="D389" t="str">
        <v>SLK1</v>
      </c>
      <c r="E389" t="str">
        <v>SHADOWFAX TECHNOLOGIES PRIVATE LIMITED</v>
      </c>
      <c r="F389" t="str">
        <v>MH14LB6751</v>
      </c>
      <c r="G389" t="str">
        <v>ACE</v>
      </c>
      <c r="H389" t="str">
        <v>CNG</v>
      </c>
      <c r="I389">
        <v>4</v>
      </c>
      <c r="J389">
        <v>8</v>
      </c>
      <c r="K389">
        <v>25000</v>
      </c>
      <c r="L389">
        <v>1000</v>
      </c>
      <c r="M389">
        <v>55</v>
      </c>
      <c r="N389">
        <v>31</v>
      </c>
      <c r="O389" t="str">
        <v>PUN01 NC Cluster 36</v>
      </c>
      <c r="P389">
        <v>0</v>
      </c>
      <c r="Q389">
        <v>4.5138888888888888E-2</v>
      </c>
      <c r="R389">
        <v>0.1950925925925926</v>
      </c>
      <c r="S389">
        <v>84131</v>
      </c>
      <c r="T389">
        <v>0.29327546296296297</v>
      </c>
      <c r="U389">
        <v>0.29435185185185186</v>
      </c>
      <c r="V389">
        <v>84148</v>
      </c>
      <c r="W389">
        <v>30</v>
      </c>
      <c r="X389">
        <v>30</v>
      </c>
      <c r="Y389">
        <v>0</v>
      </c>
      <c r="Z389">
        <v>17</v>
      </c>
      <c r="AA389">
        <v>17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806.45</v>
      </c>
      <c r="AK389">
        <v>0</v>
      </c>
      <c r="AL389">
        <v>806.45</v>
      </c>
      <c r="AM389">
        <v>0</v>
      </c>
      <c r="AN389">
        <v>0</v>
      </c>
      <c r="AO389">
        <v>0</v>
      </c>
    </row>
    <row r="390" spans="1:41">
      <c r="A390">
        <v>389</v>
      </c>
      <c r="B390" s="42">
        <v>45947</v>
      </c>
      <c r="C390" t="str">
        <v>HINJEWADI</v>
      </c>
      <c r="D390" t="str">
        <v>SLK1</v>
      </c>
      <c r="E390" t="str">
        <v>SHADOWFAX TECHNOLOGIES PRIVATE LIMITED</v>
      </c>
      <c r="F390" t="str">
        <v>MH14LL6836</v>
      </c>
      <c r="G390" t="str">
        <v>ACE</v>
      </c>
      <c r="H390" t="str">
        <v>CNG</v>
      </c>
      <c r="I390">
        <v>6</v>
      </c>
      <c r="J390">
        <v>8</v>
      </c>
      <c r="K390">
        <v>33000</v>
      </c>
      <c r="L390">
        <v>2000</v>
      </c>
      <c r="M390">
        <v>55</v>
      </c>
      <c r="N390">
        <v>31</v>
      </c>
      <c r="O390" t="str">
        <v>PUN01 NC Cluster 303</v>
      </c>
      <c r="P390">
        <v>0</v>
      </c>
      <c r="Q390">
        <v>4.9305555555555554E-2</v>
      </c>
      <c r="R390">
        <v>0.19358796296296296</v>
      </c>
      <c r="S390">
        <v>33903</v>
      </c>
      <c r="T390">
        <v>0.31278935185185186</v>
      </c>
      <c r="U390">
        <v>0.31290509259259258</v>
      </c>
      <c r="V390">
        <v>33970</v>
      </c>
      <c r="W390">
        <v>30</v>
      </c>
      <c r="X390">
        <v>30</v>
      </c>
      <c r="Y390">
        <v>0</v>
      </c>
      <c r="Z390">
        <v>67</v>
      </c>
      <c r="AA390">
        <v>67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1064.52</v>
      </c>
      <c r="AK390">
        <v>0</v>
      </c>
      <c r="AL390">
        <v>1064.52</v>
      </c>
      <c r="AM390">
        <v>0</v>
      </c>
      <c r="AN390">
        <v>0</v>
      </c>
      <c r="AO390">
        <v>0</v>
      </c>
    </row>
    <row r="391" spans="1:41">
      <c r="A391">
        <v>390</v>
      </c>
      <c r="B391" s="42">
        <v>45947</v>
      </c>
      <c r="C391" t="str">
        <v>HINJEWADI</v>
      </c>
      <c r="D391" t="str">
        <v>SLK1</v>
      </c>
      <c r="E391" t="str">
        <v>SHADOWFAX TECHNOLOGIES PRIVATE LIMITED</v>
      </c>
      <c r="F391" t="str">
        <v>MH14LX6360</v>
      </c>
      <c r="G391" t="str">
        <v>ACE</v>
      </c>
      <c r="H391" t="str">
        <v>CNG</v>
      </c>
      <c r="I391">
        <v>4</v>
      </c>
      <c r="J391">
        <v>8</v>
      </c>
      <c r="K391">
        <v>25000</v>
      </c>
      <c r="L391">
        <v>1000</v>
      </c>
      <c r="M391">
        <v>55</v>
      </c>
      <c r="N391">
        <v>31</v>
      </c>
      <c r="O391" t="str">
        <v>PUN01 NC Cluster 42</v>
      </c>
      <c r="P391">
        <v>0</v>
      </c>
      <c r="Q391">
        <v>0.11666666666666665</v>
      </c>
      <c r="R391">
        <v>0.19635416666666669</v>
      </c>
      <c r="S391">
        <v>38894</v>
      </c>
      <c r="T391">
        <v>0.32268518518518519</v>
      </c>
      <c r="U391">
        <v>0.32278935185185187</v>
      </c>
      <c r="V391">
        <v>38909</v>
      </c>
      <c r="W391">
        <v>43</v>
      </c>
      <c r="X391">
        <v>43</v>
      </c>
      <c r="Y391">
        <v>0</v>
      </c>
      <c r="Z391">
        <v>15</v>
      </c>
      <c r="AA391">
        <v>15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806.45</v>
      </c>
      <c r="AK391">
        <v>0</v>
      </c>
      <c r="AL391">
        <v>806.45</v>
      </c>
      <c r="AM391">
        <v>0</v>
      </c>
      <c r="AN391">
        <v>0</v>
      </c>
      <c r="AO391">
        <v>0</v>
      </c>
    </row>
    <row r="392" spans="1:41">
      <c r="A392">
        <v>391</v>
      </c>
      <c r="B392" s="42">
        <v>45947</v>
      </c>
      <c r="C392" t="str">
        <v>HINJEWADI</v>
      </c>
      <c r="D392" t="str">
        <v>SLK1</v>
      </c>
      <c r="E392" t="str">
        <v>SHADOWFAX TECHNOLOGIES PRIVATE LIMITED</v>
      </c>
      <c r="F392" t="str">
        <v>MH14MH6374</v>
      </c>
      <c r="G392" t="str">
        <v>ACE</v>
      </c>
      <c r="H392" t="str">
        <v>CNG</v>
      </c>
      <c r="I392">
        <v>4</v>
      </c>
      <c r="J392">
        <v>8</v>
      </c>
      <c r="K392">
        <v>25000</v>
      </c>
      <c r="L392">
        <v>1000</v>
      </c>
      <c r="M392">
        <v>55</v>
      </c>
      <c r="N392">
        <v>31</v>
      </c>
      <c r="O392" t="str">
        <v>PUN01 NC Cluster 199</v>
      </c>
      <c r="P392">
        <v>0</v>
      </c>
      <c r="Q392">
        <v>4.5833333333333337E-2</v>
      </c>
      <c r="R392">
        <v>0.19261574074074073</v>
      </c>
      <c r="S392">
        <v>7523</v>
      </c>
      <c r="T392">
        <v>0.37981481481481483</v>
      </c>
      <c r="U392">
        <v>0.3805324074074074</v>
      </c>
      <c r="V392">
        <v>7556</v>
      </c>
      <c r="W392">
        <v>15</v>
      </c>
      <c r="X392">
        <v>15</v>
      </c>
      <c r="Y392">
        <v>0</v>
      </c>
      <c r="Z392">
        <v>33</v>
      </c>
      <c r="AA392">
        <v>33</v>
      </c>
      <c r="AB392">
        <v>0</v>
      </c>
      <c r="AC392">
        <v>0</v>
      </c>
      <c r="AD392">
        <v>2</v>
      </c>
      <c r="AE392">
        <v>300</v>
      </c>
      <c r="AF392">
        <v>0</v>
      </c>
      <c r="AG392">
        <v>0</v>
      </c>
      <c r="AH392">
        <v>0</v>
      </c>
      <c r="AI392">
        <v>0</v>
      </c>
      <c r="AJ392">
        <v>1106.45</v>
      </c>
      <c r="AK392">
        <v>0</v>
      </c>
      <c r="AL392">
        <v>1106.45</v>
      </c>
      <c r="AM392">
        <v>0</v>
      </c>
      <c r="AN392">
        <v>0</v>
      </c>
      <c r="AO392">
        <v>0</v>
      </c>
    </row>
    <row r="393" spans="1:41">
      <c r="A393">
        <v>392</v>
      </c>
      <c r="B393" s="42">
        <v>45947</v>
      </c>
      <c r="C393" t="str">
        <v>HINJEWADI</v>
      </c>
      <c r="D393" t="str">
        <v>SLK1</v>
      </c>
      <c r="E393" t="str">
        <v>SHADOWFAX TECHNOLOGIES PRIVATE LIMITED</v>
      </c>
      <c r="F393" t="str">
        <v>MH14MH8276</v>
      </c>
      <c r="G393" t="str">
        <v>ACE</v>
      </c>
      <c r="H393" t="str">
        <v>CNG</v>
      </c>
      <c r="I393">
        <v>4</v>
      </c>
      <c r="J393">
        <v>8</v>
      </c>
      <c r="K393">
        <v>25000</v>
      </c>
      <c r="L393">
        <v>1000</v>
      </c>
      <c r="M393">
        <v>55</v>
      </c>
      <c r="N393">
        <v>31</v>
      </c>
      <c r="O393" t="str">
        <v>PUN01 NC Cluster 39</v>
      </c>
      <c r="P393">
        <v>0</v>
      </c>
      <c r="Q393">
        <v>4.3750000000000004E-2</v>
      </c>
      <c r="R393">
        <v>0.19576388888888888</v>
      </c>
      <c r="S393">
        <v>5243</v>
      </c>
      <c r="T393">
        <v>0.28978009259259258</v>
      </c>
      <c r="U393">
        <v>0.28987268518518516</v>
      </c>
      <c r="V393">
        <v>5260</v>
      </c>
      <c r="W393">
        <v>52</v>
      </c>
      <c r="X393">
        <v>52</v>
      </c>
      <c r="Y393">
        <v>0</v>
      </c>
      <c r="Z393">
        <v>17</v>
      </c>
      <c r="AA393">
        <v>17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806.45</v>
      </c>
      <c r="AK393">
        <v>0</v>
      </c>
      <c r="AL393">
        <v>806.45</v>
      </c>
      <c r="AM393">
        <v>0</v>
      </c>
      <c r="AN393">
        <v>0</v>
      </c>
      <c r="AO393">
        <v>0</v>
      </c>
    </row>
    <row r="394" spans="1:41">
      <c r="A394">
        <v>393</v>
      </c>
      <c r="B394" s="42">
        <v>45947</v>
      </c>
      <c r="C394" t="str">
        <v>HINJEWADI</v>
      </c>
      <c r="D394" t="str">
        <v>SLK1</v>
      </c>
      <c r="E394" t="str">
        <v>SHADOWFAX TECHNOLOGIES PRIVATE LIMITED</v>
      </c>
      <c r="F394" t="str">
        <v>MH14LL4513</v>
      </c>
      <c r="G394" t="str">
        <v>BOLERO</v>
      </c>
      <c r="H394" t="str">
        <v>DIESEL</v>
      </c>
      <c r="I394">
        <v>4</v>
      </c>
      <c r="J394">
        <v>10</v>
      </c>
      <c r="K394">
        <v>29000</v>
      </c>
      <c r="L394">
        <v>1000</v>
      </c>
      <c r="M394">
        <v>55</v>
      </c>
      <c r="N394">
        <v>31</v>
      </c>
      <c r="O394" t="str">
        <v>PUN01 NC Cluster 113</v>
      </c>
      <c r="P394">
        <v>0</v>
      </c>
      <c r="Q394">
        <v>0.13055555555555556</v>
      </c>
      <c r="R394">
        <v>0.20440972222222223</v>
      </c>
      <c r="S394">
        <v>33030</v>
      </c>
      <c r="T394">
        <v>0.29075231481481484</v>
      </c>
      <c r="U394">
        <v>0.29083333333333333</v>
      </c>
      <c r="V394">
        <v>33057</v>
      </c>
      <c r="W394">
        <v>66</v>
      </c>
      <c r="X394">
        <v>66</v>
      </c>
      <c r="Y394">
        <v>0</v>
      </c>
      <c r="Z394">
        <v>27</v>
      </c>
      <c r="AA394">
        <v>27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935.48</v>
      </c>
      <c r="AK394">
        <v>0</v>
      </c>
      <c r="AL394">
        <v>935.48</v>
      </c>
      <c r="AM394">
        <v>0</v>
      </c>
      <c r="AN394">
        <v>0</v>
      </c>
      <c r="AO394">
        <v>0</v>
      </c>
    </row>
    <row r="395" spans="1:41">
      <c r="A395">
        <v>394</v>
      </c>
      <c r="B395" s="42">
        <v>45947</v>
      </c>
      <c r="C395" t="str">
        <v>HINJEWADI</v>
      </c>
      <c r="D395" t="str">
        <v>SLK1</v>
      </c>
      <c r="E395" t="str">
        <v>SHADOWFAX TECHNOLOGIES PRIVATE LIMITED</v>
      </c>
      <c r="F395" t="str">
        <v>MH14LX4839</v>
      </c>
      <c r="G395" t="str">
        <v>BOLERO</v>
      </c>
      <c r="H395" t="str">
        <v>DIESEL</v>
      </c>
      <c r="I395">
        <v>4</v>
      </c>
      <c r="J395">
        <v>10</v>
      </c>
      <c r="K395">
        <v>29000</v>
      </c>
      <c r="L395">
        <v>1000</v>
      </c>
      <c r="M395">
        <v>55</v>
      </c>
      <c r="N395">
        <v>31</v>
      </c>
      <c r="O395" t="str">
        <v>PUN01 NC Cluster 11</v>
      </c>
      <c r="P395">
        <v>0</v>
      </c>
      <c r="Q395">
        <v>4.9305555555555554E-2</v>
      </c>
      <c r="R395">
        <v>0.19991898148148146</v>
      </c>
      <c r="S395">
        <v>39064</v>
      </c>
      <c r="T395">
        <v>0.3018865740740741</v>
      </c>
      <c r="U395">
        <v>0.30200231481481482</v>
      </c>
      <c r="V395">
        <v>39084</v>
      </c>
      <c r="W395">
        <v>47</v>
      </c>
      <c r="X395">
        <v>47</v>
      </c>
      <c r="Y395">
        <v>0</v>
      </c>
      <c r="Z395">
        <v>20</v>
      </c>
      <c r="AA395">
        <v>20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935.48</v>
      </c>
      <c r="AK395">
        <v>0</v>
      </c>
      <c r="AL395">
        <v>935.48</v>
      </c>
      <c r="AM395">
        <v>0</v>
      </c>
      <c r="AN395">
        <v>0</v>
      </c>
      <c r="AO395">
        <v>0</v>
      </c>
    </row>
    <row r="396" spans="1:41">
      <c r="A396">
        <v>395</v>
      </c>
      <c r="B396" s="42">
        <v>45947</v>
      </c>
      <c r="C396" t="str">
        <v>HINJEWADI</v>
      </c>
      <c r="D396" t="str">
        <v>SLK1</v>
      </c>
      <c r="E396" t="str">
        <v>SHADOWFAX TECHNOLOGIES PRIVATE LIMITED</v>
      </c>
      <c r="F396" t="str">
        <v>MH14LX4840</v>
      </c>
      <c r="G396" t="str">
        <v>BOLERO</v>
      </c>
      <c r="H396" t="str">
        <v>DIESEL</v>
      </c>
      <c r="I396">
        <v>4</v>
      </c>
      <c r="J396">
        <v>10</v>
      </c>
      <c r="K396">
        <v>29000</v>
      </c>
      <c r="L396">
        <v>1000</v>
      </c>
      <c r="M396">
        <v>55</v>
      </c>
      <c r="N396">
        <v>31</v>
      </c>
      <c r="O396" t="str">
        <v>PUN01 NC Cluster 296</v>
      </c>
      <c r="P396">
        <v>0</v>
      </c>
      <c r="Q396">
        <v>0.11388888888888889</v>
      </c>
      <c r="R396">
        <v>0.20392361111111112</v>
      </c>
      <c r="S396">
        <v>60794</v>
      </c>
      <c r="T396">
        <v>0.31321759259259258</v>
      </c>
      <c r="U396">
        <v>0.31334490740740739</v>
      </c>
      <c r="V396">
        <v>60827</v>
      </c>
      <c r="W396">
        <v>46</v>
      </c>
      <c r="X396">
        <v>59</v>
      </c>
      <c r="Y396">
        <v>-13</v>
      </c>
      <c r="Z396">
        <v>33</v>
      </c>
      <c r="AA396">
        <v>33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935.48</v>
      </c>
      <c r="AK396">
        <v>0</v>
      </c>
      <c r="AL396">
        <v>935.48</v>
      </c>
      <c r="AM396">
        <v>0</v>
      </c>
      <c r="AN396">
        <v>0</v>
      </c>
      <c r="AO396">
        <v>0</v>
      </c>
    </row>
    <row r="397" spans="1:41">
      <c r="A397">
        <v>396</v>
      </c>
      <c r="B397" s="42">
        <v>45947</v>
      </c>
      <c r="C397" t="str">
        <v>HINJEWADI</v>
      </c>
      <c r="D397" t="str">
        <v>SLK1</v>
      </c>
      <c r="E397" t="str">
        <v>SHADOWFAX TECHNOLOGIES PRIVATE LIMITED</v>
      </c>
      <c r="F397" t="str">
        <v>MH14MH7322</v>
      </c>
      <c r="G397" t="str">
        <v>BOLERO</v>
      </c>
      <c r="H397" t="str">
        <v>DIESEL</v>
      </c>
      <c r="I397">
        <v>4</v>
      </c>
      <c r="J397">
        <v>10</v>
      </c>
      <c r="K397">
        <v>29000</v>
      </c>
      <c r="L397">
        <v>1000</v>
      </c>
      <c r="M397">
        <v>55</v>
      </c>
      <c r="N397">
        <v>31</v>
      </c>
      <c r="O397" t="str">
        <v>PUN01 NC Cluster 139</v>
      </c>
      <c r="P397">
        <v>0</v>
      </c>
      <c r="Q397">
        <v>0.10277777777777779</v>
      </c>
      <c r="R397">
        <v>0.20157407407407404</v>
      </c>
      <c r="S397">
        <v>3298</v>
      </c>
      <c r="T397">
        <v>0.30328703703703702</v>
      </c>
      <c r="U397">
        <v>0.30334490740740744</v>
      </c>
      <c r="V397">
        <v>3324</v>
      </c>
      <c r="W397">
        <v>54</v>
      </c>
      <c r="X397">
        <v>54</v>
      </c>
      <c r="Y397">
        <v>0</v>
      </c>
      <c r="Z397">
        <v>26</v>
      </c>
      <c r="AA397">
        <v>26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935.48</v>
      </c>
      <c r="AK397">
        <v>0</v>
      </c>
      <c r="AL397">
        <v>935.48</v>
      </c>
      <c r="AM397">
        <v>0</v>
      </c>
      <c r="AN397">
        <v>0</v>
      </c>
      <c r="AO397">
        <v>0</v>
      </c>
    </row>
    <row r="398" spans="1:41">
      <c r="A398">
        <v>397</v>
      </c>
      <c r="B398" s="42">
        <v>45947</v>
      </c>
      <c r="C398" t="str">
        <v>HINJEWADI</v>
      </c>
      <c r="D398" t="str">
        <v>SLK1</v>
      </c>
      <c r="E398" t="str">
        <v>SHADOWFAX TECHNOLOGIES PRIVATE LIMITED</v>
      </c>
      <c r="F398" t="str">
        <v>MH16CD7321</v>
      </c>
      <c r="G398" t="str">
        <v>BOLERO</v>
      </c>
      <c r="H398" t="str">
        <v>DIESEL</v>
      </c>
      <c r="I398">
        <v>4</v>
      </c>
      <c r="J398">
        <v>10</v>
      </c>
      <c r="K398">
        <v>29000</v>
      </c>
      <c r="L398">
        <v>1000</v>
      </c>
      <c r="M398">
        <v>55</v>
      </c>
      <c r="N398">
        <v>31</v>
      </c>
      <c r="O398" t="str">
        <v>PUN01 NC Cluster 20</v>
      </c>
      <c r="P398">
        <v>0</v>
      </c>
      <c r="Q398">
        <v>8.8888888888888892E-2</v>
      </c>
      <c r="R398">
        <v>0.19920138888888891</v>
      </c>
      <c r="S398">
        <v>139323</v>
      </c>
      <c r="T398">
        <v>0.29303240740740738</v>
      </c>
      <c r="U398">
        <v>0.29312500000000002</v>
      </c>
      <c r="V398">
        <v>139351</v>
      </c>
      <c r="W398">
        <v>47</v>
      </c>
      <c r="X398">
        <v>47</v>
      </c>
      <c r="Y398">
        <v>0</v>
      </c>
      <c r="Z398">
        <v>28</v>
      </c>
      <c r="AA398">
        <v>28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935.48</v>
      </c>
      <c r="AK398">
        <v>0</v>
      </c>
      <c r="AL398">
        <v>935.48</v>
      </c>
      <c r="AM398">
        <v>0</v>
      </c>
      <c r="AN398">
        <v>0</v>
      </c>
      <c r="AO398">
        <v>0</v>
      </c>
    </row>
    <row r="399" spans="1:41">
      <c r="A399">
        <v>398</v>
      </c>
      <c r="B399" s="42">
        <v>45948</v>
      </c>
      <c r="C399" t="str">
        <v>HINJEWADI</v>
      </c>
      <c r="D399" t="str">
        <v>SLK1</v>
      </c>
      <c r="E399" t="str">
        <v>SHADOWFAX TECHNOLOGIES PRIVATE LIMITED</v>
      </c>
      <c r="F399" t="str">
        <v>MH03AH8989</v>
      </c>
      <c r="G399" t="str">
        <v>ACE</v>
      </c>
      <c r="H399" t="str">
        <v>CNG</v>
      </c>
      <c r="I399">
        <v>4</v>
      </c>
      <c r="J399">
        <v>8</v>
      </c>
      <c r="K399">
        <v>25000</v>
      </c>
      <c r="L399">
        <v>1000</v>
      </c>
      <c r="M399">
        <v>55</v>
      </c>
      <c r="N399">
        <v>31</v>
      </c>
      <c r="O399" t="str">
        <v>PUN01 NC Cluster 1</v>
      </c>
      <c r="P399">
        <v>0</v>
      </c>
      <c r="Q399">
        <v>4.3750000000000004E-2</v>
      </c>
      <c r="R399">
        <v>0.16298611111111111</v>
      </c>
      <c r="S399">
        <v>57636</v>
      </c>
      <c r="T399">
        <v>0.36090277777777779</v>
      </c>
      <c r="U399">
        <v>0.36429398148148145</v>
      </c>
      <c r="V399">
        <v>57655</v>
      </c>
      <c r="W399">
        <v>20</v>
      </c>
      <c r="X399">
        <v>35</v>
      </c>
      <c r="Y399">
        <v>-15</v>
      </c>
      <c r="Z399">
        <v>19</v>
      </c>
      <c r="AA399">
        <v>19</v>
      </c>
      <c r="AB399">
        <v>0</v>
      </c>
      <c r="AC399">
        <v>0</v>
      </c>
      <c r="AD399">
        <v>1</v>
      </c>
      <c r="AE399">
        <v>150</v>
      </c>
      <c r="AF399">
        <v>0</v>
      </c>
      <c r="AG399">
        <v>0</v>
      </c>
      <c r="AH399">
        <v>0</v>
      </c>
      <c r="AI399">
        <v>0</v>
      </c>
      <c r="AJ399">
        <v>956.45</v>
      </c>
      <c r="AK399">
        <v>0</v>
      </c>
      <c r="AL399">
        <v>956.45</v>
      </c>
      <c r="AM399">
        <v>0</v>
      </c>
      <c r="AN399">
        <v>0</v>
      </c>
      <c r="AO399">
        <v>0</v>
      </c>
    </row>
    <row r="400" spans="1:41">
      <c r="A400">
        <v>399</v>
      </c>
      <c r="B400" s="42">
        <v>45948</v>
      </c>
      <c r="C400" t="str">
        <v>HINJEWADI</v>
      </c>
      <c r="D400" t="str">
        <v>SLK1</v>
      </c>
      <c r="E400" t="str">
        <v>SHADOWFAX TECHNOLOGIES PRIVATE LIMITED</v>
      </c>
      <c r="F400" t="str">
        <v>MH12SF9859</v>
      </c>
      <c r="G400" t="str">
        <v>ACE</v>
      </c>
      <c r="H400" t="str">
        <v>CNG</v>
      </c>
      <c r="I400">
        <v>4</v>
      </c>
      <c r="J400">
        <v>8</v>
      </c>
      <c r="K400">
        <v>25000</v>
      </c>
      <c r="L400">
        <v>1000</v>
      </c>
      <c r="M400">
        <v>55</v>
      </c>
      <c r="N400">
        <v>31</v>
      </c>
      <c r="O400" t="str">
        <v>PUN01 NC Cluster 5</v>
      </c>
      <c r="P400">
        <v>0</v>
      </c>
      <c r="Q400">
        <v>5.0694444444444452E-2</v>
      </c>
      <c r="R400">
        <v>0.16383101851851853</v>
      </c>
      <c r="S400">
        <v>110582</v>
      </c>
      <c r="T400">
        <v>0.29158564814814814</v>
      </c>
      <c r="U400">
        <v>0.29200231481481481</v>
      </c>
      <c r="V400">
        <v>110594</v>
      </c>
      <c r="W400">
        <v>30</v>
      </c>
      <c r="X400">
        <v>16</v>
      </c>
      <c r="Y400">
        <v>14</v>
      </c>
      <c r="Z400">
        <v>12</v>
      </c>
      <c r="AA400">
        <v>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806.45</v>
      </c>
      <c r="AK400">
        <v>0</v>
      </c>
      <c r="AL400">
        <v>806.45</v>
      </c>
      <c r="AM400">
        <v>0</v>
      </c>
      <c r="AN400">
        <v>0</v>
      </c>
      <c r="AO400">
        <v>0</v>
      </c>
    </row>
    <row r="401" spans="1:41">
      <c r="A401">
        <v>400</v>
      </c>
      <c r="B401" s="42">
        <v>45948</v>
      </c>
      <c r="C401" t="str">
        <v>HINJEWADI</v>
      </c>
      <c r="D401" t="str">
        <v>SLK1</v>
      </c>
      <c r="E401" t="str">
        <v>SHADOWFAX TECHNOLOGIES PRIVATE LIMITED</v>
      </c>
      <c r="F401" t="str">
        <v>MH12UM3063</v>
      </c>
      <c r="G401" t="str">
        <v>ACE</v>
      </c>
      <c r="H401" t="str">
        <v>CNG</v>
      </c>
      <c r="I401">
        <v>6</v>
      </c>
      <c r="J401">
        <v>8</v>
      </c>
      <c r="K401">
        <v>33000</v>
      </c>
      <c r="L401">
        <v>2000</v>
      </c>
      <c r="M401">
        <v>55</v>
      </c>
      <c r="N401">
        <v>31</v>
      </c>
      <c r="O401" t="str">
        <v>PUN01 NC Cluster 230</v>
      </c>
      <c r="P401">
        <v>0</v>
      </c>
      <c r="Q401">
        <v>4.2361111111111106E-2</v>
      </c>
      <c r="R401">
        <v>0.16416666666666666</v>
      </c>
      <c r="S401">
        <v>100863</v>
      </c>
      <c r="T401">
        <v>0.38872685185185185</v>
      </c>
      <c r="U401">
        <v>0.38880787037037035</v>
      </c>
      <c r="V401">
        <v>100916</v>
      </c>
      <c r="W401">
        <v>40</v>
      </c>
      <c r="X401">
        <v>46</v>
      </c>
      <c r="Y401">
        <v>-6</v>
      </c>
      <c r="Z401">
        <v>53</v>
      </c>
      <c r="AA401">
        <v>53</v>
      </c>
      <c r="AB401">
        <v>0</v>
      </c>
      <c r="AC401">
        <v>0</v>
      </c>
      <c r="AD401">
        <v>1</v>
      </c>
      <c r="AE401">
        <v>150</v>
      </c>
      <c r="AF401">
        <v>0</v>
      </c>
      <c r="AG401">
        <v>0</v>
      </c>
      <c r="AH401">
        <v>0</v>
      </c>
      <c r="AI401">
        <v>0</v>
      </c>
      <c r="AJ401">
        <v>1214.52</v>
      </c>
      <c r="AK401">
        <v>0</v>
      </c>
      <c r="AL401">
        <v>1214.52</v>
      </c>
      <c r="AM401">
        <v>0</v>
      </c>
      <c r="AN401">
        <v>0</v>
      </c>
      <c r="AO401">
        <v>0</v>
      </c>
    </row>
    <row r="402" spans="1:41">
      <c r="A402">
        <v>401</v>
      </c>
      <c r="B402" s="42">
        <v>45948</v>
      </c>
      <c r="C402" t="str">
        <v>HINJEWADI</v>
      </c>
      <c r="D402" t="str">
        <v>SLK1</v>
      </c>
      <c r="E402" t="str">
        <v>SHADOWFAX TECHNOLOGIES PRIVATE LIMITED</v>
      </c>
      <c r="F402" t="str">
        <v>MH12VF3782</v>
      </c>
      <c r="G402" t="str">
        <v>ACE</v>
      </c>
      <c r="H402" t="str">
        <v>CNG</v>
      </c>
      <c r="I402">
        <v>4</v>
      </c>
      <c r="J402">
        <v>8</v>
      </c>
      <c r="K402">
        <v>25000</v>
      </c>
      <c r="L402">
        <v>1000</v>
      </c>
      <c r="M402">
        <v>55</v>
      </c>
      <c r="N402">
        <v>31</v>
      </c>
      <c r="O402" t="str">
        <v>PUN01 NC Cluster 140</v>
      </c>
      <c r="P402">
        <v>0</v>
      </c>
      <c r="Q402">
        <v>0.12222222222222223</v>
      </c>
      <c r="R402">
        <v>0.15658564814814815</v>
      </c>
      <c r="S402">
        <v>84203</v>
      </c>
      <c r="T402">
        <v>0.31537037037037036</v>
      </c>
      <c r="U402">
        <v>0.315462962962963</v>
      </c>
      <c r="V402">
        <v>84228</v>
      </c>
      <c r="W402">
        <v>39</v>
      </c>
      <c r="X402">
        <v>52</v>
      </c>
      <c r="Y402">
        <v>-13</v>
      </c>
      <c r="Z402">
        <v>25</v>
      </c>
      <c r="AA402">
        <v>25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806.45</v>
      </c>
      <c r="AK402">
        <v>0</v>
      </c>
      <c r="AL402">
        <v>806.45</v>
      </c>
      <c r="AM402">
        <v>0</v>
      </c>
      <c r="AN402">
        <v>0</v>
      </c>
      <c r="AO402">
        <v>0</v>
      </c>
    </row>
    <row r="403" spans="1:41">
      <c r="A403">
        <v>402</v>
      </c>
      <c r="B403" s="42">
        <v>45948</v>
      </c>
      <c r="C403" t="str">
        <v>HINJEWADI</v>
      </c>
      <c r="D403" t="str">
        <v>SLK1</v>
      </c>
      <c r="E403" t="str">
        <v>SHADOWFAX TECHNOLOGIES PRIVATE LIMITED</v>
      </c>
      <c r="F403" t="str">
        <v>MH12WX6236</v>
      </c>
      <c r="G403" t="str">
        <v>ACE</v>
      </c>
      <c r="H403" t="str">
        <v>CNG</v>
      </c>
      <c r="I403">
        <v>4</v>
      </c>
      <c r="J403">
        <v>8</v>
      </c>
      <c r="K403">
        <v>25000</v>
      </c>
      <c r="L403">
        <v>1000</v>
      </c>
      <c r="M403">
        <v>55</v>
      </c>
      <c r="N403">
        <v>31</v>
      </c>
      <c r="O403" t="str">
        <v>PUN01 NC Cluster 133</v>
      </c>
      <c r="P403">
        <v>0</v>
      </c>
      <c r="Q403">
        <v>5.0694444444444452E-2</v>
      </c>
      <c r="R403">
        <v>0.15761574074074072</v>
      </c>
      <c r="S403">
        <v>38459</v>
      </c>
      <c r="T403">
        <v>0.31480324074074073</v>
      </c>
      <c r="U403">
        <v>0.31491898148148151</v>
      </c>
      <c r="V403">
        <v>38493</v>
      </c>
      <c r="W403">
        <v>40</v>
      </c>
      <c r="X403">
        <v>66</v>
      </c>
      <c r="Y403">
        <v>-26</v>
      </c>
      <c r="Z403">
        <v>34</v>
      </c>
      <c r="AA403">
        <v>34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806.45</v>
      </c>
      <c r="AK403">
        <v>0</v>
      </c>
      <c r="AL403">
        <v>806.45</v>
      </c>
      <c r="AM403">
        <v>0</v>
      </c>
      <c r="AN403">
        <v>0</v>
      </c>
      <c r="AO403">
        <v>0</v>
      </c>
    </row>
    <row r="404" spans="1:41">
      <c r="A404">
        <v>403</v>
      </c>
      <c r="B404" s="42">
        <v>45948</v>
      </c>
      <c r="C404" t="str">
        <v>HINJEWADI</v>
      </c>
      <c r="D404" t="str">
        <v>SLK1</v>
      </c>
      <c r="E404" t="str">
        <v>SHADOWFAX TECHNOLOGIES PRIVATE LIMITED</v>
      </c>
      <c r="F404" t="str">
        <v>MH12XM2801</v>
      </c>
      <c r="G404" t="str">
        <v>ACE</v>
      </c>
      <c r="H404" t="str">
        <v>CNG</v>
      </c>
      <c r="I404">
        <v>4</v>
      </c>
      <c r="J404">
        <v>8</v>
      </c>
      <c r="K404">
        <v>25000</v>
      </c>
      <c r="L404">
        <v>1000</v>
      </c>
      <c r="M404">
        <v>55</v>
      </c>
      <c r="N404">
        <v>31</v>
      </c>
      <c r="O404" t="str">
        <v>PUN01 NC Cluster 60</v>
      </c>
      <c r="P404">
        <v>0</v>
      </c>
      <c r="Q404">
        <v>4.6527777777777779E-2</v>
      </c>
      <c r="R404">
        <v>0.16197916666666667</v>
      </c>
      <c r="S404">
        <v>12693</v>
      </c>
      <c r="T404">
        <v>0.36493055555555554</v>
      </c>
      <c r="U404">
        <v>0.36499999999999999</v>
      </c>
      <c r="V404">
        <v>12710</v>
      </c>
      <c r="W404">
        <v>32</v>
      </c>
      <c r="X404">
        <v>21</v>
      </c>
      <c r="Y404">
        <v>11</v>
      </c>
      <c r="Z404">
        <v>17</v>
      </c>
      <c r="AA404">
        <v>17</v>
      </c>
      <c r="AB404">
        <v>0</v>
      </c>
      <c r="AC404">
        <v>0</v>
      </c>
      <c r="AD404">
        <v>1</v>
      </c>
      <c r="AE404">
        <v>150</v>
      </c>
      <c r="AF404">
        <v>0</v>
      </c>
      <c r="AG404">
        <v>0</v>
      </c>
      <c r="AH404">
        <v>0</v>
      </c>
      <c r="AI404">
        <v>0</v>
      </c>
      <c r="AJ404">
        <v>956.45</v>
      </c>
      <c r="AK404">
        <v>0</v>
      </c>
      <c r="AL404">
        <v>956.45</v>
      </c>
      <c r="AM404">
        <v>0</v>
      </c>
      <c r="AN404">
        <v>0</v>
      </c>
      <c r="AO404">
        <v>0</v>
      </c>
    </row>
    <row r="405" spans="1:41">
      <c r="A405">
        <v>404</v>
      </c>
      <c r="B405" s="42">
        <v>45948</v>
      </c>
      <c r="C405" t="str">
        <v>HINJEWADI</v>
      </c>
      <c r="D405" t="str">
        <v>SLK1</v>
      </c>
      <c r="E405" t="str">
        <v>SHADOWFAX TECHNOLOGIES PRIVATE LIMITED</v>
      </c>
      <c r="F405" t="str">
        <v>MH14CP4610</v>
      </c>
      <c r="G405" t="str">
        <v>ACE</v>
      </c>
      <c r="H405" t="str">
        <v>CNG</v>
      </c>
      <c r="I405">
        <v>4</v>
      </c>
      <c r="J405">
        <v>8</v>
      </c>
      <c r="K405">
        <v>25000</v>
      </c>
      <c r="L405">
        <v>1000</v>
      </c>
      <c r="M405">
        <v>55</v>
      </c>
      <c r="N405">
        <v>31</v>
      </c>
      <c r="O405" t="str">
        <v>PUN01 NC Cluster 87</v>
      </c>
      <c r="P405">
        <v>0</v>
      </c>
      <c r="Q405">
        <v>9.375E-2</v>
      </c>
      <c r="R405">
        <v>0.16067129629629631</v>
      </c>
      <c r="S405">
        <v>145393</v>
      </c>
      <c r="T405">
        <v>0.35160879629629632</v>
      </c>
      <c r="U405">
        <v>0.35174768518518523</v>
      </c>
      <c r="V405">
        <v>145415</v>
      </c>
      <c r="W405">
        <v>40</v>
      </c>
      <c r="X405">
        <v>23</v>
      </c>
      <c r="Y405">
        <v>17</v>
      </c>
      <c r="Z405">
        <v>22</v>
      </c>
      <c r="AA405">
        <v>22</v>
      </c>
      <c r="AB405">
        <v>0</v>
      </c>
      <c r="AC405">
        <v>0</v>
      </c>
      <c r="AD405">
        <v>1</v>
      </c>
      <c r="AE405">
        <v>150</v>
      </c>
      <c r="AF405">
        <v>0</v>
      </c>
      <c r="AG405">
        <v>0</v>
      </c>
      <c r="AH405">
        <v>0</v>
      </c>
      <c r="AI405">
        <v>0</v>
      </c>
      <c r="AJ405">
        <v>956.45</v>
      </c>
      <c r="AK405">
        <v>0</v>
      </c>
      <c r="AL405">
        <v>956.45</v>
      </c>
      <c r="AM405">
        <v>0</v>
      </c>
      <c r="AN405">
        <v>0</v>
      </c>
      <c r="AO405">
        <v>0</v>
      </c>
    </row>
    <row r="406" spans="1:41">
      <c r="A406">
        <v>405</v>
      </c>
      <c r="B406" s="42">
        <v>45948</v>
      </c>
      <c r="C406" t="str">
        <v>HINJEWADI</v>
      </c>
      <c r="D406" t="str">
        <v>SLK1</v>
      </c>
      <c r="E406" t="str">
        <v>SHADOWFAX TECHNOLOGIES PRIVATE LIMITED</v>
      </c>
      <c r="F406" t="str">
        <v>MH14EM3160</v>
      </c>
      <c r="G406" t="str">
        <v>ACE</v>
      </c>
      <c r="H406" t="str">
        <v>CNG</v>
      </c>
      <c r="I406">
        <v>4</v>
      </c>
      <c r="J406">
        <v>8</v>
      </c>
      <c r="K406">
        <v>25000</v>
      </c>
      <c r="L406">
        <v>1000</v>
      </c>
      <c r="M406">
        <v>55</v>
      </c>
      <c r="N406">
        <v>31</v>
      </c>
      <c r="O406" t="str">
        <v>PUN01 NC Cluster 10</v>
      </c>
      <c r="P406">
        <v>0</v>
      </c>
      <c r="Q406">
        <v>4.3055555555555562E-2</v>
      </c>
      <c r="R406">
        <v>0.16435185185185186</v>
      </c>
      <c r="S406">
        <v>165612</v>
      </c>
      <c r="T406">
        <v>0.36218750000000005</v>
      </c>
      <c r="U406">
        <v>0.36231481481481481</v>
      </c>
      <c r="V406">
        <v>165631</v>
      </c>
      <c r="W406">
        <v>30</v>
      </c>
      <c r="X406">
        <v>42</v>
      </c>
      <c r="Y406">
        <v>-12</v>
      </c>
      <c r="Z406">
        <v>19</v>
      </c>
      <c r="AA406">
        <v>19</v>
      </c>
      <c r="AB406">
        <v>0</v>
      </c>
      <c r="AC406">
        <v>0</v>
      </c>
      <c r="AD406">
        <v>1</v>
      </c>
      <c r="AE406">
        <v>150</v>
      </c>
      <c r="AF406">
        <v>0</v>
      </c>
      <c r="AG406">
        <v>0</v>
      </c>
      <c r="AH406">
        <v>0</v>
      </c>
      <c r="AI406">
        <v>0</v>
      </c>
      <c r="AJ406">
        <v>956.45</v>
      </c>
      <c r="AK406">
        <v>0</v>
      </c>
      <c r="AL406">
        <v>956.45</v>
      </c>
      <c r="AM406">
        <v>0</v>
      </c>
      <c r="AN406">
        <v>0</v>
      </c>
      <c r="AO406">
        <v>0</v>
      </c>
    </row>
    <row r="407" spans="1:41">
      <c r="A407">
        <v>406</v>
      </c>
      <c r="B407" s="42">
        <v>45948</v>
      </c>
      <c r="C407" t="str">
        <v>HINJEWADI</v>
      </c>
      <c r="D407" t="str">
        <v>SLK1</v>
      </c>
      <c r="E407" t="str">
        <v>SHADOWFAX TECHNOLOGIES PRIVATE LIMITED</v>
      </c>
      <c r="F407" t="str">
        <v>MH14JL3308</v>
      </c>
      <c r="G407" t="str">
        <v>ACE</v>
      </c>
      <c r="H407" t="str">
        <v>CNG</v>
      </c>
      <c r="I407">
        <v>4</v>
      </c>
      <c r="J407">
        <v>8</v>
      </c>
      <c r="K407">
        <v>25000</v>
      </c>
      <c r="L407">
        <v>1000</v>
      </c>
      <c r="M407">
        <v>55</v>
      </c>
      <c r="N407">
        <v>31</v>
      </c>
      <c r="O407" t="str">
        <v>PUN01 NC Cluster 18A</v>
      </c>
      <c r="P407">
        <v>0</v>
      </c>
      <c r="Q407">
        <v>8.0555555555555561E-2</v>
      </c>
      <c r="R407">
        <v>0.15777777777777777</v>
      </c>
      <c r="S407">
        <v>115760</v>
      </c>
      <c r="T407">
        <v>0.33413194444444444</v>
      </c>
      <c r="U407">
        <v>0.33422453703703708</v>
      </c>
      <c r="V407">
        <v>115784</v>
      </c>
      <c r="W407">
        <v>60</v>
      </c>
      <c r="X407">
        <v>36</v>
      </c>
      <c r="Y407">
        <v>24</v>
      </c>
      <c r="Z407">
        <v>24</v>
      </c>
      <c r="AA407">
        <v>24</v>
      </c>
      <c r="AB407">
        <v>0</v>
      </c>
      <c r="AC407">
        <v>0</v>
      </c>
      <c r="AD407">
        <v>1</v>
      </c>
      <c r="AE407">
        <v>150</v>
      </c>
      <c r="AF407">
        <v>0</v>
      </c>
      <c r="AG407">
        <v>0</v>
      </c>
      <c r="AH407">
        <v>0</v>
      </c>
      <c r="AI407">
        <v>0</v>
      </c>
      <c r="AJ407">
        <v>956.45</v>
      </c>
      <c r="AK407">
        <v>0</v>
      </c>
      <c r="AL407">
        <v>956.45</v>
      </c>
      <c r="AM407">
        <v>0</v>
      </c>
      <c r="AN407">
        <v>0</v>
      </c>
      <c r="AO407">
        <v>0</v>
      </c>
    </row>
    <row r="408" spans="1:41">
      <c r="A408">
        <v>407</v>
      </c>
      <c r="B408" s="42">
        <v>45948</v>
      </c>
      <c r="C408" t="str">
        <v>HINJEWADI</v>
      </c>
      <c r="D408" t="str">
        <v>SLK1</v>
      </c>
      <c r="E408" t="str">
        <v>SHADOWFAX TECHNOLOGIES PRIVATE LIMITED</v>
      </c>
      <c r="F408" t="str">
        <v>MH14KA0766</v>
      </c>
      <c r="G408" t="str">
        <v>ACE</v>
      </c>
      <c r="H408" t="str">
        <v>CNG</v>
      </c>
      <c r="I408">
        <v>4</v>
      </c>
      <c r="J408">
        <v>8</v>
      </c>
      <c r="K408">
        <v>25000</v>
      </c>
      <c r="L408">
        <v>1000</v>
      </c>
      <c r="M408">
        <v>55</v>
      </c>
      <c r="N408">
        <v>31</v>
      </c>
      <c r="O408" t="str">
        <v>PUN01 NC Cluster 13</v>
      </c>
      <c r="P408">
        <v>0</v>
      </c>
      <c r="Q408">
        <v>0.1111111111111111</v>
      </c>
      <c r="R408">
        <v>0.16526620370370371</v>
      </c>
      <c r="S408">
        <v>144585</v>
      </c>
      <c r="T408">
        <v>0.32644675925925926</v>
      </c>
      <c r="U408">
        <v>0.32655092592592594</v>
      </c>
      <c r="V408">
        <v>144605</v>
      </c>
      <c r="W408">
        <v>34</v>
      </c>
      <c r="X408">
        <v>26</v>
      </c>
      <c r="Y408">
        <v>8</v>
      </c>
      <c r="Z408">
        <v>20</v>
      </c>
      <c r="AA408">
        <v>20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806.45</v>
      </c>
      <c r="AK408">
        <v>0</v>
      </c>
      <c r="AL408">
        <v>806.45</v>
      </c>
      <c r="AM408">
        <v>0</v>
      </c>
      <c r="AN408">
        <v>0</v>
      </c>
      <c r="AO408">
        <v>0</v>
      </c>
    </row>
    <row r="409" spans="1:41">
      <c r="A409">
        <v>408</v>
      </c>
      <c r="B409" s="42">
        <v>45948</v>
      </c>
      <c r="C409" t="str">
        <v>HINJEWADI</v>
      </c>
      <c r="D409" t="str">
        <v>SLK1</v>
      </c>
      <c r="E409" t="str">
        <v>SHADOWFAX TECHNOLOGIES PRIVATE LIMITED</v>
      </c>
      <c r="F409" t="str">
        <v>MH14KA1873</v>
      </c>
      <c r="G409" t="str">
        <v>ACE</v>
      </c>
      <c r="H409" t="str">
        <v>CNG</v>
      </c>
      <c r="I409">
        <v>4</v>
      </c>
      <c r="J409">
        <v>8</v>
      </c>
      <c r="K409">
        <v>25000</v>
      </c>
      <c r="L409">
        <v>1000</v>
      </c>
      <c r="M409">
        <v>55</v>
      </c>
      <c r="N409">
        <v>31</v>
      </c>
      <c r="O409" t="str">
        <v>PUN01 NC Cluster 131</v>
      </c>
      <c r="P409">
        <v>0</v>
      </c>
      <c r="Q409">
        <v>4.6527777777777779E-2</v>
      </c>
      <c r="R409">
        <v>0.15837962962962962</v>
      </c>
      <c r="S409">
        <v>113578</v>
      </c>
      <c r="T409">
        <v>0.36462962962962964</v>
      </c>
      <c r="U409">
        <v>0.36471064814814813</v>
      </c>
      <c r="V409">
        <v>113593</v>
      </c>
      <c r="W409">
        <v>35</v>
      </c>
      <c r="X409">
        <v>40</v>
      </c>
      <c r="Y409">
        <v>-5</v>
      </c>
      <c r="Z409">
        <v>15</v>
      </c>
      <c r="AA409">
        <v>15</v>
      </c>
      <c r="AB409">
        <v>0</v>
      </c>
      <c r="AC409">
        <v>0</v>
      </c>
      <c r="AD409">
        <v>1</v>
      </c>
      <c r="AE409">
        <v>150</v>
      </c>
      <c r="AF409">
        <v>0</v>
      </c>
      <c r="AG409">
        <v>0</v>
      </c>
      <c r="AH409">
        <v>0</v>
      </c>
      <c r="AI409">
        <v>0</v>
      </c>
      <c r="AJ409">
        <v>956.45</v>
      </c>
      <c r="AK409">
        <v>0</v>
      </c>
      <c r="AL409">
        <v>956.45</v>
      </c>
      <c r="AM409">
        <v>0</v>
      </c>
      <c r="AN409">
        <v>0</v>
      </c>
      <c r="AO409">
        <v>0</v>
      </c>
    </row>
    <row r="410" spans="1:41">
      <c r="A410">
        <v>409</v>
      </c>
      <c r="B410" s="42">
        <v>45948</v>
      </c>
      <c r="C410" t="str">
        <v>HINJEWADI</v>
      </c>
      <c r="D410" t="str">
        <v>SLK1</v>
      </c>
      <c r="E410" t="str">
        <v>SHADOWFAX TECHNOLOGIES PRIVATE LIMITED</v>
      </c>
      <c r="F410" t="str">
        <v>MH14KA6513</v>
      </c>
      <c r="G410" t="str">
        <v>ACE</v>
      </c>
      <c r="H410" t="str">
        <v>CNG</v>
      </c>
      <c r="I410">
        <v>6</v>
      </c>
      <c r="J410">
        <v>8</v>
      </c>
      <c r="K410">
        <v>33000</v>
      </c>
      <c r="L410">
        <v>2000</v>
      </c>
      <c r="M410">
        <v>55</v>
      </c>
      <c r="N410">
        <v>31</v>
      </c>
      <c r="O410" t="str">
        <v>PUN01 NC Cluster 229</v>
      </c>
      <c r="P410">
        <v>0</v>
      </c>
      <c r="Q410">
        <v>0.10069444444444443</v>
      </c>
      <c r="R410">
        <v>0.16472222222222221</v>
      </c>
      <c r="S410">
        <v>48237</v>
      </c>
      <c r="T410">
        <v>0.3392592592592592</v>
      </c>
      <c r="U410">
        <v>0.3395023148148148</v>
      </c>
      <c r="V410">
        <v>48299</v>
      </c>
      <c r="W410">
        <v>38</v>
      </c>
      <c r="X410">
        <v>35</v>
      </c>
      <c r="Y410">
        <v>3</v>
      </c>
      <c r="Z410">
        <v>62</v>
      </c>
      <c r="AA410">
        <v>62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1064.52</v>
      </c>
      <c r="AK410">
        <v>0</v>
      </c>
      <c r="AL410">
        <v>1064.52</v>
      </c>
      <c r="AM410">
        <v>0</v>
      </c>
      <c r="AN410">
        <v>0</v>
      </c>
      <c r="AO410">
        <v>0</v>
      </c>
    </row>
    <row r="411" spans="1:41">
      <c r="A411">
        <v>410</v>
      </c>
      <c r="B411" s="42">
        <v>45948</v>
      </c>
      <c r="C411" t="str">
        <v>HINJEWADI</v>
      </c>
      <c r="D411" t="str">
        <v>SLK1</v>
      </c>
      <c r="E411" t="str">
        <v>SHADOWFAX TECHNOLOGIES PRIVATE LIMITED</v>
      </c>
      <c r="F411" t="str">
        <v>MH14KA6730</v>
      </c>
      <c r="G411" t="str">
        <v>ACE</v>
      </c>
      <c r="H411" t="str">
        <v>CNG</v>
      </c>
      <c r="I411">
        <v>4</v>
      </c>
      <c r="J411">
        <v>8</v>
      </c>
      <c r="K411">
        <v>25000</v>
      </c>
      <c r="L411">
        <v>1000</v>
      </c>
      <c r="M411">
        <v>55</v>
      </c>
      <c r="N411">
        <v>31</v>
      </c>
      <c r="O411" t="str">
        <v>PUN01 NC Cluster 59</v>
      </c>
      <c r="P411">
        <v>0</v>
      </c>
      <c r="Q411">
        <v>4.8611111111111112E-2</v>
      </c>
      <c r="R411">
        <v>0.15983796296296296</v>
      </c>
      <c r="S411">
        <v>87991</v>
      </c>
      <c r="T411">
        <v>0.29012731481481485</v>
      </c>
      <c r="U411">
        <v>0.29028935185185184</v>
      </c>
      <c r="V411">
        <v>88009</v>
      </c>
      <c r="W411">
        <v>35</v>
      </c>
      <c r="X411">
        <v>25</v>
      </c>
      <c r="Y411">
        <v>10</v>
      </c>
      <c r="Z411">
        <v>18</v>
      </c>
      <c r="AA411">
        <v>18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806.45</v>
      </c>
      <c r="AK411">
        <v>0</v>
      </c>
      <c r="AL411">
        <v>806.45</v>
      </c>
      <c r="AM411">
        <v>0</v>
      </c>
      <c r="AN411">
        <v>0</v>
      </c>
      <c r="AO411">
        <v>0</v>
      </c>
    </row>
    <row r="412" spans="1:41">
      <c r="A412">
        <v>411</v>
      </c>
      <c r="B412" s="42">
        <v>45948</v>
      </c>
      <c r="C412" t="str">
        <v>HINJEWADI</v>
      </c>
      <c r="D412" t="str">
        <v>SLK1</v>
      </c>
      <c r="E412" t="str">
        <v>SHADOWFAX TECHNOLOGIES PRIVATE LIMITED</v>
      </c>
      <c r="F412" t="str">
        <v>MH14LB4598</v>
      </c>
      <c r="G412" t="str">
        <v>ACE</v>
      </c>
      <c r="H412" t="str">
        <v>CNG</v>
      </c>
      <c r="I412">
        <v>4</v>
      </c>
      <c r="J412">
        <v>8</v>
      </c>
      <c r="K412">
        <v>25000</v>
      </c>
      <c r="L412">
        <v>1000</v>
      </c>
      <c r="M412">
        <v>55</v>
      </c>
      <c r="N412">
        <v>31</v>
      </c>
      <c r="O412" t="str">
        <v>PUN01 NC Cluster 93</v>
      </c>
      <c r="P412">
        <v>0</v>
      </c>
      <c r="Q412">
        <v>6.7361111111111108E-2</v>
      </c>
      <c r="R412">
        <v>0.16317129629629631</v>
      </c>
      <c r="S412">
        <v>66267</v>
      </c>
      <c r="T412">
        <v>0.36581018518518515</v>
      </c>
      <c r="U412">
        <v>0.3659722222222222</v>
      </c>
      <c r="V412">
        <v>66280</v>
      </c>
      <c r="W412">
        <v>35</v>
      </c>
      <c r="X412">
        <v>28</v>
      </c>
      <c r="Y412">
        <v>7</v>
      </c>
      <c r="Z412">
        <v>13</v>
      </c>
      <c r="AA412">
        <v>13</v>
      </c>
      <c r="AB412">
        <v>0</v>
      </c>
      <c r="AC412">
        <v>0</v>
      </c>
      <c r="AD412">
        <v>1</v>
      </c>
      <c r="AE412">
        <v>150</v>
      </c>
      <c r="AF412">
        <v>0</v>
      </c>
      <c r="AG412">
        <v>0</v>
      </c>
      <c r="AH412">
        <v>0</v>
      </c>
      <c r="AI412">
        <v>0</v>
      </c>
      <c r="AJ412">
        <v>956.45</v>
      </c>
      <c r="AK412">
        <v>0</v>
      </c>
      <c r="AL412">
        <v>956.45</v>
      </c>
      <c r="AM412">
        <v>0</v>
      </c>
      <c r="AN412">
        <v>0</v>
      </c>
      <c r="AO412">
        <v>0</v>
      </c>
    </row>
    <row r="413" spans="1:41">
      <c r="A413">
        <v>412</v>
      </c>
      <c r="B413" s="42">
        <v>45948</v>
      </c>
      <c r="C413" t="str">
        <v>HINJEWADI</v>
      </c>
      <c r="D413" t="str">
        <v>SLK1</v>
      </c>
      <c r="E413" t="str">
        <v>SHADOWFAX TECHNOLOGIES PRIVATE LIMITED</v>
      </c>
      <c r="F413" t="str">
        <v>MH14LB5906</v>
      </c>
      <c r="G413" t="str">
        <v>ACE</v>
      </c>
      <c r="H413" t="str">
        <v>CNG</v>
      </c>
      <c r="I413">
        <v>4</v>
      </c>
      <c r="J413">
        <v>8</v>
      </c>
      <c r="K413">
        <v>25000</v>
      </c>
      <c r="L413">
        <v>1000</v>
      </c>
      <c r="M413">
        <v>55</v>
      </c>
      <c r="N413">
        <v>31</v>
      </c>
      <c r="O413" t="str">
        <v>PUN01 NC Cluster 97</v>
      </c>
      <c r="P413">
        <v>0</v>
      </c>
      <c r="Q413">
        <v>0.14583333333333334</v>
      </c>
      <c r="R413">
        <v>0.2860300925925926</v>
      </c>
      <c r="S413">
        <v>44838</v>
      </c>
      <c r="T413">
        <v>0.32290509259259259</v>
      </c>
      <c r="U413">
        <v>0.32303240740740741</v>
      </c>
      <c r="V413">
        <v>44862</v>
      </c>
      <c r="W413">
        <v>20</v>
      </c>
      <c r="X413">
        <v>0</v>
      </c>
      <c r="Y413">
        <v>20</v>
      </c>
      <c r="Z413">
        <v>24</v>
      </c>
      <c r="AA413">
        <v>24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806.45</v>
      </c>
      <c r="AK413">
        <v>0</v>
      </c>
      <c r="AL413">
        <v>806.45</v>
      </c>
      <c r="AM413">
        <v>0</v>
      </c>
      <c r="AN413">
        <v>0</v>
      </c>
      <c r="AO413">
        <v>0</v>
      </c>
    </row>
    <row r="414" spans="1:41">
      <c r="A414">
        <v>413</v>
      </c>
      <c r="B414" s="42">
        <v>45948</v>
      </c>
      <c r="C414" t="str">
        <v>HINJEWADI</v>
      </c>
      <c r="D414" t="str">
        <v>SLK1</v>
      </c>
      <c r="E414" t="str">
        <v>SHADOWFAX TECHNOLOGIES PRIVATE LIMITED</v>
      </c>
      <c r="F414" t="str">
        <v>MH14LB6751</v>
      </c>
      <c r="G414" t="str">
        <v>ACE</v>
      </c>
      <c r="H414" t="str">
        <v>CNG</v>
      </c>
      <c r="I414">
        <v>4</v>
      </c>
      <c r="J414">
        <v>8</v>
      </c>
      <c r="K414">
        <v>25000</v>
      </c>
      <c r="L414">
        <v>1000</v>
      </c>
      <c r="M414">
        <v>55</v>
      </c>
      <c r="N414">
        <v>31</v>
      </c>
      <c r="O414" t="str">
        <v>PUN01 NC Cluster 36</v>
      </c>
      <c r="P414">
        <v>0</v>
      </c>
      <c r="Q414">
        <v>4.7916666666666663E-2</v>
      </c>
      <c r="R414">
        <v>0.16855324074074074</v>
      </c>
      <c r="S414">
        <v>84252</v>
      </c>
      <c r="T414">
        <v>0.30768518518518517</v>
      </c>
      <c r="U414">
        <v>0.30778935185185186</v>
      </c>
      <c r="V414">
        <v>84269</v>
      </c>
      <c r="W414">
        <v>35</v>
      </c>
      <c r="X414">
        <v>26</v>
      </c>
      <c r="Y414">
        <v>9</v>
      </c>
      <c r="Z414">
        <v>17</v>
      </c>
      <c r="AA414">
        <v>17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806.45</v>
      </c>
      <c r="AK414">
        <v>0</v>
      </c>
      <c r="AL414">
        <v>806.45</v>
      </c>
      <c r="AM414">
        <v>0</v>
      </c>
      <c r="AN414">
        <v>0</v>
      </c>
      <c r="AO414">
        <v>0</v>
      </c>
    </row>
    <row r="415" spans="1:41">
      <c r="A415">
        <v>414</v>
      </c>
      <c r="B415" s="42">
        <v>45948</v>
      </c>
      <c r="C415" t="str">
        <v>HINJEWADI</v>
      </c>
      <c r="D415" t="str">
        <v>SLK1</v>
      </c>
      <c r="E415" t="str">
        <v>SHADOWFAX TECHNOLOGIES PRIVATE LIMITED</v>
      </c>
      <c r="F415" t="str">
        <v>MH14LL5974</v>
      </c>
      <c r="G415" t="str">
        <v>ACE</v>
      </c>
      <c r="H415" t="str">
        <v>CNG</v>
      </c>
      <c r="I415">
        <v>4</v>
      </c>
      <c r="J415">
        <v>8</v>
      </c>
      <c r="K415">
        <v>25000</v>
      </c>
      <c r="L415">
        <v>1000</v>
      </c>
      <c r="M415">
        <v>55</v>
      </c>
      <c r="N415">
        <v>31</v>
      </c>
      <c r="O415" t="str">
        <v>PUN01 NC Cluster 2A</v>
      </c>
      <c r="P415">
        <v>0</v>
      </c>
      <c r="Q415">
        <v>9.1666666666666674E-2</v>
      </c>
      <c r="R415">
        <v>0.16546296296296295</v>
      </c>
      <c r="S415">
        <v>37073</v>
      </c>
      <c r="T415">
        <v>0.36380787037037038</v>
      </c>
      <c r="U415">
        <v>0.36398148148148146</v>
      </c>
      <c r="V415">
        <v>37082</v>
      </c>
      <c r="W415">
        <v>34</v>
      </c>
      <c r="X415">
        <v>41</v>
      </c>
      <c r="Y415">
        <v>-7</v>
      </c>
      <c r="Z415">
        <v>9</v>
      </c>
      <c r="AA415">
        <v>9</v>
      </c>
      <c r="AB415">
        <v>0</v>
      </c>
      <c r="AC415">
        <v>0</v>
      </c>
      <c r="AD415">
        <v>1</v>
      </c>
      <c r="AE415">
        <v>150</v>
      </c>
      <c r="AF415">
        <v>0</v>
      </c>
      <c r="AG415">
        <v>0</v>
      </c>
      <c r="AH415">
        <v>0</v>
      </c>
      <c r="AI415">
        <v>0</v>
      </c>
      <c r="AJ415">
        <v>956.45</v>
      </c>
      <c r="AK415">
        <v>0</v>
      </c>
      <c r="AL415">
        <v>956.45</v>
      </c>
      <c r="AM415">
        <v>0</v>
      </c>
      <c r="AN415">
        <v>0</v>
      </c>
      <c r="AO415">
        <v>0</v>
      </c>
    </row>
    <row r="416" spans="1:41">
      <c r="A416">
        <v>415</v>
      </c>
      <c r="B416" s="42">
        <v>45948</v>
      </c>
      <c r="C416" t="str">
        <v>HINJEWADI</v>
      </c>
      <c r="D416" t="str">
        <v>SLK1</v>
      </c>
      <c r="E416" t="str">
        <v>SHADOWFAX TECHNOLOGIES PRIVATE LIMITED</v>
      </c>
      <c r="F416" t="str">
        <v>MH14LL6836</v>
      </c>
      <c r="G416" t="str">
        <v>ACE</v>
      </c>
      <c r="H416" t="str">
        <v>CNG</v>
      </c>
      <c r="I416">
        <v>6</v>
      </c>
      <c r="J416">
        <v>8</v>
      </c>
      <c r="K416">
        <v>33000</v>
      </c>
      <c r="L416">
        <v>2000</v>
      </c>
      <c r="M416">
        <v>55</v>
      </c>
      <c r="N416">
        <v>31</v>
      </c>
      <c r="O416" t="str">
        <v>PUN01 NC Cluster 303</v>
      </c>
      <c r="P416">
        <v>0</v>
      </c>
      <c r="Q416">
        <v>8.819444444444445E-2</v>
      </c>
      <c r="R416">
        <v>0.1645601851851852</v>
      </c>
      <c r="S416">
        <v>34030</v>
      </c>
      <c r="T416">
        <v>0.31182870370370369</v>
      </c>
      <c r="U416">
        <v>0.3119675925925926</v>
      </c>
      <c r="V416">
        <v>34099</v>
      </c>
      <c r="W416">
        <v>34</v>
      </c>
      <c r="X416">
        <v>31</v>
      </c>
      <c r="Y416">
        <v>3</v>
      </c>
      <c r="Z416">
        <v>69</v>
      </c>
      <c r="AA416">
        <v>69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1064.52</v>
      </c>
      <c r="AK416">
        <v>0</v>
      </c>
      <c r="AL416">
        <v>1064.52</v>
      </c>
      <c r="AM416">
        <v>0</v>
      </c>
      <c r="AN416">
        <v>0</v>
      </c>
      <c r="AO416">
        <v>0</v>
      </c>
    </row>
    <row r="417" spans="1:41">
      <c r="A417">
        <v>416</v>
      </c>
      <c r="B417" s="42">
        <v>45948</v>
      </c>
      <c r="C417" t="str">
        <v>HINJEWADI</v>
      </c>
      <c r="D417" t="str">
        <v>SLK1</v>
      </c>
      <c r="E417" t="str">
        <v>SHADOWFAX TECHNOLOGIES PRIVATE LIMITED</v>
      </c>
      <c r="F417" t="str">
        <v>MH14LX6360</v>
      </c>
      <c r="G417" t="str">
        <v>ACE</v>
      </c>
      <c r="H417" t="str">
        <v>CNG</v>
      </c>
      <c r="I417">
        <v>4</v>
      </c>
      <c r="J417">
        <v>8</v>
      </c>
      <c r="K417">
        <v>25000</v>
      </c>
      <c r="L417">
        <v>1000</v>
      </c>
      <c r="M417">
        <v>55</v>
      </c>
      <c r="N417">
        <v>31</v>
      </c>
      <c r="O417" t="str">
        <v>PUN01 NC Cluster 41</v>
      </c>
      <c r="P417">
        <v>0</v>
      </c>
      <c r="Q417">
        <v>4.7222222222222221E-2</v>
      </c>
      <c r="R417">
        <v>0.16043981481481481</v>
      </c>
      <c r="S417">
        <v>39027</v>
      </c>
      <c r="T417">
        <v>0.29496527777777776</v>
      </c>
      <c r="U417">
        <v>0.29506944444444444</v>
      </c>
      <c r="V417">
        <v>39044</v>
      </c>
      <c r="W417">
        <v>30</v>
      </c>
      <c r="X417">
        <v>40</v>
      </c>
      <c r="Y417">
        <v>-10</v>
      </c>
      <c r="Z417">
        <v>17</v>
      </c>
      <c r="AA417">
        <v>17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806.45</v>
      </c>
      <c r="AK417">
        <v>0</v>
      </c>
      <c r="AL417">
        <v>806.45</v>
      </c>
      <c r="AM417">
        <v>0</v>
      </c>
      <c r="AN417">
        <v>0</v>
      </c>
      <c r="AO417">
        <v>0</v>
      </c>
    </row>
    <row r="418" spans="1:41">
      <c r="A418">
        <v>417</v>
      </c>
      <c r="B418" s="42">
        <v>45948</v>
      </c>
      <c r="C418" t="str">
        <v>HINJEWADI</v>
      </c>
      <c r="D418" t="str">
        <v>SLK1</v>
      </c>
      <c r="E418" t="str">
        <v>SHADOWFAX TECHNOLOGIES PRIVATE LIMITED</v>
      </c>
      <c r="F418" t="str">
        <v>MH14MH6374</v>
      </c>
      <c r="G418" t="str">
        <v>ACE</v>
      </c>
      <c r="H418" t="str">
        <v>CNG</v>
      </c>
      <c r="I418">
        <v>4</v>
      </c>
      <c r="J418">
        <v>8</v>
      </c>
      <c r="K418">
        <v>25000</v>
      </c>
      <c r="L418">
        <v>1000</v>
      </c>
      <c r="M418">
        <v>55</v>
      </c>
      <c r="N418">
        <v>31</v>
      </c>
      <c r="O418" t="str">
        <v>PUN01 NC Cluster 201</v>
      </c>
      <c r="P418">
        <v>0</v>
      </c>
      <c r="Q418">
        <v>4.9305555555555554E-2</v>
      </c>
      <c r="R418">
        <v>0.15726851851851853</v>
      </c>
      <c r="S418">
        <v>7605</v>
      </c>
      <c r="T418">
        <v>0.33476851851851852</v>
      </c>
      <c r="U418">
        <v>0.33489583333333334</v>
      </c>
      <c r="V418">
        <v>7638</v>
      </c>
      <c r="W418">
        <v>20</v>
      </c>
      <c r="X418">
        <v>33</v>
      </c>
      <c r="Y418">
        <v>-13</v>
      </c>
      <c r="Z418">
        <v>33</v>
      </c>
      <c r="AA418">
        <v>33</v>
      </c>
      <c r="AB418">
        <v>0</v>
      </c>
      <c r="AC418">
        <v>0</v>
      </c>
      <c r="AD418">
        <v>1</v>
      </c>
      <c r="AE418">
        <v>150</v>
      </c>
      <c r="AF418">
        <v>0</v>
      </c>
      <c r="AG418">
        <v>0</v>
      </c>
      <c r="AH418">
        <v>0</v>
      </c>
      <c r="AI418">
        <v>0</v>
      </c>
      <c r="AJ418">
        <v>956.45</v>
      </c>
      <c r="AK418">
        <v>0</v>
      </c>
      <c r="AL418">
        <v>956.45</v>
      </c>
      <c r="AM418">
        <v>0</v>
      </c>
      <c r="AN418">
        <v>0</v>
      </c>
      <c r="AO418">
        <v>0</v>
      </c>
    </row>
    <row r="419" spans="1:41">
      <c r="A419">
        <v>418</v>
      </c>
      <c r="B419" s="42">
        <v>45948</v>
      </c>
      <c r="C419" t="str">
        <v>HINJEWADI</v>
      </c>
      <c r="D419" t="str">
        <v>SLK1</v>
      </c>
      <c r="E419" t="str">
        <v>SHADOWFAX TECHNOLOGIES PRIVATE LIMITED</v>
      </c>
      <c r="F419" t="str">
        <v>MH14MH8276</v>
      </c>
      <c r="G419" t="str">
        <v>ACE</v>
      </c>
      <c r="H419" t="str">
        <v>CNG</v>
      </c>
      <c r="I419">
        <v>4</v>
      </c>
      <c r="J419">
        <v>8</v>
      </c>
      <c r="K419">
        <v>25000</v>
      </c>
      <c r="L419">
        <v>1000</v>
      </c>
      <c r="M419">
        <v>55</v>
      </c>
      <c r="N419">
        <v>31</v>
      </c>
      <c r="O419" t="str">
        <v>PUN01 NC Cluster 39</v>
      </c>
      <c r="P419">
        <v>0</v>
      </c>
      <c r="Q419">
        <v>4.7916666666666663E-2</v>
      </c>
      <c r="R419">
        <v>0.16008101851851853</v>
      </c>
      <c r="S419">
        <v>5364</v>
      </c>
      <c r="T419">
        <v>0.31145833333333334</v>
      </c>
      <c r="U419">
        <v>0.31157407407407406</v>
      </c>
      <c r="V419">
        <v>5379</v>
      </c>
      <c r="W419">
        <v>37</v>
      </c>
      <c r="X419">
        <v>50</v>
      </c>
      <c r="Y419">
        <v>-13</v>
      </c>
      <c r="Z419">
        <v>15</v>
      </c>
      <c r="AA419">
        <v>15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806.45</v>
      </c>
      <c r="AK419">
        <v>0</v>
      </c>
      <c r="AL419">
        <v>806.45</v>
      </c>
      <c r="AM419">
        <v>0</v>
      </c>
      <c r="AN419">
        <v>0</v>
      </c>
      <c r="AO419">
        <v>0</v>
      </c>
    </row>
    <row r="420" spans="1:41">
      <c r="A420">
        <v>419</v>
      </c>
      <c r="B420" s="42">
        <v>45948</v>
      </c>
      <c r="C420" t="str">
        <v>HINJEWADI</v>
      </c>
      <c r="D420" t="str">
        <v>SLK1</v>
      </c>
      <c r="E420" t="str">
        <v>SHADOWFAX TECHNOLOGIES PRIVATE LIMITED</v>
      </c>
      <c r="F420" t="str">
        <v>MH20GC8804</v>
      </c>
      <c r="G420" t="str">
        <v>ACE</v>
      </c>
      <c r="H420" t="str">
        <v>CNG</v>
      </c>
      <c r="I420">
        <v>4</v>
      </c>
      <c r="J420">
        <v>8</v>
      </c>
      <c r="K420">
        <v>25000</v>
      </c>
      <c r="L420">
        <v>1000</v>
      </c>
      <c r="M420">
        <v>55</v>
      </c>
      <c r="N420">
        <v>31</v>
      </c>
      <c r="O420" t="str">
        <v>PUN01 NC Cluster 24</v>
      </c>
      <c r="P420">
        <v>0</v>
      </c>
      <c r="Q420">
        <v>9.930555555555555E-2</v>
      </c>
      <c r="R420">
        <v>0.16035879629629629</v>
      </c>
      <c r="S420">
        <v>41624</v>
      </c>
      <c r="T420">
        <v>0.32780092592592591</v>
      </c>
      <c r="U420">
        <v>0.3323726851851852</v>
      </c>
      <c r="V420">
        <v>41654</v>
      </c>
      <c r="W420">
        <v>60</v>
      </c>
      <c r="X420">
        <v>26</v>
      </c>
      <c r="Y420">
        <v>34</v>
      </c>
      <c r="Z420">
        <v>30</v>
      </c>
      <c r="AA420">
        <v>30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806.45</v>
      </c>
      <c r="AK420">
        <v>0</v>
      </c>
      <c r="AL420">
        <v>806.45</v>
      </c>
      <c r="AM420">
        <v>0</v>
      </c>
      <c r="AN420">
        <v>0</v>
      </c>
      <c r="AO420">
        <v>0</v>
      </c>
    </row>
    <row r="421" spans="1:41">
      <c r="A421">
        <v>420</v>
      </c>
      <c r="B421" s="42">
        <v>45948</v>
      </c>
      <c r="C421" t="str">
        <v>HINJEWADI</v>
      </c>
      <c r="D421" t="str">
        <v>SLK1</v>
      </c>
      <c r="E421" t="str">
        <v>SHADOWFAX TECHNOLOGIES PRIVATE LIMITED</v>
      </c>
      <c r="F421" t="str">
        <v>MH14LX4839</v>
      </c>
      <c r="G421" t="str">
        <v>BOLERO</v>
      </c>
      <c r="H421" t="str">
        <v>DIESEL</v>
      </c>
      <c r="I421">
        <v>4</v>
      </c>
      <c r="J421">
        <v>10</v>
      </c>
      <c r="K421">
        <v>29000</v>
      </c>
      <c r="L421">
        <v>1000</v>
      </c>
      <c r="M421">
        <v>55</v>
      </c>
      <c r="N421">
        <v>31</v>
      </c>
      <c r="O421" t="str">
        <v>PUN01 NC Cluster 106</v>
      </c>
      <c r="P421">
        <v>0</v>
      </c>
      <c r="Q421">
        <v>6.3194444444444442E-2</v>
      </c>
      <c r="R421">
        <v>0.16489583333333332</v>
      </c>
      <c r="S421">
        <v>39152</v>
      </c>
      <c r="T421">
        <v>0.30822916666666667</v>
      </c>
      <c r="U421">
        <v>0.30842592592592594</v>
      </c>
      <c r="V421">
        <v>39176</v>
      </c>
      <c r="W421">
        <v>40</v>
      </c>
      <c r="X421">
        <v>38</v>
      </c>
      <c r="Y421">
        <v>2</v>
      </c>
      <c r="Z421">
        <v>24</v>
      </c>
      <c r="AA421">
        <v>24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935.48</v>
      </c>
      <c r="AK421">
        <v>0</v>
      </c>
      <c r="AL421">
        <v>935.48</v>
      </c>
      <c r="AM421">
        <v>0</v>
      </c>
      <c r="AN421">
        <v>0</v>
      </c>
      <c r="AO421">
        <v>0</v>
      </c>
    </row>
    <row r="422" spans="1:41">
      <c r="A422">
        <v>421</v>
      </c>
      <c r="B422" s="42">
        <v>45948</v>
      </c>
      <c r="C422" t="str">
        <v>HINJEWADI</v>
      </c>
      <c r="D422" t="str">
        <v>SLK1</v>
      </c>
      <c r="E422" t="str">
        <v>SHADOWFAX TECHNOLOGIES PRIVATE LIMITED</v>
      </c>
      <c r="F422" t="str">
        <v>MH14MH7322</v>
      </c>
      <c r="G422" t="str">
        <v>BOLERO</v>
      </c>
      <c r="H422" t="str">
        <v>DIESEL</v>
      </c>
      <c r="I422">
        <v>4</v>
      </c>
      <c r="J422">
        <v>10</v>
      </c>
      <c r="K422">
        <v>29000</v>
      </c>
      <c r="L422">
        <v>1000</v>
      </c>
      <c r="M422">
        <v>55</v>
      </c>
      <c r="N422">
        <v>31</v>
      </c>
      <c r="O422" t="str">
        <v>PUN01 NC Cluster 100</v>
      </c>
      <c r="P422">
        <v>0</v>
      </c>
      <c r="Q422">
        <v>0.10416666666666667</v>
      </c>
      <c r="R422">
        <v>0.16679398148148147</v>
      </c>
      <c r="S422">
        <v>3344</v>
      </c>
      <c r="T422">
        <v>0.32800925925925922</v>
      </c>
      <c r="U422">
        <v>0.32822916666666663</v>
      </c>
      <c r="V422">
        <v>3368</v>
      </c>
      <c r="W422">
        <v>44</v>
      </c>
      <c r="X422">
        <v>42</v>
      </c>
      <c r="Y422">
        <v>2</v>
      </c>
      <c r="Z422">
        <v>24</v>
      </c>
      <c r="AA422">
        <v>24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935.48</v>
      </c>
      <c r="AK422">
        <v>0</v>
      </c>
      <c r="AL422">
        <v>935.48</v>
      </c>
      <c r="AM422">
        <v>0</v>
      </c>
      <c r="AN422">
        <v>0</v>
      </c>
      <c r="AO422">
        <v>0</v>
      </c>
    </row>
    <row r="423" spans="1:41">
      <c r="A423">
        <v>422</v>
      </c>
      <c r="B423" s="42">
        <v>45948</v>
      </c>
      <c r="C423" t="str">
        <v>HINJEWADI</v>
      </c>
      <c r="D423" t="str">
        <v>SLK1</v>
      </c>
      <c r="E423" t="str">
        <v>SHADOWFAX TECHNOLOGIES PRIVATE LIMITED</v>
      </c>
      <c r="F423" t="str">
        <v>MH16CD7321</v>
      </c>
      <c r="G423" t="str">
        <v>BOLERO</v>
      </c>
      <c r="H423" t="str">
        <v>DIESEL</v>
      </c>
      <c r="I423">
        <v>4</v>
      </c>
      <c r="J423">
        <v>10</v>
      </c>
      <c r="K423">
        <v>29000</v>
      </c>
      <c r="L423">
        <v>1000</v>
      </c>
      <c r="M423">
        <v>55</v>
      </c>
      <c r="N423">
        <v>31</v>
      </c>
      <c r="O423" t="str">
        <v>PUN01 NC Cluster 132</v>
      </c>
      <c r="P423">
        <v>0</v>
      </c>
      <c r="Q423">
        <v>8.9583333333333334E-2</v>
      </c>
      <c r="R423">
        <v>0.1590162037037037</v>
      </c>
      <c r="S423">
        <v>139383</v>
      </c>
      <c r="T423">
        <v>0.35741898148148149</v>
      </c>
      <c r="U423">
        <v>0.35752314814814817</v>
      </c>
      <c r="V423">
        <v>139410</v>
      </c>
      <c r="W423">
        <v>30</v>
      </c>
      <c r="X423">
        <v>39</v>
      </c>
      <c r="Y423">
        <v>-9</v>
      </c>
      <c r="Z423">
        <v>27</v>
      </c>
      <c r="AA423">
        <v>27</v>
      </c>
      <c r="AB423">
        <v>0</v>
      </c>
      <c r="AC423">
        <v>0</v>
      </c>
      <c r="AD423">
        <v>1</v>
      </c>
      <c r="AE423">
        <v>150</v>
      </c>
      <c r="AF423">
        <v>0</v>
      </c>
      <c r="AG423">
        <v>0</v>
      </c>
      <c r="AH423">
        <v>0</v>
      </c>
      <c r="AI423">
        <v>0</v>
      </c>
      <c r="AJ423">
        <v>1085.48</v>
      </c>
      <c r="AK423">
        <v>0</v>
      </c>
      <c r="AL423">
        <v>1085.48</v>
      </c>
      <c r="AM423">
        <v>0</v>
      </c>
      <c r="AN423">
        <v>0</v>
      </c>
      <c r="AO423">
        <v>0</v>
      </c>
    </row>
    <row r="424" spans="1:41">
      <c r="A424">
        <v>423</v>
      </c>
      <c r="B424" s="42">
        <v>45949</v>
      </c>
      <c r="C424" t="str">
        <v>HINJEWADI</v>
      </c>
      <c r="D424" t="str">
        <v>SLK1</v>
      </c>
      <c r="E424" t="str">
        <v>SHADOWFAX TECHNOLOGIES PRIVATE LIMITED</v>
      </c>
      <c r="F424" t="str">
        <v>MH14KA0766</v>
      </c>
      <c r="G424" t="str">
        <v>ACE</v>
      </c>
      <c r="H424" t="str">
        <v>CNG</v>
      </c>
      <c r="I424">
        <v>4</v>
      </c>
      <c r="J424">
        <v>8</v>
      </c>
      <c r="K424">
        <v>25000</v>
      </c>
      <c r="L424">
        <v>1000</v>
      </c>
      <c r="M424">
        <v>55</v>
      </c>
      <c r="N424">
        <v>31</v>
      </c>
      <c r="O424" t="str">
        <v>PUN01 NC Cluster19</v>
      </c>
      <c r="P424">
        <v>0</v>
      </c>
      <c r="Q424">
        <v>4.7222222222222221E-2</v>
      </c>
      <c r="R424">
        <v>4.7222222222222221E-2</v>
      </c>
      <c r="S424">
        <v>144750</v>
      </c>
      <c r="T424">
        <v>0.36874999999999997</v>
      </c>
      <c r="U424">
        <v>0.36874999999999997</v>
      </c>
      <c r="V424">
        <v>144772</v>
      </c>
      <c r="W424">
        <v>34</v>
      </c>
      <c r="X424">
        <v>34</v>
      </c>
      <c r="Y424">
        <v>0</v>
      </c>
      <c r="Z424">
        <v>22</v>
      </c>
      <c r="AA424">
        <v>22</v>
      </c>
      <c r="AB424">
        <v>0</v>
      </c>
      <c r="AC424">
        <v>0</v>
      </c>
      <c r="AD424">
        <v>1</v>
      </c>
      <c r="AE424">
        <v>150</v>
      </c>
      <c r="AF424">
        <v>0</v>
      </c>
      <c r="AG424">
        <v>0</v>
      </c>
      <c r="AH424">
        <v>0</v>
      </c>
      <c r="AI424">
        <v>0</v>
      </c>
      <c r="AJ424">
        <v>956.45</v>
      </c>
      <c r="AK424">
        <v>0</v>
      </c>
      <c r="AL424">
        <v>956.45</v>
      </c>
      <c r="AM424">
        <v>0</v>
      </c>
      <c r="AN424">
        <v>0</v>
      </c>
      <c r="AO424">
        <v>0</v>
      </c>
    </row>
    <row r="425" spans="1:41">
      <c r="A425">
        <v>424</v>
      </c>
      <c r="B425" s="42">
        <v>45949</v>
      </c>
      <c r="C425" t="str">
        <v>HINJEWADI</v>
      </c>
      <c r="D425" t="str">
        <v>SLK1</v>
      </c>
      <c r="E425" t="str">
        <v>SHADOWFAX TECHNOLOGIES PRIVATE LIMITED</v>
      </c>
      <c r="F425" t="str">
        <v>MH03AH8989</v>
      </c>
      <c r="G425" t="str">
        <v>ACE</v>
      </c>
      <c r="H425" t="str">
        <v>CNG</v>
      </c>
      <c r="I425">
        <v>4</v>
      </c>
      <c r="J425">
        <v>8</v>
      </c>
      <c r="K425">
        <v>25000</v>
      </c>
      <c r="L425">
        <v>1000</v>
      </c>
      <c r="M425">
        <v>55</v>
      </c>
      <c r="N425">
        <v>31</v>
      </c>
      <c r="O425" t="str">
        <v>PUN01 NC Cluster1</v>
      </c>
      <c r="P425">
        <v>0</v>
      </c>
      <c r="Q425">
        <v>4.8611111111111112E-2</v>
      </c>
      <c r="R425">
        <v>4.8611111111111112E-2</v>
      </c>
      <c r="S425">
        <v>57764</v>
      </c>
      <c r="T425">
        <v>0.25625000000000003</v>
      </c>
      <c r="U425">
        <v>0.25625000000000003</v>
      </c>
      <c r="V425">
        <v>57778</v>
      </c>
      <c r="W425">
        <v>31</v>
      </c>
      <c r="X425">
        <v>31</v>
      </c>
      <c r="Y425">
        <v>0</v>
      </c>
      <c r="Z425">
        <v>14</v>
      </c>
      <c r="AA425">
        <v>14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806.45</v>
      </c>
      <c r="AK425">
        <v>0</v>
      </c>
      <c r="AL425">
        <v>806.45</v>
      </c>
      <c r="AM425">
        <v>0</v>
      </c>
      <c r="AN425">
        <v>0</v>
      </c>
      <c r="AO425">
        <v>0</v>
      </c>
    </row>
    <row r="426" spans="1:41">
      <c r="A426">
        <v>425</v>
      </c>
      <c r="B426" s="42">
        <v>45949</v>
      </c>
      <c r="C426" t="str">
        <v>HINJEWADI</v>
      </c>
      <c r="D426" t="str">
        <v>SLK1</v>
      </c>
      <c r="E426" t="str">
        <v>SHADOWFAX TECHNOLOGIES PRIVATE LIMITED</v>
      </c>
      <c r="F426" t="str">
        <v>MH12YB3190</v>
      </c>
      <c r="G426" t="str">
        <v>ACE</v>
      </c>
      <c r="H426" t="str">
        <v>CNG</v>
      </c>
      <c r="I426">
        <v>4</v>
      </c>
      <c r="J426">
        <v>8</v>
      </c>
      <c r="K426">
        <v>25000</v>
      </c>
      <c r="L426">
        <v>1000</v>
      </c>
      <c r="M426">
        <v>55</v>
      </c>
      <c r="N426">
        <v>31</v>
      </c>
      <c r="O426" t="str">
        <v>PUN01 NC Cluster62</v>
      </c>
      <c r="P426">
        <v>0</v>
      </c>
      <c r="Q426">
        <v>4.9305555555555554E-2</v>
      </c>
      <c r="R426">
        <v>4.9305555555555554E-2</v>
      </c>
      <c r="S426">
        <v>15781</v>
      </c>
      <c r="T426">
        <v>0.2986111111111111</v>
      </c>
      <c r="U426">
        <v>0.2986111111111111</v>
      </c>
      <c r="V426">
        <v>15812</v>
      </c>
      <c r="W426">
        <v>27</v>
      </c>
      <c r="X426">
        <v>27</v>
      </c>
      <c r="Y426">
        <v>0</v>
      </c>
      <c r="Z426">
        <v>31</v>
      </c>
      <c r="AA426">
        <v>31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806.45</v>
      </c>
      <c r="AK426">
        <v>0</v>
      </c>
      <c r="AL426">
        <v>806.45</v>
      </c>
      <c r="AM426">
        <v>0</v>
      </c>
      <c r="AN426">
        <v>0</v>
      </c>
      <c r="AO426">
        <v>0</v>
      </c>
    </row>
    <row r="427" spans="1:41">
      <c r="A427">
        <v>426</v>
      </c>
      <c r="B427" s="42">
        <v>45949</v>
      </c>
      <c r="C427" t="str">
        <v>HINJEWADI</v>
      </c>
      <c r="D427" t="str">
        <v>SLK1</v>
      </c>
      <c r="E427" t="str">
        <v>SHADOWFAX TECHNOLOGIES PRIVATE LIMITED</v>
      </c>
      <c r="F427" t="str">
        <v>MH14KA1873</v>
      </c>
      <c r="G427" t="str">
        <v>ACE</v>
      </c>
      <c r="H427" t="str">
        <v>CNG</v>
      </c>
      <c r="I427">
        <v>4</v>
      </c>
      <c r="J427">
        <v>8</v>
      </c>
      <c r="K427">
        <v>25000</v>
      </c>
      <c r="L427">
        <v>1000</v>
      </c>
      <c r="M427">
        <v>55</v>
      </c>
      <c r="N427">
        <v>31</v>
      </c>
      <c r="O427" t="str">
        <v>PUN01 NC Cluster40</v>
      </c>
      <c r="P427">
        <v>0</v>
      </c>
      <c r="Q427">
        <v>4.9305555555555554E-2</v>
      </c>
      <c r="R427">
        <v>4.9305555555555554E-2</v>
      </c>
      <c r="S427">
        <v>113672</v>
      </c>
      <c r="T427">
        <v>0.30486111111111108</v>
      </c>
      <c r="U427">
        <v>0.30486111111111108</v>
      </c>
      <c r="V427">
        <v>113687</v>
      </c>
      <c r="W427">
        <v>40</v>
      </c>
      <c r="X427">
        <v>40</v>
      </c>
      <c r="Y427">
        <v>0</v>
      </c>
      <c r="Z427">
        <v>15</v>
      </c>
      <c r="AA427">
        <v>15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806.45</v>
      </c>
      <c r="AK427">
        <v>0</v>
      </c>
      <c r="AL427">
        <v>806.45</v>
      </c>
      <c r="AM427">
        <v>0</v>
      </c>
      <c r="AN427">
        <v>0</v>
      </c>
      <c r="AO427">
        <v>0</v>
      </c>
    </row>
    <row r="428" spans="1:41">
      <c r="A428">
        <v>427</v>
      </c>
      <c r="B428" s="42">
        <v>45949</v>
      </c>
      <c r="C428" t="str">
        <v>HINJEWADI</v>
      </c>
      <c r="D428" t="str">
        <v>SLK1</v>
      </c>
      <c r="E428" t="str">
        <v>SHADOWFAX TECHNOLOGIES PRIVATE LIMITED</v>
      </c>
      <c r="F428" t="str">
        <v>MH14LX6360</v>
      </c>
      <c r="G428" t="str">
        <v>ACE</v>
      </c>
      <c r="H428" t="str">
        <v>CNG</v>
      </c>
      <c r="I428">
        <v>4</v>
      </c>
      <c r="J428">
        <v>8</v>
      </c>
      <c r="K428">
        <v>25000</v>
      </c>
      <c r="L428">
        <v>1000</v>
      </c>
      <c r="M428">
        <v>55</v>
      </c>
      <c r="N428">
        <v>31</v>
      </c>
      <c r="O428" t="str">
        <v>PUN01 NC Cluster43-41</v>
      </c>
      <c r="P428">
        <v>0</v>
      </c>
      <c r="Q428">
        <v>4.9305555555555554E-2</v>
      </c>
      <c r="R428">
        <v>4.9305555555555554E-2</v>
      </c>
      <c r="S428">
        <v>39161</v>
      </c>
      <c r="T428">
        <v>0.30486111111111108</v>
      </c>
      <c r="U428">
        <v>0.30486111111111108</v>
      </c>
      <c r="V428">
        <v>39174</v>
      </c>
      <c r="W428">
        <v>29</v>
      </c>
      <c r="X428">
        <v>29</v>
      </c>
      <c r="Y428">
        <v>0</v>
      </c>
      <c r="Z428">
        <v>13</v>
      </c>
      <c r="AA428">
        <v>13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806.45</v>
      </c>
      <c r="AK428">
        <v>0</v>
      </c>
      <c r="AL428">
        <v>806.45</v>
      </c>
      <c r="AM428">
        <v>0</v>
      </c>
      <c r="AN428">
        <v>0</v>
      </c>
      <c r="AO428">
        <v>0</v>
      </c>
    </row>
    <row r="429" spans="1:41">
      <c r="A429">
        <v>428</v>
      </c>
      <c r="B429" s="42">
        <v>45949</v>
      </c>
      <c r="C429" t="str">
        <v>HINJEWADI</v>
      </c>
      <c r="D429" t="str">
        <v>SLK1</v>
      </c>
      <c r="E429" t="str">
        <v>SHADOWFAX TECHNOLOGIES PRIVATE LIMITED</v>
      </c>
      <c r="F429" t="str">
        <v>MH14JL3308</v>
      </c>
      <c r="G429" t="str">
        <v>ACE</v>
      </c>
      <c r="H429" t="str">
        <v>CNG</v>
      </c>
      <c r="I429">
        <v>4</v>
      </c>
      <c r="J429">
        <v>8</v>
      </c>
      <c r="K429">
        <v>25000</v>
      </c>
      <c r="L429">
        <v>1000</v>
      </c>
      <c r="M429">
        <v>55</v>
      </c>
      <c r="N429">
        <v>31</v>
      </c>
      <c r="O429" t="str">
        <v>PUN01 NC Cluster19-12</v>
      </c>
      <c r="P429">
        <v>0</v>
      </c>
      <c r="Q429">
        <v>4.9999999999999996E-2</v>
      </c>
      <c r="R429">
        <v>4.9999999999999996E-2</v>
      </c>
      <c r="S429">
        <v>115943</v>
      </c>
      <c r="T429">
        <v>0.34027777777777773</v>
      </c>
      <c r="U429">
        <v>0.34027777777777773</v>
      </c>
      <c r="V429">
        <v>115968</v>
      </c>
      <c r="W429">
        <v>37</v>
      </c>
      <c r="X429">
        <v>37</v>
      </c>
      <c r="Y429">
        <v>0</v>
      </c>
      <c r="Z429">
        <v>25</v>
      </c>
      <c r="AA429">
        <v>25</v>
      </c>
      <c r="AB429">
        <v>0</v>
      </c>
      <c r="AC429">
        <v>0</v>
      </c>
      <c r="AD429">
        <v>1</v>
      </c>
      <c r="AE429">
        <v>150</v>
      </c>
      <c r="AF429">
        <v>0</v>
      </c>
      <c r="AG429">
        <v>0</v>
      </c>
      <c r="AH429">
        <v>0</v>
      </c>
      <c r="AI429">
        <v>0</v>
      </c>
      <c r="AJ429">
        <v>956.45</v>
      </c>
      <c r="AK429">
        <v>0</v>
      </c>
      <c r="AL429">
        <v>956.45</v>
      </c>
      <c r="AM429">
        <v>0</v>
      </c>
      <c r="AN429">
        <v>0</v>
      </c>
      <c r="AO429">
        <v>0</v>
      </c>
    </row>
    <row r="430" spans="1:41">
      <c r="A430">
        <v>429</v>
      </c>
      <c r="B430" s="42">
        <v>45949</v>
      </c>
      <c r="C430" t="str">
        <v>HINJEWADI</v>
      </c>
      <c r="D430" t="str">
        <v>SLK1</v>
      </c>
      <c r="E430" t="str">
        <v>SHADOWFAX TECHNOLOGIES PRIVATE LIMITED</v>
      </c>
      <c r="F430" t="str">
        <v>MH14LB6751</v>
      </c>
      <c r="G430" t="str">
        <v>ACE</v>
      </c>
      <c r="H430" t="str">
        <v>CNG</v>
      </c>
      <c r="I430">
        <v>4</v>
      </c>
      <c r="J430">
        <v>8</v>
      </c>
      <c r="K430">
        <v>25000</v>
      </c>
      <c r="L430">
        <v>1000</v>
      </c>
      <c r="M430">
        <v>55</v>
      </c>
      <c r="N430">
        <v>31</v>
      </c>
      <c r="O430" t="str">
        <v>PUN01 NC Cluster36</v>
      </c>
      <c r="P430">
        <v>0</v>
      </c>
      <c r="Q430">
        <v>4.9999999999999996E-2</v>
      </c>
      <c r="R430">
        <v>4.9999999999999996E-2</v>
      </c>
      <c r="S430">
        <v>84363</v>
      </c>
      <c r="T430">
        <v>0.3</v>
      </c>
      <c r="U430">
        <v>0.3</v>
      </c>
      <c r="V430">
        <v>84380</v>
      </c>
      <c r="W430">
        <v>17</v>
      </c>
      <c r="X430">
        <v>17</v>
      </c>
      <c r="Y430">
        <v>0</v>
      </c>
      <c r="Z430">
        <v>17</v>
      </c>
      <c r="AA430">
        <v>17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806.45</v>
      </c>
      <c r="AK430">
        <v>0</v>
      </c>
      <c r="AL430">
        <v>806.45</v>
      </c>
      <c r="AM430">
        <v>0</v>
      </c>
      <c r="AN430">
        <v>0</v>
      </c>
      <c r="AO430">
        <v>0</v>
      </c>
    </row>
    <row r="431" spans="1:41">
      <c r="A431">
        <v>430</v>
      </c>
      <c r="B431" s="42">
        <v>45949</v>
      </c>
      <c r="C431" t="str">
        <v>HINJEWADI</v>
      </c>
      <c r="D431" t="str">
        <v>SLK1</v>
      </c>
      <c r="E431" t="str">
        <v>SHADOWFAX TECHNOLOGIES PRIVATE LIMITED</v>
      </c>
      <c r="F431" t="str">
        <v>MH14MH8276</v>
      </c>
      <c r="G431" t="str">
        <v>ACE</v>
      </c>
      <c r="H431" t="str">
        <v>CNG</v>
      </c>
      <c r="I431">
        <v>4</v>
      </c>
      <c r="J431">
        <v>8</v>
      </c>
      <c r="K431">
        <v>25000</v>
      </c>
      <c r="L431">
        <v>1000</v>
      </c>
      <c r="M431">
        <v>55</v>
      </c>
      <c r="N431">
        <v>31</v>
      </c>
      <c r="O431" t="str">
        <v>PUN01 NC Cluster37</v>
      </c>
      <c r="P431">
        <v>0</v>
      </c>
      <c r="Q431">
        <v>4.9999999999999996E-2</v>
      </c>
      <c r="R431">
        <v>4.9999999999999996E-2</v>
      </c>
      <c r="S431">
        <v>5482</v>
      </c>
      <c r="T431">
        <v>0.31736111111111115</v>
      </c>
      <c r="U431">
        <v>0.31736111111111115</v>
      </c>
      <c r="V431">
        <v>5497</v>
      </c>
      <c r="W431">
        <v>30</v>
      </c>
      <c r="X431">
        <v>30</v>
      </c>
      <c r="Y431">
        <v>0</v>
      </c>
      <c r="Z431">
        <v>15</v>
      </c>
      <c r="AA431">
        <v>15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806.45</v>
      </c>
      <c r="AK431">
        <v>0</v>
      </c>
      <c r="AL431">
        <v>806.45</v>
      </c>
      <c r="AM431">
        <v>0</v>
      </c>
      <c r="AN431">
        <v>0</v>
      </c>
      <c r="AO431">
        <v>0</v>
      </c>
    </row>
    <row r="432" spans="1:41">
      <c r="A432">
        <v>431</v>
      </c>
      <c r="B432" s="42">
        <v>45949</v>
      </c>
      <c r="C432" t="str">
        <v>HINJEWADI</v>
      </c>
      <c r="D432" t="str">
        <v>SLK1</v>
      </c>
      <c r="E432" t="str">
        <v>SHADOWFAX TECHNOLOGIES PRIVATE LIMITED</v>
      </c>
      <c r="F432" t="str">
        <v>MH14MH6374</v>
      </c>
      <c r="G432" t="str">
        <v>ACE</v>
      </c>
      <c r="H432" t="str">
        <v>CNG</v>
      </c>
      <c r="I432">
        <v>4</v>
      </c>
      <c r="J432">
        <v>8</v>
      </c>
      <c r="K432">
        <v>25000</v>
      </c>
      <c r="L432">
        <v>1000</v>
      </c>
      <c r="M432">
        <v>55</v>
      </c>
      <c r="N432">
        <v>31</v>
      </c>
      <c r="O432" t="str">
        <v>PUN01 NC Cluster201</v>
      </c>
      <c r="P432">
        <v>0</v>
      </c>
      <c r="Q432">
        <v>5.1388888888888894E-2</v>
      </c>
      <c r="R432">
        <v>5.1388888888888894E-2</v>
      </c>
      <c r="S432">
        <v>7708</v>
      </c>
      <c r="T432">
        <v>0.29722222222222222</v>
      </c>
      <c r="U432">
        <v>0.29722222222222222</v>
      </c>
      <c r="V432">
        <v>7731</v>
      </c>
      <c r="W432">
        <v>27</v>
      </c>
      <c r="X432">
        <v>27</v>
      </c>
      <c r="Y432">
        <v>0</v>
      </c>
      <c r="Z432">
        <v>23</v>
      </c>
      <c r="AA432">
        <v>23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806.45</v>
      </c>
      <c r="AK432">
        <v>0</v>
      </c>
      <c r="AL432">
        <v>806.45</v>
      </c>
      <c r="AM432">
        <v>0</v>
      </c>
      <c r="AN432">
        <v>0</v>
      </c>
      <c r="AO432">
        <v>0</v>
      </c>
    </row>
    <row r="433" spans="1:41">
      <c r="A433">
        <v>432</v>
      </c>
      <c r="B433" s="42">
        <v>45949</v>
      </c>
      <c r="C433" t="str">
        <v>HINJEWADI</v>
      </c>
      <c r="D433" t="str">
        <v>SLK1</v>
      </c>
      <c r="E433" t="str">
        <v>SHADOWFAX TECHNOLOGIES PRIVATE LIMITED</v>
      </c>
      <c r="F433" t="str">
        <v>MH12WX6236</v>
      </c>
      <c r="G433" t="str">
        <v>ACE</v>
      </c>
      <c r="H433" t="str">
        <v>CNG</v>
      </c>
      <c r="I433">
        <v>4</v>
      </c>
      <c r="J433">
        <v>8</v>
      </c>
      <c r="K433">
        <v>25000</v>
      </c>
      <c r="L433">
        <v>1000</v>
      </c>
      <c r="M433">
        <v>55</v>
      </c>
      <c r="N433">
        <v>31</v>
      </c>
      <c r="O433" t="str">
        <v>PUN01 NC Cluster2</v>
      </c>
      <c r="P433">
        <v>0</v>
      </c>
      <c r="Q433">
        <v>5.2083333333333336E-2</v>
      </c>
      <c r="R433">
        <v>5.2083333333333336E-2</v>
      </c>
      <c r="S433">
        <v>38619</v>
      </c>
      <c r="T433">
        <v>0.27986111111111112</v>
      </c>
      <c r="U433">
        <v>0.27986111111111112</v>
      </c>
      <c r="V433">
        <v>38619</v>
      </c>
      <c r="W433">
        <v>37</v>
      </c>
      <c r="X433">
        <v>37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806.45</v>
      </c>
      <c r="AK433">
        <v>0</v>
      </c>
      <c r="AL433">
        <v>806.45</v>
      </c>
      <c r="AM433">
        <v>0</v>
      </c>
      <c r="AN433">
        <v>0</v>
      </c>
      <c r="AO433">
        <v>0</v>
      </c>
    </row>
    <row r="434" spans="1:41">
      <c r="A434">
        <v>433</v>
      </c>
      <c r="B434" s="42">
        <v>45949</v>
      </c>
      <c r="C434" t="str">
        <v>HINJEWADI</v>
      </c>
      <c r="D434" t="str">
        <v>SLK1</v>
      </c>
      <c r="E434" t="str">
        <v>SHADOWFAX TECHNOLOGIES PRIVATE LIMITED</v>
      </c>
      <c r="F434" t="str">
        <v>MH12SF9859</v>
      </c>
      <c r="G434" t="str">
        <v>ACE</v>
      </c>
      <c r="H434" t="str">
        <v>CNG</v>
      </c>
      <c r="I434">
        <v>4</v>
      </c>
      <c r="J434">
        <v>8</v>
      </c>
      <c r="K434">
        <v>25000</v>
      </c>
      <c r="L434">
        <v>1000</v>
      </c>
      <c r="M434">
        <v>55</v>
      </c>
      <c r="N434">
        <v>31</v>
      </c>
      <c r="O434" t="str">
        <v>PUN01 NC Cluster5</v>
      </c>
      <c r="P434">
        <v>0</v>
      </c>
      <c r="Q434">
        <v>5.347222222222222E-2</v>
      </c>
      <c r="R434">
        <v>5.347222222222222E-2</v>
      </c>
      <c r="S434">
        <v>110639</v>
      </c>
      <c r="T434">
        <v>0.2951388888888889</v>
      </c>
      <c r="U434">
        <v>0.2951388888888889</v>
      </c>
      <c r="V434">
        <v>110652</v>
      </c>
      <c r="W434">
        <v>22</v>
      </c>
      <c r="X434">
        <v>22</v>
      </c>
      <c r="Y434">
        <v>0</v>
      </c>
      <c r="Z434">
        <v>13</v>
      </c>
      <c r="AA434">
        <v>13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806.45</v>
      </c>
      <c r="AK434">
        <v>0</v>
      </c>
      <c r="AL434">
        <v>806.45</v>
      </c>
      <c r="AM434">
        <v>0</v>
      </c>
      <c r="AN434">
        <v>0</v>
      </c>
      <c r="AO434">
        <v>0</v>
      </c>
    </row>
    <row r="435" spans="1:41">
      <c r="A435">
        <v>434</v>
      </c>
      <c r="B435" s="42">
        <v>45949</v>
      </c>
      <c r="C435" t="str">
        <v>HINJEWADI</v>
      </c>
      <c r="D435" t="str">
        <v>SLK1</v>
      </c>
      <c r="E435" t="str">
        <v>SHADOWFAX TECHNOLOGIES PRIVATE LIMITED</v>
      </c>
      <c r="F435" t="str">
        <v>MH14KA2871</v>
      </c>
      <c r="G435" t="str">
        <v>ACE</v>
      </c>
      <c r="H435" t="str">
        <v>CNG</v>
      </c>
      <c r="I435">
        <v>4</v>
      </c>
      <c r="J435">
        <v>8</v>
      </c>
      <c r="K435">
        <v>25000</v>
      </c>
      <c r="L435">
        <v>1000</v>
      </c>
      <c r="M435">
        <v>55</v>
      </c>
      <c r="N435">
        <v>31</v>
      </c>
      <c r="O435" t="str">
        <v>PUN01 NC Cluster3</v>
      </c>
      <c r="P435">
        <v>0</v>
      </c>
      <c r="Q435">
        <v>5.9722222222222225E-2</v>
      </c>
      <c r="R435">
        <v>5.9722222222222225E-2</v>
      </c>
      <c r="S435">
        <v>78558</v>
      </c>
      <c r="T435">
        <v>0.30624999999999997</v>
      </c>
      <c r="U435">
        <v>0.30624999999999997</v>
      </c>
      <c r="V435">
        <v>78568</v>
      </c>
      <c r="W435">
        <v>23</v>
      </c>
      <c r="X435">
        <v>23</v>
      </c>
      <c r="Y435">
        <v>0</v>
      </c>
      <c r="Z435">
        <v>10</v>
      </c>
      <c r="AA435">
        <v>10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806.45</v>
      </c>
      <c r="AK435">
        <v>0</v>
      </c>
      <c r="AL435">
        <v>806.45</v>
      </c>
      <c r="AM435">
        <v>0</v>
      </c>
      <c r="AN435">
        <v>0</v>
      </c>
      <c r="AO435">
        <v>0</v>
      </c>
    </row>
    <row r="436" spans="1:41">
      <c r="A436">
        <v>435</v>
      </c>
      <c r="B436" s="42">
        <v>45949</v>
      </c>
      <c r="C436" t="str">
        <v>HINJEWADI</v>
      </c>
      <c r="D436" t="str">
        <v>SLK1</v>
      </c>
      <c r="E436" t="str">
        <v>SHADOWFAX TECHNOLOGIES PRIVATE LIMITED</v>
      </c>
      <c r="F436" t="str">
        <v>MH14LL6836</v>
      </c>
      <c r="G436" t="str">
        <v>ACE</v>
      </c>
      <c r="H436" t="str">
        <v>CNG</v>
      </c>
      <c r="I436">
        <v>6</v>
      </c>
      <c r="J436">
        <v>8</v>
      </c>
      <c r="K436">
        <v>33000</v>
      </c>
      <c r="L436">
        <v>2000</v>
      </c>
      <c r="M436">
        <v>55</v>
      </c>
      <c r="N436">
        <v>31</v>
      </c>
      <c r="O436" t="str">
        <v>PUN01 NC Cluster303</v>
      </c>
      <c r="P436">
        <v>0</v>
      </c>
      <c r="Q436">
        <v>6.0416666666666667E-2</v>
      </c>
      <c r="R436">
        <v>6.0416666666666667E-2</v>
      </c>
      <c r="S436">
        <v>34209</v>
      </c>
      <c r="T436">
        <v>0.30624999999999997</v>
      </c>
      <c r="U436">
        <v>0.30624999999999997</v>
      </c>
      <c r="V436">
        <v>34275</v>
      </c>
      <c r="W436">
        <v>26</v>
      </c>
      <c r="X436">
        <v>26</v>
      </c>
      <c r="Y436">
        <v>0</v>
      </c>
      <c r="Z436">
        <v>66</v>
      </c>
      <c r="AA436">
        <v>66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1064.52</v>
      </c>
      <c r="AK436">
        <v>0</v>
      </c>
      <c r="AL436">
        <v>1064.52</v>
      </c>
      <c r="AM436">
        <v>0</v>
      </c>
      <c r="AN436">
        <v>0</v>
      </c>
      <c r="AO436">
        <v>0</v>
      </c>
    </row>
    <row r="437" spans="1:41">
      <c r="A437">
        <v>436</v>
      </c>
      <c r="B437" s="42">
        <v>45949</v>
      </c>
      <c r="C437" t="str">
        <v>HINJEWADI</v>
      </c>
      <c r="D437" t="str">
        <v>SLK1</v>
      </c>
      <c r="E437" t="str">
        <v>SHADOWFAX TECHNOLOGIES PRIVATE LIMITED</v>
      </c>
      <c r="F437" t="str">
        <v>MH14EM3160</v>
      </c>
      <c r="G437" t="str">
        <v>ACE</v>
      </c>
      <c r="H437" t="str">
        <v>CNG</v>
      </c>
      <c r="I437">
        <v>4</v>
      </c>
      <c r="J437">
        <v>8</v>
      </c>
      <c r="K437">
        <v>25000</v>
      </c>
      <c r="L437">
        <v>1000</v>
      </c>
      <c r="M437">
        <v>55</v>
      </c>
      <c r="N437">
        <v>31</v>
      </c>
      <c r="O437" t="str">
        <v>PUN01 NC Cluster13</v>
      </c>
      <c r="P437">
        <v>0</v>
      </c>
      <c r="Q437">
        <v>6.8749999999999992E-2</v>
      </c>
      <c r="R437">
        <v>6.8749999999999992E-2</v>
      </c>
      <c r="S437">
        <v>165732</v>
      </c>
      <c r="T437">
        <v>0.29166666666666669</v>
      </c>
      <c r="U437">
        <v>0.29166666666666669</v>
      </c>
      <c r="V437">
        <v>165732</v>
      </c>
      <c r="W437">
        <v>33</v>
      </c>
      <c r="X437">
        <v>33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806.45</v>
      </c>
      <c r="AK437">
        <v>0</v>
      </c>
      <c r="AL437">
        <v>806.45</v>
      </c>
      <c r="AM437">
        <v>0</v>
      </c>
      <c r="AN437">
        <v>0</v>
      </c>
      <c r="AO437">
        <v>0</v>
      </c>
    </row>
    <row r="438" spans="1:41">
      <c r="A438">
        <v>437</v>
      </c>
      <c r="B438" s="42">
        <v>45949</v>
      </c>
      <c r="C438" t="str">
        <v>HINJEWADI</v>
      </c>
      <c r="D438" t="str">
        <v>SLK1</v>
      </c>
      <c r="E438" t="str">
        <v>SHADOWFAX TECHNOLOGIES PRIVATE LIMITED</v>
      </c>
      <c r="F438" t="str">
        <v>MH14KQ4401</v>
      </c>
      <c r="G438" t="str">
        <v>ACE</v>
      </c>
      <c r="H438" t="str">
        <v>CNG</v>
      </c>
      <c r="I438">
        <v>4</v>
      </c>
      <c r="J438">
        <v>8</v>
      </c>
      <c r="K438">
        <v>25000</v>
      </c>
      <c r="L438">
        <v>1000</v>
      </c>
      <c r="M438">
        <v>55</v>
      </c>
      <c r="N438">
        <v>31</v>
      </c>
      <c r="O438" t="str">
        <v>PUN01 NC ClusterBACKUP</v>
      </c>
      <c r="P438">
        <v>0</v>
      </c>
      <c r="Q438">
        <v>6.9444444444444434E-2</v>
      </c>
      <c r="R438">
        <v>6.9444444444444434E-2</v>
      </c>
      <c r="S438">
        <v>75753</v>
      </c>
      <c r="T438">
        <v>0.30624999999999997</v>
      </c>
      <c r="U438">
        <v>0.30624999999999997</v>
      </c>
      <c r="V438">
        <v>75780</v>
      </c>
      <c r="W438">
        <v>0</v>
      </c>
      <c r="X438">
        <v>0</v>
      </c>
      <c r="Y438">
        <v>0</v>
      </c>
      <c r="Z438">
        <v>27</v>
      </c>
      <c r="AA438">
        <v>27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806.45</v>
      </c>
      <c r="AK438">
        <v>0</v>
      </c>
      <c r="AL438">
        <v>806.45</v>
      </c>
      <c r="AM438">
        <v>0</v>
      </c>
      <c r="AN438">
        <v>0</v>
      </c>
      <c r="AO438">
        <v>0</v>
      </c>
    </row>
    <row r="439" spans="1:41">
      <c r="A439">
        <v>438</v>
      </c>
      <c r="B439" s="42">
        <v>45949</v>
      </c>
      <c r="C439" t="str">
        <v>HINJEWADI</v>
      </c>
      <c r="D439" t="str">
        <v>SLK1</v>
      </c>
      <c r="E439" t="str">
        <v>SHADOWFAX TECHNOLOGIES PRIVATE LIMITED</v>
      </c>
      <c r="F439" t="str">
        <v>MH14KQ0279</v>
      </c>
      <c r="G439" t="str">
        <v>ACE</v>
      </c>
      <c r="H439" t="str">
        <v>CNG</v>
      </c>
      <c r="I439">
        <v>4</v>
      </c>
      <c r="J439">
        <v>8</v>
      </c>
      <c r="K439">
        <v>25000</v>
      </c>
      <c r="L439">
        <v>1000</v>
      </c>
      <c r="M439">
        <v>55</v>
      </c>
      <c r="N439">
        <v>31</v>
      </c>
      <c r="O439" t="str">
        <v>PUN01 NC Cluster199</v>
      </c>
      <c r="P439">
        <v>0</v>
      </c>
      <c r="Q439">
        <v>7.4305555555555555E-2</v>
      </c>
      <c r="R439">
        <v>7.4305555555555555E-2</v>
      </c>
      <c r="S439">
        <v>118593</v>
      </c>
      <c r="T439">
        <v>0.30486111111111108</v>
      </c>
      <c r="U439">
        <v>0.30486111111111108</v>
      </c>
      <c r="V439">
        <v>118627</v>
      </c>
      <c r="W439">
        <v>11</v>
      </c>
      <c r="X439">
        <v>11</v>
      </c>
      <c r="Y439">
        <v>0</v>
      </c>
      <c r="Z439">
        <v>34</v>
      </c>
      <c r="AA439">
        <v>34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806.45</v>
      </c>
      <c r="AK439">
        <v>0</v>
      </c>
      <c r="AL439">
        <v>806.45</v>
      </c>
      <c r="AM439">
        <v>0</v>
      </c>
      <c r="AN439">
        <v>0</v>
      </c>
      <c r="AO439">
        <v>0</v>
      </c>
    </row>
    <row r="440" spans="1:41">
      <c r="A440">
        <v>439</v>
      </c>
      <c r="B440" s="42">
        <v>45949</v>
      </c>
      <c r="C440" t="str">
        <v>HINJEWADI</v>
      </c>
      <c r="D440" t="str">
        <v>SLK1</v>
      </c>
      <c r="E440" t="str">
        <v>SHADOWFAX TECHNOLOGIES PRIVATE LIMITED</v>
      </c>
      <c r="F440" t="str">
        <v>MH12UM3063</v>
      </c>
      <c r="G440" t="str">
        <v>ACE</v>
      </c>
      <c r="H440" t="str">
        <v>CNG</v>
      </c>
      <c r="I440">
        <v>6</v>
      </c>
      <c r="J440">
        <v>8</v>
      </c>
      <c r="K440">
        <v>33000</v>
      </c>
      <c r="L440">
        <v>2000</v>
      </c>
      <c r="M440">
        <v>55</v>
      </c>
      <c r="N440">
        <v>31</v>
      </c>
      <c r="O440" t="str">
        <v>PUN01 NC Cluster237</v>
      </c>
      <c r="P440">
        <v>0</v>
      </c>
      <c r="Q440">
        <v>7.4999999999999997E-2</v>
      </c>
      <c r="R440">
        <v>7.4999999999999997E-2</v>
      </c>
      <c r="S440">
        <v>101037</v>
      </c>
      <c r="T440">
        <v>0.34027777777777773</v>
      </c>
      <c r="U440">
        <v>0.34027777777777773</v>
      </c>
      <c r="V440">
        <v>101079</v>
      </c>
      <c r="W440">
        <v>97</v>
      </c>
      <c r="X440">
        <v>97</v>
      </c>
      <c r="Y440">
        <v>0</v>
      </c>
      <c r="Z440">
        <v>42</v>
      </c>
      <c r="AA440">
        <v>42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1064.52</v>
      </c>
      <c r="AK440">
        <v>0</v>
      </c>
      <c r="AL440">
        <v>1064.52</v>
      </c>
      <c r="AM440">
        <v>0</v>
      </c>
      <c r="AN440">
        <v>0</v>
      </c>
      <c r="AO440">
        <v>0</v>
      </c>
    </row>
    <row r="441" spans="1:41">
      <c r="A441">
        <v>440</v>
      </c>
      <c r="B441" s="42">
        <v>45949</v>
      </c>
      <c r="C441" t="str">
        <v>HINJEWADI</v>
      </c>
      <c r="D441" t="str">
        <v>SLK1</v>
      </c>
      <c r="E441" t="str">
        <v>SHADOWFAX TECHNOLOGIES PRIVATE LIMITED</v>
      </c>
      <c r="F441" t="str">
        <v>MH14LX4839</v>
      </c>
      <c r="G441" t="str">
        <v>BOLERO</v>
      </c>
      <c r="H441" t="str">
        <v>DIESEL</v>
      </c>
      <c r="I441">
        <v>4</v>
      </c>
      <c r="J441">
        <v>10</v>
      </c>
      <c r="K441">
        <v>29000</v>
      </c>
      <c r="L441">
        <v>1000</v>
      </c>
      <c r="M441">
        <v>55</v>
      </c>
      <c r="N441">
        <v>31</v>
      </c>
      <c r="O441" t="str">
        <v>PUN01 NC Cluster59-60</v>
      </c>
      <c r="P441">
        <v>0</v>
      </c>
      <c r="Q441">
        <v>8.5416666666666655E-2</v>
      </c>
      <c r="R441">
        <v>8.5416666666666655E-2</v>
      </c>
      <c r="S441">
        <v>39244</v>
      </c>
      <c r="T441">
        <v>0.30555555555555552</v>
      </c>
      <c r="U441">
        <v>0.30555555555555552</v>
      </c>
      <c r="V441">
        <v>39264</v>
      </c>
      <c r="W441">
        <v>43</v>
      </c>
      <c r="X441">
        <v>43</v>
      </c>
      <c r="Y441">
        <v>0</v>
      </c>
      <c r="Z441">
        <v>20</v>
      </c>
      <c r="AA441">
        <v>20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935.48</v>
      </c>
      <c r="AK441">
        <v>0</v>
      </c>
      <c r="AL441">
        <v>935.48</v>
      </c>
      <c r="AM441">
        <v>0</v>
      </c>
      <c r="AN441">
        <v>0</v>
      </c>
      <c r="AO441">
        <v>0</v>
      </c>
    </row>
    <row r="442" spans="1:41">
      <c r="A442">
        <v>441</v>
      </c>
      <c r="B442" s="42">
        <v>45949</v>
      </c>
      <c r="C442" t="str">
        <v>HINJEWADI</v>
      </c>
      <c r="D442" t="str">
        <v>SLK1</v>
      </c>
      <c r="E442" t="str">
        <v>SHADOWFAX TECHNOLOGIES PRIVATE LIMITED</v>
      </c>
      <c r="F442" t="str">
        <v>MH14CP4610</v>
      </c>
      <c r="G442" t="str">
        <v>ACE</v>
      </c>
      <c r="H442" t="str">
        <v>CNG</v>
      </c>
      <c r="I442">
        <v>4</v>
      </c>
      <c r="J442">
        <v>8</v>
      </c>
      <c r="K442">
        <v>25000</v>
      </c>
      <c r="L442">
        <v>1000</v>
      </c>
      <c r="M442">
        <v>55</v>
      </c>
      <c r="N442">
        <v>31</v>
      </c>
      <c r="O442" t="str">
        <v>PUN01 NC Cluster87</v>
      </c>
      <c r="P442">
        <v>0</v>
      </c>
      <c r="Q442">
        <v>8.819444444444445E-2</v>
      </c>
      <c r="R442">
        <v>8.819444444444445E-2</v>
      </c>
      <c r="S442">
        <v>145420</v>
      </c>
      <c r="T442">
        <v>0.27638888888888885</v>
      </c>
      <c r="U442">
        <v>0.27638888888888885</v>
      </c>
      <c r="V442">
        <v>145438</v>
      </c>
      <c r="W442">
        <v>20</v>
      </c>
      <c r="X442">
        <v>20</v>
      </c>
      <c r="Y442">
        <v>0</v>
      </c>
      <c r="Z442">
        <v>18</v>
      </c>
      <c r="AA442">
        <v>18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806.45</v>
      </c>
      <c r="AK442">
        <v>0</v>
      </c>
      <c r="AL442">
        <v>806.45</v>
      </c>
      <c r="AM442">
        <v>0</v>
      </c>
      <c r="AN442">
        <v>0</v>
      </c>
      <c r="AO442">
        <v>0</v>
      </c>
    </row>
    <row r="443" spans="1:41">
      <c r="A443">
        <v>442</v>
      </c>
      <c r="B443" s="42">
        <v>45949</v>
      </c>
      <c r="C443" t="str">
        <v>HINJEWADI</v>
      </c>
      <c r="D443" t="str">
        <v>SLK1</v>
      </c>
      <c r="E443" t="str">
        <v>SHADOWFAX TECHNOLOGIES PRIVATE LIMITED</v>
      </c>
      <c r="F443" t="str">
        <v>MH16CD7321</v>
      </c>
      <c r="G443" t="str">
        <v>BOLERO</v>
      </c>
      <c r="H443" t="str">
        <v>DIESEL</v>
      </c>
      <c r="I443">
        <v>4</v>
      </c>
      <c r="J443">
        <v>10</v>
      </c>
      <c r="K443">
        <v>29000</v>
      </c>
      <c r="L443">
        <v>1000</v>
      </c>
      <c r="M443">
        <v>55</v>
      </c>
      <c r="N443">
        <v>31</v>
      </c>
      <c r="O443" t="str">
        <v>PUN01 NC Cluster132-136</v>
      </c>
      <c r="P443">
        <v>0</v>
      </c>
      <c r="Q443">
        <v>9.0277777777777776E-2</v>
      </c>
      <c r="R443">
        <v>9.0277777777777776E-2</v>
      </c>
      <c r="S443">
        <v>139448</v>
      </c>
      <c r="T443">
        <v>0.30486111111111108</v>
      </c>
      <c r="U443">
        <v>0.30486111111111108</v>
      </c>
      <c r="V443">
        <v>139477</v>
      </c>
      <c r="W443">
        <v>89</v>
      </c>
      <c r="X443">
        <v>89</v>
      </c>
      <c r="Y443">
        <v>0</v>
      </c>
      <c r="Z443">
        <v>29</v>
      </c>
      <c r="AA443">
        <v>29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935.48</v>
      </c>
      <c r="AK443">
        <v>0</v>
      </c>
      <c r="AL443">
        <v>935.48</v>
      </c>
      <c r="AM443">
        <v>0</v>
      </c>
      <c r="AN443">
        <v>0</v>
      </c>
      <c r="AO443">
        <v>0</v>
      </c>
    </row>
    <row r="444" spans="1:41">
      <c r="A444">
        <v>443</v>
      </c>
      <c r="B444" s="42">
        <v>45949</v>
      </c>
      <c r="C444" t="str">
        <v>HINJEWADI</v>
      </c>
      <c r="D444" t="str">
        <v>SLK1</v>
      </c>
      <c r="E444" t="str">
        <v>SHADOWFAX TECHNOLOGIES PRIVATE LIMITED</v>
      </c>
      <c r="F444" t="str">
        <v>MH14KA5782</v>
      </c>
      <c r="G444" t="str">
        <v>ACE</v>
      </c>
      <c r="H444" t="str">
        <v>CNG</v>
      </c>
      <c r="I444">
        <v>4</v>
      </c>
      <c r="J444">
        <v>8</v>
      </c>
      <c r="K444">
        <v>25000</v>
      </c>
      <c r="L444">
        <v>1000</v>
      </c>
      <c r="M444">
        <v>55</v>
      </c>
      <c r="N444">
        <v>31</v>
      </c>
      <c r="O444" t="str">
        <v>PUN01 NC Cluster38-39-35</v>
      </c>
      <c r="P444">
        <v>0</v>
      </c>
      <c r="Q444">
        <v>9.6527777777777768E-2</v>
      </c>
      <c r="R444">
        <v>9.6527777777777768E-2</v>
      </c>
      <c r="S444">
        <v>89202</v>
      </c>
      <c r="T444">
        <v>0.29166666666666669</v>
      </c>
      <c r="U444">
        <v>0.29166666666666669</v>
      </c>
      <c r="V444">
        <v>89202</v>
      </c>
      <c r="W444">
        <v>60</v>
      </c>
      <c r="X444">
        <v>60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806.45</v>
      </c>
      <c r="AK444">
        <v>0</v>
      </c>
      <c r="AL444">
        <v>806.45</v>
      </c>
      <c r="AM444">
        <v>0</v>
      </c>
      <c r="AN444">
        <v>0</v>
      </c>
      <c r="AO444">
        <v>0</v>
      </c>
    </row>
    <row r="445" spans="1:41">
      <c r="A445">
        <v>444</v>
      </c>
      <c r="B445" s="42">
        <v>45949</v>
      </c>
      <c r="C445" t="str">
        <v>HINJEWADI</v>
      </c>
      <c r="D445" t="str">
        <v>SLK1</v>
      </c>
      <c r="E445" t="str">
        <v>SHADOWFAX TECHNOLOGIES PRIVATE LIMITED</v>
      </c>
      <c r="F445" t="str">
        <v>MH14LL5974</v>
      </c>
      <c r="G445" t="str">
        <v>ACE</v>
      </c>
      <c r="H445" t="str">
        <v>CNG</v>
      </c>
      <c r="I445">
        <v>4</v>
      </c>
      <c r="J445">
        <v>8</v>
      </c>
      <c r="K445">
        <v>25000</v>
      </c>
      <c r="L445">
        <v>1000</v>
      </c>
      <c r="M445">
        <v>55</v>
      </c>
      <c r="N445">
        <v>31</v>
      </c>
      <c r="O445" t="str">
        <v>PUN01 NC Cluster127</v>
      </c>
      <c r="P445">
        <v>0</v>
      </c>
      <c r="Q445">
        <v>9.6527777777777768E-2</v>
      </c>
      <c r="R445">
        <v>9.6527777777777768E-2</v>
      </c>
      <c r="S445">
        <v>37135</v>
      </c>
      <c r="T445">
        <v>0.30972222222222223</v>
      </c>
      <c r="U445">
        <v>0.30972222222222223</v>
      </c>
      <c r="V445">
        <v>37170</v>
      </c>
      <c r="W445">
        <v>30</v>
      </c>
      <c r="X445">
        <v>30</v>
      </c>
      <c r="Y445">
        <v>0</v>
      </c>
      <c r="Z445">
        <v>35</v>
      </c>
      <c r="AA445">
        <v>35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806.45</v>
      </c>
      <c r="AK445">
        <v>0</v>
      </c>
      <c r="AL445">
        <v>806.45</v>
      </c>
      <c r="AM445">
        <v>0</v>
      </c>
      <c r="AN445">
        <v>0</v>
      </c>
      <c r="AO445">
        <v>0</v>
      </c>
    </row>
    <row r="446" spans="1:41">
      <c r="A446">
        <v>445</v>
      </c>
      <c r="B446" s="42">
        <v>45949</v>
      </c>
      <c r="C446" t="str">
        <v>HINJEWADI</v>
      </c>
      <c r="D446" t="str">
        <v>SLK1</v>
      </c>
      <c r="E446" t="str">
        <v>SHADOWFAX TECHNOLOGIES PRIVATE LIMITED</v>
      </c>
      <c r="F446" t="str">
        <v>MH14MH7322</v>
      </c>
      <c r="G446" t="str">
        <v>BOLERO</v>
      </c>
      <c r="H446" t="str">
        <v>DIESEL</v>
      </c>
      <c r="I446">
        <v>4</v>
      </c>
      <c r="J446">
        <v>10</v>
      </c>
      <c r="K446">
        <v>29000</v>
      </c>
      <c r="L446">
        <v>1000</v>
      </c>
      <c r="M446">
        <v>55</v>
      </c>
      <c r="N446">
        <v>31</v>
      </c>
      <c r="O446" t="str">
        <v>PUN01 NC Cluster175-155</v>
      </c>
      <c r="P446">
        <v>0</v>
      </c>
      <c r="Q446">
        <v>9.7222222222222224E-2</v>
      </c>
      <c r="R446">
        <v>9.7222222222222224E-2</v>
      </c>
      <c r="S446">
        <v>3390</v>
      </c>
      <c r="T446">
        <v>0.32500000000000001</v>
      </c>
      <c r="U446">
        <v>0.32500000000000001</v>
      </c>
      <c r="V446">
        <v>3431</v>
      </c>
      <c r="W446">
        <v>84</v>
      </c>
      <c r="X446">
        <v>84</v>
      </c>
      <c r="Y446">
        <v>0</v>
      </c>
      <c r="Z446">
        <v>41</v>
      </c>
      <c r="AA446">
        <v>41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935.48</v>
      </c>
      <c r="AK446">
        <v>0</v>
      </c>
      <c r="AL446">
        <v>935.48</v>
      </c>
      <c r="AM446">
        <v>0</v>
      </c>
      <c r="AN446">
        <v>0</v>
      </c>
      <c r="AO446">
        <v>0</v>
      </c>
    </row>
    <row r="447" spans="1:41">
      <c r="A447">
        <v>446</v>
      </c>
      <c r="B447" s="42">
        <v>45949</v>
      </c>
      <c r="C447" t="str">
        <v>HINJEWADI</v>
      </c>
      <c r="D447" t="str">
        <v>SLK1</v>
      </c>
      <c r="E447" t="str">
        <v>SHADOWFAX TECHNOLOGIES PRIVATE LIMITED</v>
      </c>
      <c r="F447" t="str">
        <v>MH14LX4840</v>
      </c>
      <c r="G447" t="str">
        <v>BOLERO</v>
      </c>
      <c r="H447" t="str">
        <v>DIESEL</v>
      </c>
      <c r="I447">
        <v>4</v>
      </c>
      <c r="J447">
        <v>10</v>
      </c>
      <c r="K447">
        <v>29000</v>
      </c>
      <c r="L447">
        <v>1000</v>
      </c>
      <c r="M447">
        <v>55</v>
      </c>
      <c r="N447">
        <v>31</v>
      </c>
      <c r="O447" t="str">
        <v>PUN01 NC Cluster139-140</v>
      </c>
      <c r="P447">
        <v>0</v>
      </c>
      <c r="Q447">
        <v>0.11388888888888889</v>
      </c>
      <c r="R447">
        <v>0.11388888888888889</v>
      </c>
      <c r="S447">
        <v>60973</v>
      </c>
      <c r="T447">
        <v>0.31666666666666665</v>
      </c>
      <c r="U447">
        <v>0.31666666666666665</v>
      </c>
      <c r="V447">
        <v>60998</v>
      </c>
      <c r="W447">
        <v>54</v>
      </c>
      <c r="X447">
        <v>54</v>
      </c>
      <c r="Y447">
        <v>0</v>
      </c>
      <c r="Z447">
        <v>25</v>
      </c>
      <c r="AA447">
        <v>25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935.48</v>
      </c>
      <c r="AK447">
        <v>0</v>
      </c>
      <c r="AL447">
        <v>935.48</v>
      </c>
      <c r="AM447">
        <v>0</v>
      </c>
      <c r="AN447">
        <v>0</v>
      </c>
      <c r="AO447">
        <v>0</v>
      </c>
    </row>
    <row r="448" spans="1:41">
      <c r="A448">
        <v>447</v>
      </c>
      <c r="B448" s="42">
        <v>45949</v>
      </c>
      <c r="C448" t="str">
        <v>HINJEWADI</v>
      </c>
      <c r="D448" t="str">
        <v>SLK1</v>
      </c>
      <c r="E448" t="str">
        <v>SHADOWFAX TECHNOLOGIES PRIVATE LIMITED</v>
      </c>
      <c r="F448" t="str">
        <v>MH20GC8804</v>
      </c>
      <c r="G448" t="str">
        <v>ACE</v>
      </c>
      <c r="H448" t="str">
        <v>CNG</v>
      </c>
      <c r="I448">
        <v>4</v>
      </c>
      <c r="J448">
        <v>8</v>
      </c>
      <c r="K448">
        <v>25000</v>
      </c>
      <c r="L448">
        <v>1000</v>
      </c>
      <c r="M448">
        <v>55</v>
      </c>
      <c r="N448">
        <v>31</v>
      </c>
      <c r="O448" t="str">
        <v>PUN01 NC Cluster25</v>
      </c>
      <c r="P448">
        <v>0</v>
      </c>
      <c r="Q448">
        <v>0.11458333333333333</v>
      </c>
      <c r="R448">
        <v>0.11458333333333333</v>
      </c>
      <c r="S448">
        <v>41706</v>
      </c>
      <c r="T448">
        <v>0.31597222222222221</v>
      </c>
      <c r="U448">
        <v>0.31597222222222221</v>
      </c>
      <c r="V448">
        <v>41731</v>
      </c>
      <c r="W448">
        <v>46</v>
      </c>
      <c r="X448">
        <v>46</v>
      </c>
      <c r="Y448">
        <v>0</v>
      </c>
      <c r="Z448">
        <v>25</v>
      </c>
      <c r="AA448">
        <v>25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806.45</v>
      </c>
      <c r="AK448">
        <v>0</v>
      </c>
      <c r="AL448">
        <v>806.45</v>
      </c>
      <c r="AM448">
        <v>0</v>
      </c>
      <c r="AN448">
        <v>0</v>
      </c>
      <c r="AO448">
        <v>0</v>
      </c>
    </row>
    <row r="449" spans="1:41">
      <c r="A449">
        <v>448</v>
      </c>
      <c r="B449" s="42">
        <v>45949</v>
      </c>
      <c r="C449" t="str">
        <v>HINJEWADI</v>
      </c>
      <c r="D449" t="str">
        <v>SLK1</v>
      </c>
      <c r="E449" t="str">
        <v>SHADOWFAX TECHNOLOGIES PRIVATE LIMITED</v>
      </c>
      <c r="F449" t="str">
        <v>MH14LB5906</v>
      </c>
      <c r="G449" t="str">
        <v>ACE</v>
      </c>
      <c r="H449" t="str">
        <v>CNG</v>
      </c>
      <c r="I449">
        <v>4</v>
      </c>
      <c r="J449">
        <v>8</v>
      </c>
      <c r="K449">
        <v>25000</v>
      </c>
      <c r="L449">
        <v>1000</v>
      </c>
      <c r="M449">
        <v>55</v>
      </c>
      <c r="N449">
        <v>31</v>
      </c>
      <c r="O449" t="str">
        <v>PUN01 NC ClusterBACKUP</v>
      </c>
      <c r="P449">
        <v>0</v>
      </c>
      <c r="Q449">
        <v>0.11666666666666665</v>
      </c>
      <c r="R449">
        <v>0.11666666666666665</v>
      </c>
      <c r="S449">
        <v>44956</v>
      </c>
      <c r="T449">
        <v>0.29166666666666669</v>
      </c>
      <c r="U449">
        <v>0.29166666666666669</v>
      </c>
      <c r="V449">
        <v>44956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806.45</v>
      </c>
      <c r="AK449">
        <v>0</v>
      </c>
      <c r="AL449">
        <v>806.45</v>
      </c>
      <c r="AM449">
        <v>0</v>
      </c>
      <c r="AN449">
        <v>0</v>
      </c>
      <c r="AO449">
        <v>0</v>
      </c>
    </row>
    <row r="450" spans="1:41">
      <c r="A450">
        <v>449</v>
      </c>
      <c r="B450" s="42">
        <v>45949</v>
      </c>
      <c r="C450" t="str">
        <v>HINJEWADI</v>
      </c>
      <c r="D450" t="str">
        <v>SLK1</v>
      </c>
      <c r="E450" t="str">
        <v>SHADOWFAX TECHNOLOGIES PRIVATE LIMITED</v>
      </c>
      <c r="F450" t="str">
        <v>MH12VF3782</v>
      </c>
      <c r="G450" t="str">
        <v>ACE</v>
      </c>
      <c r="H450" t="str">
        <v>CNG</v>
      </c>
      <c r="I450">
        <v>4</v>
      </c>
      <c r="J450">
        <v>8</v>
      </c>
      <c r="K450">
        <v>25000</v>
      </c>
      <c r="L450">
        <v>1000</v>
      </c>
      <c r="M450">
        <v>55</v>
      </c>
      <c r="N450">
        <v>31</v>
      </c>
      <c r="O450" t="str">
        <v>PUN01 NC ClusterHOLD</v>
      </c>
      <c r="P450">
        <v>0</v>
      </c>
      <c r="Q450">
        <v>0.12013888888888889</v>
      </c>
      <c r="R450">
        <v>0.12013888888888889</v>
      </c>
      <c r="S450">
        <v>84259</v>
      </c>
      <c r="T450">
        <v>0.3125</v>
      </c>
      <c r="U450">
        <v>0.3125</v>
      </c>
      <c r="V450">
        <v>84259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806.45</v>
      </c>
      <c r="AK450">
        <v>0</v>
      </c>
      <c r="AL450">
        <v>806.45</v>
      </c>
      <c r="AM450">
        <v>0</v>
      </c>
      <c r="AN450">
        <v>0</v>
      </c>
      <c r="AO450">
        <v>0</v>
      </c>
    </row>
    <row r="451" spans="1:41">
      <c r="A451">
        <v>450</v>
      </c>
      <c r="B451" s="42">
        <v>45949</v>
      </c>
      <c r="C451" t="str">
        <v>HINJEWADI</v>
      </c>
      <c r="D451" t="str">
        <v>SLK1</v>
      </c>
      <c r="E451" t="str">
        <v>SHADOWFAX TECHNOLOGIES PRIVATE LIMITED</v>
      </c>
      <c r="F451" t="str">
        <v>MH12XM2801</v>
      </c>
      <c r="G451" t="str">
        <v>ACE</v>
      </c>
      <c r="H451" t="str">
        <v>CNG</v>
      </c>
      <c r="I451">
        <v>4</v>
      </c>
      <c r="J451">
        <v>8</v>
      </c>
      <c r="K451">
        <v>25000</v>
      </c>
      <c r="L451">
        <v>1000</v>
      </c>
      <c r="M451">
        <v>55</v>
      </c>
      <c r="N451">
        <v>31</v>
      </c>
      <c r="O451" t="str">
        <v>PUN01 NC ClusterBACKUP</v>
      </c>
      <c r="P451">
        <v>0</v>
      </c>
      <c r="Q451">
        <v>0.12083333333333333</v>
      </c>
      <c r="R451">
        <v>0.12083333333333333</v>
      </c>
      <c r="S451">
        <v>12797</v>
      </c>
      <c r="T451">
        <v>0.29166666666666669</v>
      </c>
      <c r="U451">
        <v>0.29166666666666669</v>
      </c>
      <c r="V451">
        <v>12797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806.45</v>
      </c>
      <c r="AK451">
        <v>0</v>
      </c>
      <c r="AL451">
        <v>806.45</v>
      </c>
      <c r="AM451">
        <v>0</v>
      </c>
      <c r="AN451">
        <v>0</v>
      </c>
      <c r="AO451">
        <v>0</v>
      </c>
    </row>
    <row r="452" spans="1:41">
      <c r="A452">
        <v>451</v>
      </c>
      <c r="B452" s="42">
        <v>45949</v>
      </c>
      <c r="C452" t="str">
        <v>HINJEWADI</v>
      </c>
      <c r="D452" t="str">
        <v>SLK1</v>
      </c>
      <c r="E452" t="str">
        <v>SHADOWFAX TECHNOLOGIES PRIVATE LIMITED</v>
      </c>
      <c r="F452" t="str">
        <v>MH14LB4598</v>
      </c>
      <c r="G452" t="str">
        <v>ACE</v>
      </c>
      <c r="H452" t="str">
        <v>CNG</v>
      </c>
      <c r="I452">
        <v>4</v>
      </c>
      <c r="J452">
        <v>8</v>
      </c>
      <c r="K452">
        <v>25000</v>
      </c>
      <c r="L452">
        <v>1000</v>
      </c>
      <c r="M452">
        <v>55</v>
      </c>
      <c r="N452">
        <v>31</v>
      </c>
      <c r="O452" t="str">
        <v>PUN01 NC ClusterBACKUP</v>
      </c>
      <c r="P452">
        <v>0</v>
      </c>
      <c r="Q452">
        <v>0.13263888888888889</v>
      </c>
      <c r="R452">
        <v>0.13263888888888889</v>
      </c>
      <c r="S452">
        <v>66286</v>
      </c>
      <c r="T452">
        <v>0.29166666666666669</v>
      </c>
      <c r="U452">
        <v>0.29166666666666669</v>
      </c>
      <c r="V452">
        <v>66311</v>
      </c>
      <c r="W452">
        <v>0</v>
      </c>
      <c r="X452">
        <v>0</v>
      </c>
      <c r="Y452">
        <v>0</v>
      </c>
      <c r="Z452">
        <v>25</v>
      </c>
      <c r="AA452">
        <v>25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806.45</v>
      </c>
      <c r="AK452">
        <v>0</v>
      </c>
      <c r="AL452">
        <v>806.45</v>
      </c>
      <c r="AM452">
        <v>0</v>
      </c>
      <c r="AN452">
        <v>0</v>
      </c>
      <c r="AO452">
        <v>0</v>
      </c>
    </row>
    <row r="453" spans="1:41">
      <c r="A453">
        <v>452</v>
      </c>
      <c r="B453" s="42">
        <v>45949</v>
      </c>
      <c r="C453" t="str">
        <v>HINJEWADI</v>
      </c>
      <c r="D453" t="str">
        <v>SLK1</v>
      </c>
      <c r="E453" t="str">
        <v>SHADOWFAX TECHNOLOGIES PRIVATE LIMITED</v>
      </c>
      <c r="F453" t="str">
        <v>MH14LL4513</v>
      </c>
      <c r="G453" t="str">
        <v>BOLERO</v>
      </c>
      <c r="H453" t="str">
        <v>DIESEL</v>
      </c>
      <c r="I453">
        <v>4</v>
      </c>
      <c r="J453">
        <v>10</v>
      </c>
      <c r="K453">
        <v>29000</v>
      </c>
      <c r="L453">
        <v>1000</v>
      </c>
      <c r="M453">
        <v>55</v>
      </c>
      <c r="N453">
        <v>31</v>
      </c>
      <c r="O453" t="str">
        <v>PUN01 NC ClusterBACKUP</v>
      </c>
      <c r="P453">
        <v>0</v>
      </c>
      <c r="Q453">
        <v>0.13194444444444445</v>
      </c>
      <c r="R453">
        <v>0.13194444444444445</v>
      </c>
      <c r="S453">
        <v>33069</v>
      </c>
      <c r="T453">
        <v>0.29166666666666669</v>
      </c>
      <c r="U453">
        <v>0.29166666666666669</v>
      </c>
      <c r="V453">
        <v>33099</v>
      </c>
      <c r="W453">
        <v>0</v>
      </c>
      <c r="X453">
        <v>0</v>
      </c>
      <c r="Y453">
        <v>0</v>
      </c>
      <c r="Z453">
        <v>30</v>
      </c>
      <c r="AA453">
        <v>30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935.48</v>
      </c>
      <c r="AK453">
        <v>0</v>
      </c>
      <c r="AL453">
        <v>935.48</v>
      </c>
      <c r="AM453">
        <v>0</v>
      </c>
      <c r="AN453">
        <v>0</v>
      </c>
      <c r="AO453">
        <v>0</v>
      </c>
    </row>
    <row r="454" spans="1:41">
      <c r="A454">
        <v>453</v>
      </c>
      <c r="B454" s="42">
        <v>45950</v>
      </c>
      <c r="C454" t="str">
        <v>HINJEWADI</v>
      </c>
      <c r="D454" t="str">
        <v>SLK1</v>
      </c>
      <c r="E454" t="str">
        <v>SHADOWFAX TECHNOLOGIES PRIVATE LIMITED</v>
      </c>
      <c r="F454" t="str">
        <v>MH14KA0766</v>
      </c>
      <c r="G454" t="str">
        <v>ACE</v>
      </c>
      <c r="H454" t="str">
        <v>CNG</v>
      </c>
      <c r="I454">
        <v>4</v>
      </c>
      <c r="J454">
        <v>8</v>
      </c>
      <c r="K454">
        <v>25000</v>
      </c>
      <c r="L454">
        <v>1000</v>
      </c>
      <c r="M454">
        <v>55</v>
      </c>
      <c r="N454">
        <v>31</v>
      </c>
      <c r="O454" t="str">
        <v>PUN01 NC Cluster 10</v>
      </c>
      <c r="P454">
        <v>0</v>
      </c>
      <c r="Q454">
        <v>5.1388888888888894E-2</v>
      </c>
      <c r="R454">
        <v>5.1388888888888894E-2</v>
      </c>
      <c r="S454">
        <v>144875</v>
      </c>
      <c r="T454">
        <v>0.34027777777777773</v>
      </c>
      <c r="U454">
        <v>0.34027777777777773</v>
      </c>
      <c r="V454">
        <v>144901</v>
      </c>
      <c r="W454">
        <v>41</v>
      </c>
      <c r="X454">
        <v>41</v>
      </c>
      <c r="Y454">
        <v>0</v>
      </c>
      <c r="Z454">
        <v>26</v>
      </c>
      <c r="AA454">
        <v>26</v>
      </c>
      <c r="AB454">
        <v>0</v>
      </c>
      <c r="AC454">
        <v>0</v>
      </c>
      <c r="AD454">
        <v>1</v>
      </c>
      <c r="AE454">
        <v>150</v>
      </c>
      <c r="AF454">
        <v>0</v>
      </c>
      <c r="AG454">
        <v>0</v>
      </c>
      <c r="AH454">
        <v>0</v>
      </c>
      <c r="AI454">
        <v>0</v>
      </c>
      <c r="AJ454">
        <v>956.45</v>
      </c>
      <c r="AK454">
        <v>0</v>
      </c>
      <c r="AL454">
        <v>956.45</v>
      </c>
      <c r="AM454">
        <v>0</v>
      </c>
      <c r="AN454">
        <v>0</v>
      </c>
      <c r="AO454">
        <v>0</v>
      </c>
    </row>
    <row r="455" spans="1:41">
      <c r="A455">
        <v>454</v>
      </c>
      <c r="B455" s="42">
        <v>45950</v>
      </c>
      <c r="C455" t="str">
        <v>HINJEWADI</v>
      </c>
      <c r="D455" t="str">
        <v>SLK1</v>
      </c>
      <c r="E455" t="str">
        <v>SHADOWFAX TECHNOLOGIES PRIVATE LIMITED</v>
      </c>
      <c r="F455" t="str">
        <v>MH03AH8989</v>
      </c>
      <c r="G455" t="str">
        <v>ACE</v>
      </c>
      <c r="H455" t="str">
        <v>CNG</v>
      </c>
      <c r="I455">
        <v>4</v>
      </c>
      <c r="J455">
        <v>8</v>
      </c>
      <c r="K455">
        <v>25000</v>
      </c>
      <c r="L455">
        <v>1000</v>
      </c>
      <c r="M455">
        <v>55</v>
      </c>
      <c r="N455">
        <v>31</v>
      </c>
      <c r="O455" t="str">
        <v>PUN01 NC Cluster 1</v>
      </c>
      <c r="P455">
        <v>0</v>
      </c>
      <c r="Q455">
        <v>5.1388888888888894E-2</v>
      </c>
      <c r="R455">
        <v>5.1388888888888894E-2</v>
      </c>
      <c r="S455">
        <v>57797</v>
      </c>
      <c r="T455">
        <v>0.26180555555555557</v>
      </c>
      <c r="U455">
        <v>0.26180555555555557</v>
      </c>
      <c r="V455">
        <v>57803</v>
      </c>
      <c r="W455">
        <v>35</v>
      </c>
      <c r="X455">
        <v>35</v>
      </c>
      <c r="Y455">
        <v>0</v>
      </c>
      <c r="Z455">
        <v>6</v>
      </c>
      <c r="AA455">
        <v>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806.45</v>
      </c>
      <c r="AK455">
        <v>0</v>
      </c>
      <c r="AL455">
        <v>806.45</v>
      </c>
      <c r="AM455">
        <v>0</v>
      </c>
      <c r="AN455">
        <v>0</v>
      </c>
      <c r="AO455">
        <v>0</v>
      </c>
    </row>
    <row r="456" spans="1:41">
      <c r="A456">
        <v>455</v>
      </c>
      <c r="B456" s="42">
        <v>45950</v>
      </c>
      <c r="C456" t="str">
        <v>HINJEWADI</v>
      </c>
      <c r="D456" t="str">
        <v>SLK1</v>
      </c>
      <c r="E456" t="str">
        <v>SHADOWFAX TECHNOLOGIES PRIVATE LIMITED</v>
      </c>
      <c r="F456" t="str">
        <v>MH14MH8276</v>
      </c>
      <c r="G456" t="str">
        <v>ACE</v>
      </c>
      <c r="H456" t="str">
        <v>CNG</v>
      </c>
      <c r="I456">
        <v>4</v>
      </c>
      <c r="J456">
        <v>8</v>
      </c>
      <c r="K456">
        <v>25000</v>
      </c>
      <c r="L456">
        <v>1000</v>
      </c>
      <c r="M456">
        <v>55</v>
      </c>
      <c r="N456">
        <v>31</v>
      </c>
      <c r="O456" t="str">
        <v>PUN01 NC Cluster 3</v>
      </c>
      <c r="P456">
        <v>0</v>
      </c>
      <c r="Q456">
        <v>5.4166666666666669E-2</v>
      </c>
      <c r="R456">
        <v>5.4166666666666669E-2</v>
      </c>
      <c r="S456">
        <v>5612</v>
      </c>
      <c r="T456">
        <v>0.26874999999999999</v>
      </c>
      <c r="U456">
        <v>0.26874999999999999</v>
      </c>
      <c r="V456">
        <v>5621</v>
      </c>
      <c r="W456">
        <v>28</v>
      </c>
      <c r="X456">
        <v>28</v>
      </c>
      <c r="Y456">
        <v>0</v>
      </c>
      <c r="Z456">
        <v>9</v>
      </c>
      <c r="AA456">
        <v>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806.45</v>
      </c>
      <c r="AK456">
        <v>0</v>
      </c>
      <c r="AL456">
        <v>806.45</v>
      </c>
      <c r="AM456">
        <v>0</v>
      </c>
      <c r="AN456">
        <v>0</v>
      </c>
      <c r="AO456">
        <v>0</v>
      </c>
    </row>
    <row r="457" spans="1:41">
      <c r="A457">
        <v>456</v>
      </c>
      <c r="B457" s="42">
        <v>45950</v>
      </c>
      <c r="C457" t="str">
        <v>HINJEWADI</v>
      </c>
      <c r="D457" t="str">
        <v>SLK1</v>
      </c>
      <c r="E457" t="str">
        <v>SHADOWFAX TECHNOLOGIES PRIVATE LIMITED</v>
      </c>
      <c r="F457" t="str">
        <v>MH14LX6360</v>
      </c>
      <c r="G457" t="str">
        <v>ACE</v>
      </c>
      <c r="H457" t="str">
        <v>CNG</v>
      </c>
      <c r="I457">
        <v>4</v>
      </c>
      <c r="J457">
        <v>8</v>
      </c>
      <c r="K457">
        <v>25000</v>
      </c>
      <c r="L457">
        <v>1000</v>
      </c>
      <c r="M457">
        <v>55</v>
      </c>
      <c r="N457">
        <v>31</v>
      </c>
      <c r="O457" t="str">
        <v>PUN01 NC Cluster 41</v>
      </c>
      <c r="P457">
        <v>0</v>
      </c>
      <c r="Q457">
        <v>5.486111111111111E-2</v>
      </c>
      <c r="R457">
        <v>5.486111111111111E-2</v>
      </c>
      <c r="S457">
        <v>39184</v>
      </c>
      <c r="T457">
        <v>0.31041666666666667</v>
      </c>
      <c r="U457">
        <v>0.31041666666666667</v>
      </c>
      <c r="V457">
        <v>39202</v>
      </c>
      <c r="W457">
        <v>35</v>
      </c>
      <c r="X457">
        <v>35</v>
      </c>
      <c r="Y457">
        <v>0</v>
      </c>
      <c r="Z457">
        <v>18</v>
      </c>
      <c r="AA457">
        <v>18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806.45</v>
      </c>
      <c r="AK457">
        <v>0</v>
      </c>
      <c r="AL457">
        <v>806.45</v>
      </c>
      <c r="AM457">
        <v>0</v>
      </c>
      <c r="AN457">
        <v>0</v>
      </c>
      <c r="AO457">
        <v>0</v>
      </c>
    </row>
    <row r="458" spans="1:41">
      <c r="A458">
        <v>457</v>
      </c>
      <c r="B458" s="42">
        <v>45950</v>
      </c>
      <c r="C458" t="str">
        <v>HINJEWADI</v>
      </c>
      <c r="D458" t="str">
        <v>SLK1</v>
      </c>
      <c r="E458" t="str">
        <v>SHADOWFAX TECHNOLOGIES PRIVATE LIMITED</v>
      </c>
      <c r="F458" t="str">
        <v>MH14KQ0279</v>
      </c>
      <c r="G458" t="str">
        <v>ACE</v>
      </c>
      <c r="H458" t="str">
        <v>CNG</v>
      </c>
      <c r="I458">
        <v>4</v>
      </c>
      <c r="J458">
        <v>8</v>
      </c>
      <c r="K458">
        <v>25000</v>
      </c>
      <c r="L458">
        <v>1000</v>
      </c>
      <c r="M458">
        <v>55</v>
      </c>
      <c r="N458">
        <v>31</v>
      </c>
      <c r="O458" t="str">
        <v>PUN01 NC Cluster 200</v>
      </c>
      <c r="P458">
        <v>0</v>
      </c>
      <c r="Q458">
        <v>5.486111111111111E-2</v>
      </c>
      <c r="R458">
        <v>5.486111111111111E-2</v>
      </c>
      <c r="S458">
        <v>118651</v>
      </c>
      <c r="T458">
        <v>0.2902777777777778</v>
      </c>
      <c r="U458">
        <v>0.2902777777777778</v>
      </c>
      <c r="V458">
        <v>118680</v>
      </c>
      <c r="W458">
        <v>50</v>
      </c>
      <c r="X458">
        <v>50</v>
      </c>
      <c r="Y458">
        <v>0</v>
      </c>
      <c r="Z458">
        <v>29</v>
      </c>
      <c r="AA458">
        <v>29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806.45</v>
      </c>
      <c r="AK458">
        <v>0</v>
      </c>
      <c r="AL458">
        <v>806.45</v>
      </c>
      <c r="AM458">
        <v>0</v>
      </c>
      <c r="AN458">
        <v>0</v>
      </c>
      <c r="AO458">
        <v>0</v>
      </c>
    </row>
    <row r="459" spans="1:41">
      <c r="A459">
        <v>458</v>
      </c>
      <c r="B459" s="42">
        <v>45950</v>
      </c>
      <c r="C459" t="str">
        <v>HINJEWADI</v>
      </c>
      <c r="D459" t="str">
        <v>SLK1</v>
      </c>
      <c r="E459" t="str">
        <v>SHADOWFAX TECHNOLOGIES PRIVATE LIMITED</v>
      </c>
      <c r="F459" t="str">
        <v>MH12WX6236</v>
      </c>
      <c r="G459" t="str">
        <v>ACE</v>
      </c>
      <c r="H459" t="str">
        <v>CNG</v>
      </c>
      <c r="I459">
        <v>4</v>
      </c>
      <c r="J459">
        <v>8</v>
      </c>
      <c r="K459">
        <v>25000</v>
      </c>
      <c r="L459">
        <v>1000</v>
      </c>
      <c r="M459">
        <v>55</v>
      </c>
      <c r="N459">
        <v>31</v>
      </c>
      <c r="O459" t="str">
        <v>PUN01 NC Cluster 140</v>
      </c>
      <c r="P459">
        <v>0</v>
      </c>
      <c r="Q459">
        <v>5.5555555555555552E-2</v>
      </c>
      <c r="R459">
        <v>5.5555555555555552E-2</v>
      </c>
      <c r="S459">
        <v>38691</v>
      </c>
      <c r="T459">
        <v>0.28472222222222221</v>
      </c>
      <c r="U459">
        <v>0.28472222222222221</v>
      </c>
      <c r="V459">
        <v>38716</v>
      </c>
      <c r="W459">
        <v>53</v>
      </c>
      <c r="X459">
        <v>53</v>
      </c>
      <c r="Y459">
        <v>0</v>
      </c>
      <c r="Z459">
        <v>25</v>
      </c>
      <c r="AA459">
        <v>25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806.45</v>
      </c>
      <c r="AK459">
        <v>0</v>
      </c>
      <c r="AL459">
        <v>806.45</v>
      </c>
      <c r="AM459">
        <v>0</v>
      </c>
      <c r="AN459">
        <v>0</v>
      </c>
      <c r="AO459">
        <v>0</v>
      </c>
    </row>
    <row r="460" spans="1:41">
      <c r="A460">
        <v>459</v>
      </c>
      <c r="B460" s="42">
        <v>45950</v>
      </c>
      <c r="C460" t="str">
        <v>HINJEWADI</v>
      </c>
      <c r="D460" t="str">
        <v>SLK1</v>
      </c>
      <c r="E460" t="str">
        <v>SHADOWFAX TECHNOLOGIES PRIVATE LIMITED</v>
      </c>
      <c r="F460" t="str">
        <v>MH14LX4839</v>
      </c>
      <c r="G460" t="str">
        <v>BOLERO</v>
      </c>
      <c r="H460" t="str">
        <v>DIESEL</v>
      </c>
      <c r="I460">
        <v>4</v>
      </c>
      <c r="J460">
        <v>10</v>
      </c>
      <c r="K460">
        <v>29000</v>
      </c>
      <c r="L460">
        <v>1000</v>
      </c>
      <c r="M460">
        <v>55</v>
      </c>
      <c r="N460">
        <v>31</v>
      </c>
      <c r="O460" t="str">
        <v>PUN01 NC Cluster 20</v>
      </c>
      <c r="P460">
        <v>0</v>
      </c>
      <c r="Q460">
        <v>6.3194444444444442E-2</v>
      </c>
      <c r="R460">
        <v>6.3194444444444442E-2</v>
      </c>
      <c r="S460">
        <v>39333</v>
      </c>
      <c r="T460">
        <v>0.32569444444444445</v>
      </c>
      <c r="U460">
        <v>0.32569444444444445</v>
      </c>
      <c r="V460">
        <v>39364</v>
      </c>
      <c r="W460">
        <v>50</v>
      </c>
      <c r="X460">
        <v>50</v>
      </c>
      <c r="Y460">
        <v>0</v>
      </c>
      <c r="Z460">
        <v>31</v>
      </c>
      <c r="AA460">
        <v>31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935.48</v>
      </c>
      <c r="AK460">
        <v>0</v>
      </c>
      <c r="AL460">
        <v>935.48</v>
      </c>
      <c r="AM460">
        <v>0</v>
      </c>
      <c r="AN460">
        <v>0</v>
      </c>
      <c r="AO460">
        <v>0</v>
      </c>
    </row>
    <row r="461" spans="1:41">
      <c r="A461">
        <v>460</v>
      </c>
      <c r="B461" s="42">
        <v>45950</v>
      </c>
      <c r="C461" t="str">
        <v>HINJEWADI</v>
      </c>
      <c r="D461" t="str">
        <v>SLK1</v>
      </c>
      <c r="E461" t="str">
        <v>SHADOWFAX TECHNOLOGIES PRIVATE LIMITED</v>
      </c>
      <c r="F461" t="str">
        <v>MH12UM3063</v>
      </c>
      <c r="G461" t="str">
        <v>ACE</v>
      </c>
      <c r="H461" t="str">
        <v>CNG</v>
      </c>
      <c r="I461">
        <v>6</v>
      </c>
      <c r="J461">
        <v>8</v>
      </c>
      <c r="K461">
        <v>33000</v>
      </c>
      <c r="L461">
        <v>2000</v>
      </c>
      <c r="M461">
        <v>55</v>
      </c>
      <c r="N461">
        <v>31</v>
      </c>
      <c r="O461" t="str">
        <v>PUN01 NC Cluster 228</v>
      </c>
      <c r="P461">
        <v>0</v>
      </c>
      <c r="Q461">
        <v>6.3888888888888884E-2</v>
      </c>
      <c r="R461">
        <v>6.3888888888888884E-2</v>
      </c>
      <c r="S461">
        <v>101134</v>
      </c>
      <c r="T461">
        <v>0.34027777777777773</v>
      </c>
      <c r="U461">
        <v>0.34027777777777773</v>
      </c>
      <c r="V461">
        <v>101185</v>
      </c>
      <c r="W461">
        <v>20</v>
      </c>
      <c r="X461">
        <v>20</v>
      </c>
      <c r="Y461">
        <v>0</v>
      </c>
      <c r="Z461">
        <v>51</v>
      </c>
      <c r="AA461">
        <v>51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1064.52</v>
      </c>
      <c r="AK461">
        <v>0</v>
      </c>
      <c r="AL461">
        <v>1064.52</v>
      </c>
      <c r="AM461">
        <v>0</v>
      </c>
      <c r="AN461">
        <v>0</v>
      </c>
      <c r="AO461">
        <v>0</v>
      </c>
    </row>
    <row r="462" spans="1:41">
      <c r="A462">
        <v>461</v>
      </c>
      <c r="B462" s="42">
        <v>45950</v>
      </c>
      <c r="C462" t="str">
        <v>HINJEWADI</v>
      </c>
      <c r="D462" t="str">
        <v>SLK1</v>
      </c>
      <c r="E462" t="str">
        <v>SHADOWFAX TECHNOLOGIES PRIVATE LIMITED</v>
      </c>
      <c r="F462" t="str">
        <v>MH14LB4598</v>
      </c>
      <c r="G462" t="str">
        <v>ACE</v>
      </c>
      <c r="H462" t="str">
        <v>CNG</v>
      </c>
      <c r="I462">
        <v>4</v>
      </c>
      <c r="J462">
        <v>8</v>
      </c>
      <c r="K462">
        <v>25000</v>
      </c>
      <c r="L462">
        <v>1000</v>
      </c>
      <c r="M462">
        <v>55</v>
      </c>
      <c r="N462">
        <v>31</v>
      </c>
      <c r="O462" t="str">
        <v>PUN01 NC Cluster 92</v>
      </c>
      <c r="P462">
        <v>0</v>
      </c>
      <c r="Q462">
        <v>6.8749999999999992E-2</v>
      </c>
      <c r="R462">
        <v>6.8749999999999992E-2</v>
      </c>
      <c r="S462">
        <v>66362</v>
      </c>
      <c r="T462">
        <v>0.34722222222222227</v>
      </c>
      <c r="U462">
        <v>0.34722222222222227</v>
      </c>
      <c r="V462">
        <v>66376</v>
      </c>
      <c r="W462">
        <v>30</v>
      </c>
      <c r="X462">
        <v>30</v>
      </c>
      <c r="Y462">
        <v>0</v>
      </c>
      <c r="Z462">
        <v>14</v>
      </c>
      <c r="AA462">
        <v>14</v>
      </c>
      <c r="AB462">
        <v>0</v>
      </c>
      <c r="AC462">
        <v>0</v>
      </c>
      <c r="AD462">
        <v>1</v>
      </c>
      <c r="AE462">
        <v>150</v>
      </c>
      <c r="AF462">
        <v>0</v>
      </c>
      <c r="AG462">
        <v>0</v>
      </c>
      <c r="AH462">
        <v>0</v>
      </c>
      <c r="AI462">
        <v>0</v>
      </c>
      <c r="AJ462">
        <v>956.45</v>
      </c>
      <c r="AK462">
        <v>0</v>
      </c>
      <c r="AL462">
        <v>956.45</v>
      </c>
      <c r="AM462">
        <v>0</v>
      </c>
      <c r="AN462">
        <v>0</v>
      </c>
      <c r="AO462">
        <v>0</v>
      </c>
    </row>
    <row r="463" spans="1:41">
      <c r="A463">
        <v>462</v>
      </c>
      <c r="B463" s="42">
        <v>45950</v>
      </c>
      <c r="C463" t="str">
        <v>HINJEWADI</v>
      </c>
      <c r="D463" t="str">
        <v>SLK1</v>
      </c>
      <c r="E463" t="str">
        <v>SHADOWFAX TECHNOLOGIES PRIVATE LIMITED</v>
      </c>
      <c r="F463" t="str">
        <v>MH14EM3160</v>
      </c>
      <c r="G463" t="str">
        <v>ACE</v>
      </c>
      <c r="H463" t="str">
        <v>CNG</v>
      </c>
      <c r="I463">
        <v>4</v>
      </c>
      <c r="J463">
        <v>8</v>
      </c>
      <c r="K463">
        <v>25000</v>
      </c>
      <c r="L463">
        <v>1000</v>
      </c>
      <c r="M463">
        <v>55</v>
      </c>
      <c r="N463">
        <v>31</v>
      </c>
      <c r="O463" t="str">
        <v>PUN01 NC Cluster 13</v>
      </c>
      <c r="P463">
        <v>0</v>
      </c>
      <c r="Q463">
        <v>7.4305555555555555E-2</v>
      </c>
      <c r="R463">
        <v>7.4305555555555555E-2</v>
      </c>
      <c r="S463">
        <v>165871</v>
      </c>
      <c r="T463">
        <v>0.34166666666666662</v>
      </c>
      <c r="U463">
        <v>0.34166666666666662</v>
      </c>
      <c r="V463">
        <v>165890</v>
      </c>
      <c r="W463">
        <v>35</v>
      </c>
      <c r="X463">
        <v>35</v>
      </c>
      <c r="Y463">
        <v>0</v>
      </c>
      <c r="Z463">
        <v>19</v>
      </c>
      <c r="AA463">
        <v>19</v>
      </c>
      <c r="AB463">
        <v>0</v>
      </c>
      <c r="AC463">
        <v>0</v>
      </c>
      <c r="AD463">
        <v>1</v>
      </c>
      <c r="AE463">
        <v>150</v>
      </c>
      <c r="AF463">
        <v>0</v>
      </c>
      <c r="AG463">
        <v>0</v>
      </c>
      <c r="AH463">
        <v>0</v>
      </c>
      <c r="AI463">
        <v>0</v>
      </c>
      <c r="AJ463">
        <v>956.45</v>
      </c>
      <c r="AK463">
        <v>0</v>
      </c>
      <c r="AL463">
        <v>956.45</v>
      </c>
      <c r="AM463">
        <v>0</v>
      </c>
      <c r="AN463">
        <v>0</v>
      </c>
      <c r="AO463">
        <v>0</v>
      </c>
    </row>
    <row r="464" spans="1:41">
      <c r="A464">
        <v>463</v>
      </c>
      <c r="B464" s="42">
        <v>45950</v>
      </c>
      <c r="C464" t="str">
        <v>HINJEWADI</v>
      </c>
      <c r="D464" t="str">
        <v>SLK1</v>
      </c>
      <c r="E464" t="str">
        <v>SHADOWFAX TECHNOLOGIES PRIVATE LIMITED</v>
      </c>
      <c r="F464" t="str">
        <v>MH14LL6836</v>
      </c>
      <c r="G464" t="str">
        <v>ACE</v>
      </c>
      <c r="H464" t="str">
        <v>CNG</v>
      </c>
      <c r="I464">
        <v>6</v>
      </c>
      <c r="J464">
        <v>8</v>
      </c>
      <c r="K464">
        <v>33000</v>
      </c>
      <c r="L464">
        <v>2000</v>
      </c>
      <c r="M464">
        <v>55</v>
      </c>
      <c r="N464">
        <v>31</v>
      </c>
      <c r="O464" t="str">
        <v>PUN01 NC Cluster 303</v>
      </c>
      <c r="P464">
        <v>0</v>
      </c>
      <c r="Q464">
        <v>7.4999999999999997E-2</v>
      </c>
      <c r="R464">
        <v>7.4999999999999997E-2</v>
      </c>
      <c r="S464">
        <v>34391</v>
      </c>
      <c r="T464">
        <v>0.32361111111111113</v>
      </c>
      <c r="U464">
        <v>0.32361111111111113</v>
      </c>
      <c r="V464">
        <v>34461</v>
      </c>
      <c r="W464">
        <v>24</v>
      </c>
      <c r="X464">
        <v>24</v>
      </c>
      <c r="Y464">
        <v>0</v>
      </c>
      <c r="Z464">
        <v>70</v>
      </c>
      <c r="AA464">
        <v>70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1064.52</v>
      </c>
      <c r="AK464">
        <v>0</v>
      </c>
      <c r="AL464">
        <v>1064.52</v>
      </c>
      <c r="AM464">
        <v>0</v>
      </c>
      <c r="AN464">
        <v>0</v>
      </c>
      <c r="AO464">
        <v>0</v>
      </c>
    </row>
    <row r="465" spans="1:41">
      <c r="A465">
        <v>464</v>
      </c>
      <c r="B465" s="42">
        <v>45950</v>
      </c>
      <c r="C465" t="str">
        <v>HINJEWADI</v>
      </c>
      <c r="D465" t="str">
        <v>SLK1</v>
      </c>
      <c r="E465" t="str">
        <v>SHADOWFAX TECHNOLOGIES PRIVATE LIMITED</v>
      </c>
      <c r="F465" t="str">
        <v>MH14KA6513</v>
      </c>
      <c r="G465" t="str">
        <v>ACE</v>
      </c>
      <c r="H465" t="str">
        <v>CNG</v>
      </c>
      <c r="I465">
        <v>6</v>
      </c>
      <c r="J465">
        <v>8</v>
      </c>
      <c r="K465">
        <v>33000</v>
      </c>
      <c r="L465">
        <v>2000</v>
      </c>
      <c r="M465">
        <v>55</v>
      </c>
      <c r="N465">
        <v>31</v>
      </c>
      <c r="O465" t="str">
        <v>PUN-21 NC Cluster 299</v>
      </c>
      <c r="P465">
        <v>0</v>
      </c>
      <c r="Q465">
        <v>8.5416666666666655E-2</v>
      </c>
      <c r="R465">
        <v>8.5416666666666655E-2</v>
      </c>
      <c r="S465">
        <v>48352</v>
      </c>
      <c r="T465">
        <v>0.36458333333333331</v>
      </c>
      <c r="U465">
        <v>0.36458333333333331</v>
      </c>
      <c r="V465">
        <v>48407</v>
      </c>
      <c r="W465">
        <v>29</v>
      </c>
      <c r="X465">
        <v>27</v>
      </c>
      <c r="Y465">
        <v>2</v>
      </c>
      <c r="Z465">
        <v>55</v>
      </c>
      <c r="AA465">
        <v>55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1064.52</v>
      </c>
      <c r="AK465">
        <v>0</v>
      </c>
      <c r="AL465">
        <v>1064.52</v>
      </c>
      <c r="AM465">
        <v>0</v>
      </c>
      <c r="AN465">
        <v>0</v>
      </c>
      <c r="AO465">
        <v>0</v>
      </c>
    </row>
    <row r="466" spans="1:41">
      <c r="A466">
        <v>465</v>
      </c>
      <c r="B466" s="42">
        <v>45950</v>
      </c>
      <c r="C466" t="str">
        <v>HINJEWADI</v>
      </c>
      <c r="D466" t="str">
        <v>SLK1</v>
      </c>
      <c r="E466" t="str">
        <v>SHADOWFAX TECHNOLOGIES PRIVATE LIMITED</v>
      </c>
      <c r="F466" t="str">
        <v>MH16CD7321</v>
      </c>
      <c r="G466" t="str">
        <v>BOLERO</v>
      </c>
      <c r="H466" t="str">
        <v>DIESEL</v>
      </c>
      <c r="I466">
        <v>4</v>
      </c>
      <c r="J466">
        <v>10</v>
      </c>
      <c r="K466">
        <v>29000</v>
      </c>
      <c r="L466">
        <v>1000</v>
      </c>
      <c r="M466">
        <v>55</v>
      </c>
      <c r="N466">
        <v>31</v>
      </c>
      <c r="O466" t="str">
        <v>PUN01 NC Cluster 142</v>
      </c>
      <c r="P466">
        <v>0</v>
      </c>
      <c r="Q466">
        <v>8.5416666666666655E-2</v>
      </c>
      <c r="R466">
        <v>8.5416666666666655E-2</v>
      </c>
      <c r="S466">
        <v>139507</v>
      </c>
      <c r="T466">
        <v>0.31944444444444448</v>
      </c>
      <c r="U466">
        <v>0.31944444444444448</v>
      </c>
      <c r="V466">
        <v>139536</v>
      </c>
      <c r="W466">
        <v>29</v>
      </c>
      <c r="X466">
        <v>29</v>
      </c>
      <c r="Y466">
        <v>0</v>
      </c>
      <c r="Z466">
        <v>29</v>
      </c>
      <c r="AA466">
        <v>29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935.48</v>
      </c>
      <c r="AK466">
        <v>0</v>
      </c>
      <c r="AL466">
        <v>935.48</v>
      </c>
      <c r="AM466">
        <v>0</v>
      </c>
      <c r="AN466">
        <v>0</v>
      </c>
      <c r="AO466">
        <v>0</v>
      </c>
    </row>
    <row r="467" spans="1:41">
      <c r="A467">
        <v>466</v>
      </c>
      <c r="B467" s="42">
        <v>45950</v>
      </c>
      <c r="C467" t="str">
        <v>HINJEWADI</v>
      </c>
      <c r="D467" t="str">
        <v>SLK1</v>
      </c>
      <c r="E467" t="str">
        <v>SHADOWFAX TECHNOLOGIES PRIVATE LIMITED</v>
      </c>
      <c r="F467" t="str">
        <v>MH14CP4610</v>
      </c>
      <c r="G467" t="str">
        <v>ACE</v>
      </c>
      <c r="H467" t="str">
        <v>CNG</v>
      </c>
      <c r="I467">
        <v>4</v>
      </c>
      <c r="J467">
        <v>8</v>
      </c>
      <c r="K467">
        <v>25000</v>
      </c>
      <c r="L467">
        <v>1000</v>
      </c>
      <c r="M467">
        <v>55</v>
      </c>
      <c r="N467">
        <v>31</v>
      </c>
      <c r="O467" t="str">
        <v>PUN01 NC Cluster 87</v>
      </c>
      <c r="P467">
        <v>0</v>
      </c>
      <c r="Q467">
        <v>9.0277777777777776E-2</v>
      </c>
      <c r="R467">
        <v>9.0277777777777776E-2</v>
      </c>
      <c r="S467">
        <v>145443</v>
      </c>
      <c r="T467">
        <v>0.31597222222222221</v>
      </c>
      <c r="U467">
        <v>0.31597222222222221</v>
      </c>
      <c r="V467">
        <v>145459</v>
      </c>
      <c r="W467">
        <v>20</v>
      </c>
      <c r="X467">
        <v>20</v>
      </c>
      <c r="Y467">
        <v>0</v>
      </c>
      <c r="Z467">
        <v>16</v>
      </c>
      <c r="AA467">
        <v>16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806.45</v>
      </c>
      <c r="AK467">
        <v>0</v>
      </c>
      <c r="AL467">
        <v>806.45</v>
      </c>
      <c r="AM467">
        <v>0</v>
      </c>
      <c r="AN467">
        <v>0</v>
      </c>
      <c r="AO467">
        <v>0</v>
      </c>
    </row>
    <row r="468" spans="1:41">
      <c r="A468">
        <v>467</v>
      </c>
      <c r="B468" s="42">
        <v>45950</v>
      </c>
      <c r="C468" t="str">
        <v>HINJEWADI</v>
      </c>
      <c r="D468" t="str">
        <v>SLK1</v>
      </c>
      <c r="E468" t="str">
        <v>SHADOWFAX TECHNOLOGIES PRIVATE LIMITED</v>
      </c>
      <c r="F468" t="str">
        <v>MH14LL5974</v>
      </c>
      <c r="G468" t="str">
        <v>ACE</v>
      </c>
      <c r="H468" t="str">
        <v>CNG</v>
      </c>
      <c r="I468">
        <v>4</v>
      </c>
      <c r="J468">
        <v>8</v>
      </c>
      <c r="K468">
        <v>25000</v>
      </c>
      <c r="L468">
        <v>1000</v>
      </c>
      <c r="M468">
        <v>55</v>
      </c>
      <c r="N468">
        <v>31</v>
      </c>
      <c r="O468" t="str">
        <v>PUN01 NC Cluster 126</v>
      </c>
      <c r="P468">
        <v>0</v>
      </c>
      <c r="Q468">
        <v>9.0277777777777776E-2</v>
      </c>
      <c r="R468">
        <v>9.0277777777777776E-2</v>
      </c>
      <c r="S468">
        <v>37225</v>
      </c>
      <c r="T468">
        <v>0.31458333333333333</v>
      </c>
      <c r="U468">
        <v>0.31458333333333333</v>
      </c>
      <c r="V468">
        <v>37266</v>
      </c>
      <c r="W468">
        <v>42</v>
      </c>
      <c r="X468">
        <v>42</v>
      </c>
      <c r="Y468">
        <v>0</v>
      </c>
      <c r="Z468">
        <v>41</v>
      </c>
      <c r="AA468">
        <v>41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806.45</v>
      </c>
      <c r="AK468">
        <v>0</v>
      </c>
      <c r="AL468">
        <v>806.45</v>
      </c>
      <c r="AM468">
        <v>0</v>
      </c>
      <c r="AN468">
        <v>0</v>
      </c>
      <c r="AO468">
        <v>0</v>
      </c>
    </row>
    <row r="469" spans="1:41">
      <c r="A469">
        <v>468</v>
      </c>
      <c r="B469" s="42">
        <v>45950</v>
      </c>
      <c r="C469" t="str">
        <v>HINJEWADI</v>
      </c>
      <c r="D469" t="str">
        <v>SLK1</v>
      </c>
      <c r="E469" t="str">
        <v>SHADOWFAX TECHNOLOGIES PRIVATE LIMITED</v>
      </c>
      <c r="F469" t="str">
        <v>MH12UM0925</v>
      </c>
      <c r="G469" t="str">
        <v>ACE</v>
      </c>
      <c r="H469" t="str">
        <v>CNG</v>
      </c>
      <c r="I469">
        <v>4</v>
      </c>
      <c r="J469">
        <v>8</v>
      </c>
      <c r="K469">
        <v>25000</v>
      </c>
      <c r="L469">
        <v>1000</v>
      </c>
      <c r="M469">
        <v>55</v>
      </c>
      <c r="N469">
        <v>31</v>
      </c>
      <c r="O469" t="str">
        <v>PUN01 NC Cluster 127</v>
      </c>
      <c r="P469">
        <v>0</v>
      </c>
      <c r="Q469">
        <v>9.0277777777777776E-2</v>
      </c>
      <c r="R469">
        <v>9.0277777777777776E-2</v>
      </c>
      <c r="S469">
        <v>115538</v>
      </c>
      <c r="T469">
        <v>0.3263888888888889</v>
      </c>
      <c r="U469">
        <v>0.3263888888888889</v>
      </c>
      <c r="V469">
        <v>115575</v>
      </c>
      <c r="W469">
        <v>30</v>
      </c>
      <c r="X469">
        <v>30</v>
      </c>
      <c r="Y469">
        <v>0</v>
      </c>
      <c r="Z469">
        <v>37</v>
      </c>
      <c r="AA469">
        <v>37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806.45</v>
      </c>
      <c r="AK469">
        <v>0</v>
      </c>
      <c r="AL469">
        <v>806.45</v>
      </c>
      <c r="AM469">
        <v>0</v>
      </c>
      <c r="AN469">
        <v>0</v>
      </c>
      <c r="AO469">
        <v>0</v>
      </c>
    </row>
    <row r="470" spans="1:41">
      <c r="A470">
        <v>469</v>
      </c>
      <c r="B470" s="42">
        <v>45950</v>
      </c>
      <c r="C470" t="str">
        <v>HINJEWADI</v>
      </c>
      <c r="D470" t="str">
        <v>SLK1</v>
      </c>
      <c r="E470" t="str">
        <v>SHADOWFAX TECHNOLOGIES PRIVATE LIMITED</v>
      </c>
      <c r="F470" t="str">
        <v>MH14LB5906</v>
      </c>
      <c r="G470" t="str">
        <v>ACE</v>
      </c>
      <c r="H470" t="str">
        <v>CNG</v>
      </c>
      <c r="I470">
        <v>4</v>
      </c>
      <c r="J470">
        <v>8</v>
      </c>
      <c r="K470">
        <v>25000</v>
      </c>
      <c r="L470">
        <v>1000</v>
      </c>
      <c r="M470">
        <v>55</v>
      </c>
      <c r="N470">
        <v>31</v>
      </c>
      <c r="O470" t="str">
        <v>PUN01 NC Cluster 296</v>
      </c>
      <c r="P470">
        <v>0</v>
      </c>
      <c r="Q470">
        <v>9.5833333333333326E-2</v>
      </c>
      <c r="R470">
        <v>9.5833333333333326E-2</v>
      </c>
      <c r="S470">
        <v>45018</v>
      </c>
      <c r="T470">
        <v>0.27777777777777779</v>
      </c>
      <c r="U470">
        <v>0.27777777777777779</v>
      </c>
      <c r="V470">
        <v>45055</v>
      </c>
      <c r="W470">
        <v>21</v>
      </c>
      <c r="X470">
        <v>21</v>
      </c>
      <c r="Y470">
        <v>0</v>
      </c>
      <c r="Z470">
        <v>37</v>
      </c>
      <c r="AA470">
        <v>37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806.45</v>
      </c>
      <c r="AK470">
        <v>0</v>
      </c>
      <c r="AL470">
        <v>806.45</v>
      </c>
      <c r="AM470">
        <v>0</v>
      </c>
      <c r="AN470">
        <v>0</v>
      </c>
      <c r="AO470">
        <v>0</v>
      </c>
    </row>
    <row r="471" spans="1:41">
      <c r="A471">
        <v>470</v>
      </c>
      <c r="B471" s="42">
        <v>45950</v>
      </c>
      <c r="C471" t="str">
        <v>HINJEWADI</v>
      </c>
      <c r="D471" t="str">
        <v>SLK1</v>
      </c>
      <c r="E471" t="str">
        <v>SHADOWFAX TECHNOLOGIES PRIVATE LIMITED</v>
      </c>
      <c r="F471" t="str">
        <v>MH14MH7322</v>
      </c>
      <c r="G471" t="str">
        <v>BOLERO</v>
      </c>
      <c r="H471" t="str">
        <v>DIESEL</v>
      </c>
      <c r="I471">
        <v>4</v>
      </c>
      <c r="J471">
        <v>10</v>
      </c>
      <c r="K471">
        <v>29000</v>
      </c>
      <c r="L471">
        <v>1000</v>
      </c>
      <c r="M471">
        <v>55</v>
      </c>
      <c r="N471">
        <v>31</v>
      </c>
      <c r="O471" t="str">
        <v>PUN01 NC Cluster 133</v>
      </c>
      <c r="P471">
        <v>0</v>
      </c>
      <c r="Q471">
        <v>0.10347222222222223</v>
      </c>
      <c r="R471">
        <v>0.10347222222222223</v>
      </c>
      <c r="S471">
        <v>3451</v>
      </c>
      <c r="T471">
        <v>0.38194444444444442</v>
      </c>
      <c r="U471">
        <v>0.38194444444444442</v>
      </c>
      <c r="V471">
        <v>3484</v>
      </c>
      <c r="W471">
        <v>64</v>
      </c>
      <c r="X471">
        <v>64</v>
      </c>
      <c r="Y471">
        <v>0</v>
      </c>
      <c r="Z471">
        <v>33</v>
      </c>
      <c r="AA471">
        <v>33</v>
      </c>
      <c r="AB471">
        <v>0</v>
      </c>
      <c r="AC471">
        <v>0</v>
      </c>
      <c r="AD471">
        <v>2</v>
      </c>
      <c r="AE471">
        <v>300</v>
      </c>
      <c r="AF471">
        <v>0</v>
      </c>
      <c r="AG471">
        <v>0</v>
      </c>
      <c r="AH471">
        <v>0</v>
      </c>
      <c r="AI471">
        <v>0</v>
      </c>
      <c r="AJ471">
        <v>1235.48</v>
      </c>
      <c r="AK471">
        <v>0</v>
      </c>
      <c r="AL471">
        <v>1235.48</v>
      </c>
      <c r="AM471">
        <v>0</v>
      </c>
      <c r="AN471">
        <v>0</v>
      </c>
      <c r="AO471">
        <v>0</v>
      </c>
    </row>
    <row r="472" spans="1:41">
      <c r="A472">
        <v>471</v>
      </c>
      <c r="B472" s="42">
        <v>45950</v>
      </c>
      <c r="C472" t="str">
        <v>HINJEWADI</v>
      </c>
      <c r="D472" t="str">
        <v>SLK1</v>
      </c>
      <c r="E472" t="str">
        <v>SHADOWFAX TECHNOLOGIES PRIVATE LIMITED</v>
      </c>
      <c r="F472" t="str">
        <v>MH20GC8804</v>
      </c>
      <c r="G472" t="str">
        <v>ACE</v>
      </c>
      <c r="H472" t="str">
        <v>CNG</v>
      </c>
      <c r="I472">
        <v>4</v>
      </c>
      <c r="J472">
        <v>8</v>
      </c>
      <c r="K472">
        <v>25000</v>
      </c>
      <c r="L472">
        <v>1000</v>
      </c>
      <c r="M472">
        <v>55</v>
      </c>
      <c r="N472">
        <v>31</v>
      </c>
      <c r="O472" t="str">
        <v>PUN01 NC Cluster 209</v>
      </c>
      <c r="P472">
        <v>0</v>
      </c>
      <c r="Q472">
        <v>0.10694444444444444</v>
      </c>
      <c r="R472">
        <v>0.10694444444444444</v>
      </c>
      <c r="S472">
        <v>41780</v>
      </c>
      <c r="T472">
        <v>0.35069444444444442</v>
      </c>
      <c r="U472">
        <v>0.35069444444444442</v>
      </c>
      <c r="V472">
        <v>41828</v>
      </c>
      <c r="W472">
        <v>30</v>
      </c>
      <c r="X472">
        <v>30</v>
      </c>
      <c r="Y472">
        <v>0</v>
      </c>
      <c r="Z472">
        <v>48</v>
      </c>
      <c r="AA472">
        <v>48</v>
      </c>
      <c r="AB472">
        <v>0</v>
      </c>
      <c r="AC472">
        <v>0</v>
      </c>
      <c r="AD472">
        <v>1</v>
      </c>
      <c r="AE472">
        <v>150</v>
      </c>
      <c r="AF472">
        <v>0</v>
      </c>
      <c r="AG472">
        <v>0</v>
      </c>
      <c r="AH472">
        <v>0</v>
      </c>
      <c r="AI472">
        <v>0</v>
      </c>
      <c r="AJ472">
        <v>956.45</v>
      </c>
      <c r="AK472">
        <v>0</v>
      </c>
      <c r="AL472">
        <v>956.45</v>
      </c>
      <c r="AM472">
        <v>0</v>
      </c>
      <c r="AN472">
        <v>0</v>
      </c>
      <c r="AO472">
        <v>0</v>
      </c>
    </row>
    <row r="473" spans="1:41">
      <c r="A473">
        <v>472</v>
      </c>
      <c r="B473" s="42">
        <v>45950</v>
      </c>
      <c r="C473" t="str">
        <v>HINJEWADI</v>
      </c>
      <c r="D473" t="str">
        <v>SLK1</v>
      </c>
      <c r="E473" t="str">
        <v>SHADOWFAX TECHNOLOGIES PRIVATE LIMITED</v>
      </c>
      <c r="F473" t="str">
        <v>MH14KA5782</v>
      </c>
      <c r="G473" t="str">
        <v>ACE</v>
      </c>
      <c r="H473" t="str">
        <v>CNG</v>
      </c>
      <c r="I473">
        <v>4</v>
      </c>
      <c r="J473">
        <v>8</v>
      </c>
      <c r="K473">
        <v>25000</v>
      </c>
      <c r="L473">
        <v>1000</v>
      </c>
      <c r="M473">
        <v>55</v>
      </c>
      <c r="N473">
        <v>31</v>
      </c>
      <c r="O473" t="str">
        <v>PUN01 NC Cluster</v>
      </c>
      <c r="P473">
        <v>0</v>
      </c>
      <c r="Q473">
        <v>0.10694444444444444</v>
      </c>
      <c r="R473">
        <v>0.10694444444444444</v>
      </c>
      <c r="S473">
        <v>89301</v>
      </c>
      <c r="T473">
        <v>0.35416666666666669</v>
      </c>
      <c r="U473">
        <v>0.35416666666666669</v>
      </c>
      <c r="V473">
        <v>89335</v>
      </c>
      <c r="W473">
        <v>0</v>
      </c>
      <c r="X473">
        <v>0</v>
      </c>
      <c r="Y473">
        <v>0</v>
      </c>
      <c r="Z473">
        <v>34</v>
      </c>
      <c r="AA473">
        <v>34</v>
      </c>
      <c r="AB473">
        <v>0</v>
      </c>
      <c r="AC473">
        <v>0</v>
      </c>
      <c r="AD473">
        <v>1</v>
      </c>
      <c r="AE473">
        <v>150</v>
      </c>
      <c r="AF473">
        <v>0</v>
      </c>
      <c r="AG473">
        <v>0</v>
      </c>
      <c r="AH473">
        <v>0</v>
      </c>
      <c r="AI473">
        <v>0</v>
      </c>
      <c r="AJ473">
        <v>956.45</v>
      </c>
      <c r="AK473">
        <v>0</v>
      </c>
      <c r="AL473">
        <v>956.45</v>
      </c>
      <c r="AM473">
        <v>0</v>
      </c>
      <c r="AN473">
        <v>0</v>
      </c>
      <c r="AO473">
        <v>0</v>
      </c>
    </row>
    <row r="474" spans="1:41">
      <c r="A474">
        <v>473</v>
      </c>
      <c r="B474" s="42">
        <v>45950</v>
      </c>
      <c r="C474" t="str">
        <v>HINJEWADI</v>
      </c>
      <c r="D474" t="str">
        <v>SLK1</v>
      </c>
      <c r="E474" t="str">
        <v>SHADOWFAX TECHNOLOGIES PRIVATE LIMITED</v>
      </c>
      <c r="F474" t="str">
        <v>MH14KA1228</v>
      </c>
      <c r="G474" t="str">
        <v>ACE</v>
      </c>
      <c r="H474" t="str">
        <v>CNG</v>
      </c>
      <c r="I474">
        <v>4</v>
      </c>
      <c r="J474">
        <v>8</v>
      </c>
      <c r="K474">
        <v>25000</v>
      </c>
      <c r="L474">
        <v>1000</v>
      </c>
      <c r="M474">
        <v>55</v>
      </c>
      <c r="N474">
        <v>31</v>
      </c>
      <c r="O474" t="str">
        <v>PUN01 NC Cluster 208</v>
      </c>
      <c r="P474">
        <v>0</v>
      </c>
      <c r="Q474">
        <v>0.10972222222222222</v>
      </c>
      <c r="R474">
        <v>0.10972222222222222</v>
      </c>
      <c r="S474">
        <v>159685</v>
      </c>
      <c r="T474">
        <v>0.31597222222222221</v>
      </c>
      <c r="U474">
        <v>0.31597222222222221</v>
      </c>
      <c r="V474">
        <v>159722</v>
      </c>
      <c r="W474">
        <v>43</v>
      </c>
      <c r="X474">
        <v>43</v>
      </c>
      <c r="Y474">
        <v>0</v>
      </c>
      <c r="Z474">
        <v>37</v>
      </c>
      <c r="AA474">
        <v>37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806.45</v>
      </c>
      <c r="AK474">
        <v>0</v>
      </c>
      <c r="AL474">
        <v>806.45</v>
      </c>
      <c r="AM474">
        <v>0</v>
      </c>
      <c r="AN474">
        <v>0</v>
      </c>
      <c r="AO474">
        <v>0</v>
      </c>
    </row>
    <row r="475" spans="1:41">
      <c r="A475">
        <v>474</v>
      </c>
      <c r="B475" s="42">
        <v>45950</v>
      </c>
      <c r="C475" t="str">
        <v>HINJEWADI</v>
      </c>
      <c r="D475" t="str">
        <v>SLK1</v>
      </c>
      <c r="E475" t="str">
        <v>SHADOWFAX TECHNOLOGIES PRIVATE LIMITED</v>
      </c>
      <c r="F475" t="str">
        <v>MH14LL4513</v>
      </c>
      <c r="G475" t="str">
        <v>BOLERO</v>
      </c>
      <c r="H475" t="str">
        <v>DIESEL</v>
      </c>
      <c r="I475">
        <v>4</v>
      </c>
      <c r="J475">
        <v>10</v>
      </c>
      <c r="K475">
        <v>29000</v>
      </c>
      <c r="L475">
        <v>1000</v>
      </c>
      <c r="M475">
        <v>55</v>
      </c>
      <c r="N475">
        <v>31</v>
      </c>
      <c r="O475" t="str">
        <v>PUN01 NC Cluster 73</v>
      </c>
      <c r="P475">
        <v>0</v>
      </c>
      <c r="Q475">
        <v>0.11180555555555556</v>
      </c>
      <c r="R475">
        <v>0.11180555555555556</v>
      </c>
      <c r="S475">
        <v>33096</v>
      </c>
      <c r="T475">
        <v>0.34375</v>
      </c>
      <c r="U475">
        <v>0.34375</v>
      </c>
      <c r="V475">
        <v>33120</v>
      </c>
      <c r="W475">
        <v>40</v>
      </c>
      <c r="X475">
        <v>40</v>
      </c>
      <c r="Y475">
        <v>0</v>
      </c>
      <c r="Z475">
        <v>24</v>
      </c>
      <c r="AA475">
        <v>24</v>
      </c>
      <c r="AB475">
        <v>0</v>
      </c>
      <c r="AC475">
        <v>0</v>
      </c>
      <c r="AD475">
        <v>1</v>
      </c>
      <c r="AE475">
        <v>150</v>
      </c>
      <c r="AF475">
        <v>0</v>
      </c>
      <c r="AG475">
        <v>0</v>
      </c>
      <c r="AH475">
        <v>0</v>
      </c>
      <c r="AI475">
        <v>0</v>
      </c>
      <c r="AJ475">
        <v>1085.48</v>
      </c>
      <c r="AK475">
        <v>0</v>
      </c>
      <c r="AL475">
        <v>1085.48</v>
      </c>
      <c r="AM475">
        <v>0</v>
      </c>
      <c r="AN475">
        <v>0</v>
      </c>
      <c r="AO475">
        <v>0</v>
      </c>
    </row>
    <row r="476" spans="1:41">
      <c r="A476">
        <v>475</v>
      </c>
      <c r="B476" s="42">
        <v>45950</v>
      </c>
      <c r="C476" t="str">
        <v>HINJEWADI</v>
      </c>
      <c r="D476" t="str">
        <v>SLK1</v>
      </c>
      <c r="E476" t="str">
        <v>SHADOWFAX TECHNOLOGIES PRIVATE LIMITED</v>
      </c>
      <c r="F476" t="str">
        <v>MH14LX4840</v>
      </c>
      <c r="G476" t="str">
        <v>BOLERO</v>
      </c>
      <c r="H476" t="str">
        <v>DIESEL</v>
      </c>
      <c r="I476">
        <v>4</v>
      </c>
      <c r="J476">
        <v>10</v>
      </c>
      <c r="K476">
        <v>29000</v>
      </c>
      <c r="L476">
        <v>1000</v>
      </c>
      <c r="M476">
        <v>55</v>
      </c>
      <c r="N476">
        <v>31</v>
      </c>
      <c r="O476" t="str">
        <v>PUN01 NC Cluster 112</v>
      </c>
      <c r="P476">
        <v>0</v>
      </c>
      <c r="Q476">
        <v>0.11388888888888889</v>
      </c>
      <c r="R476">
        <v>0.11388888888888889</v>
      </c>
      <c r="S476">
        <v>61063</v>
      </c>
      <c r="T476">
        <v>0.33263888888888887</v>
      </c>
      <c r="U476">
        <v>0.33263888888888887</v>
      </c>
      <c r="V476">
        <v>61092</v>
      </c>
      <c r="W476">
        <v>53</v>
      </c>
      <c r="X476">
        <v>53</v>
      </c>
      <c r="Y476">
        <v>0</v>
      </c>
      <c r="Z476">
        <v>29</v>
      </c>
      <c r="AA476">
        <v>29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935.48</v>
      </c>
      <c r="AK476">
        <v>0</v>
      </c>
      <c r="AL476">
        <v>935.48</v>
      </c>
      <c r="AM476">
        <v>0</v>
      </c>
      <c r="AN476">
        <v>0</v>
      </c>
      <c r="AO476">
        <v>0</v>
      </c>
    </row>
    <row r="477" spans="1:41">
      <c r="A477">
        <v>476</v>
      </c>
      <c r="B477" s="42">
        <v>45950</v>
      </c>
      <c r="C477" t="str">
        <v>HINJEWADI</v>
      </c>
      <c r="D477" t="str">
        <v>SLK1</v>
      </c>
      <c r="E477" t="str">
        <v>SHADOWFAX TECHNOLOGIES PRIVATE LIMITED</v>
      </c>
      <c r="F477" t="str">
        <v>MH14MH6374</v>
      </c>
      <c r="G477" t="str">
        <v>ACE</v>
      </c>
      <c r="H477" t="str">
        <v>CNG</v>
      </c>
      <c r="I477">
        <v>4</v>
      </c>
      <c r="J477">
        <v>8</v>
      </c>
      <c r="K477">
        <v>25000</v>
      </c>
      <c r="L477">
        <v>1000</v>
      </c>
      <c r="M477">
        <v>55</v>
      </c>
      <c r="N477">
        <v>31</v>
      </c>
      <c r="O477" t="str">
        <v>PUN01 NC Cluster 199</v>
      </c>
      <c r="P477">
        <v>0</v>
      </c>
      <c r="Q477">
        <v>0.1173611111111111</v>
      </c>
      <c r="R477">
        <v>0.1173611111111111</v>
      </c>
      <c r="S477">
        <v>7789</v>
      </c>
      <c r="T477">
        <v>0.30069444444444443</v>
      </c>
      <c r="U477">
        <v>0.30069444444444443</v>
      </c>
      <c r="V477">
        <v>7814</v>
      </c>
      <c r="W477">
        <v>13</v>
      </c>
      <c r="X477">
        <v>13</v>
      </c>
      <c r="Y477">
        <v>0</v>
      </c>
      <c r="Z477">
        <v>25</v>
      </c>
      <c r="AA477">
        <v>25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806.45</v>
      </c>
      <c r="AK477">
        <v>0</v>
      </c>
      <c r="AL477">
        <v>806.45</v>
      </c>
      <c r="AM477">
        <v>0</v>
      </c>
      <c r="AN477">
        <v>0</v>
      </c>
      <c r="AO477">
        <v>0</v>
      </c>
    </row>
    <row r="478" spans="1:41">
      <c r="A478">
        <v>477</v>
      </c>
      <c r="B478" s="42">
        <v>45950</v>
      </c>
      <c r="C478" t="str">
        <v>HINJEWADI</v>
      </c>
      <c r="D478" t="str">
        <v>SLK1</v>
      </c>
      <c r="E478" t="str">
        <v>SHADOWFAX TECHNOLOGIES PRIVATE LIMITED</v>
      </c>
      <c r="F478" t="str">
        <v>MH12XM2801</v>
      </c>
      <c r="G478" t="str">
        <v>ACE</v>
      </c>
      <c r="H478" t="str">
        <v>CNG</v>
      </c>
      <c r="I478">
        <v>4</v>
      </c>
      <c r="J478">
        <v>8</v>
      </c>
      <c r="K478">
        <v>25000</v>
      </c>
      <c r="L478">
        <v>1000</v>
      </c>
      <c r="M478">
        <v>55</v>
      </c>
      <c r="N478">
        <v>31</v>
      </c>
      <c r="O478" t="str">
        <v>PUN01 NC Cluster 40</v>
      </c>
      <c r="P478">
        <v>0</v>
      </c>
      <c r="Q478">
        <v>0.11805555555555557</v>
      </c>
      <c r="R478">
        <v>0.11805555555555557</v>
      </c>
      <c r="S478">
        <v>12854</v>
      </c>
      <c r="T478">
        <v>0.29583333333333334</v>
      </c>
      <c r="U478">
        <v>0.29583333333333334</v>
      </c>
      <c r="V478">
        <v>12871</v>
      </c>
      <c r="W478">
        <v>40</v>
      </c>
      <c r="X478">
        <v>40</v>
      </c>
      <c r="Y478">
        <v>0</v>
      </c>
      <c r="Z478">
        <v>17</v>
      </c>
      <c r="AA478">
        <v>17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806.45</v>
      </c>
      <c r="AK478">
        <v>0</v>
      </c>
      <c r="AL478">
        <v>806.45</v>
      </c>
      <c r="AM478">
        <v>0</v>
      </c>
      <c r="AN478">
        <v>0</v>
      </c>
      <c r="AO478">
        <v>0</v>
      </c>
    </row>
    <row r="479" spans="1:41">
      <c r="A479">
        <v>478</v>
      </c>
      <c r="B479" s="42">
        <v>45950</v>
      </c>
      <c r="C479" t="str">
        <v>HINJEWADI</v>
      </c>
      <c r="D479" t="str">
        <v>SLK1</v>
      </c>
      <c r="E479" t="str">
        <v>SHADOWFAX TECHNOLOGIES PRIVATE LIMITED</v>
      </c>
      <c r="F479" t="str">
        <v>MH14KQ4401</v>
      </c>
      <c r="G479" t="str">
        <v>ACE</v>
      </c>
      <c r="H479" t="str">
        <v>CNG</v>
      </c>
      <c r="I479">
        <v>4</v>
      </c>
      <c r="J479">
        <v>8</v>
      </c>
      <c r="K479">
        <v>25000</v>
      </c>
      <c r="L479">
        <v>1000</v>
      </c>
      <c r="M479">
        <v>55</v>
      </c>
      <c r="N479">
        <v>31</v>
      </c>
      <c r="O479" t="str">
        <v>PUN01 NC Cluster 97</v>
      </c>
      <c r="P479">
        <v>0</v>
      </c>
      <c r="Q479">
        <v>0.11944444444444445</v>
      </c>
      <c r="R479">
        <v>0.11944444444444445</v>
      </c>
      <c r="S479">
        <v>75837</v>
      </c>
      <c r="T479">
        <v>0.32291666666666669</v>
      </c>
      <c r="U479">
        <v>0.32291666666666669</v>
      </c>
      <c r="V479">
        <v>75863</v>
      </c>
      <c r="W479">
        <v>14</v>
      </c>
      <c r="X479">
        <v>14</v>
      </c>
      <c r="Y479">
        <v>0</v>
      </c>
      <c r="Z479">
        <v>26</v>
      </c>
      <c r="AA479">
        <v>26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806.45</v>
      </c>
      <c r="AK479">
        <v>0</v>
      </c>
      <c r="AL479">
        <v>806.45</v>
      </c>
      <c r="AM479">
        <v>0</v>
      </c>
      <c r="AN479">
        <v>0</v>
      </c>
      <c r="AO479">
        <v>0</v>
      </c>
    </row>
    <row r="480" spans="1:41">
      <c r="A480">
        <v>479</v>
      </c>
      <c r="B480" s="42">
        <v>45950</v>
      </c>
      <c r="C480" t="str">
        <v>HINJEWADI</v>
      </c>
      <c r="D480" t="str">
        <v>SLK1</v>
      </c>
      <c r="E480" t="str">
        <v>SHADOWFAX TECHNOLOGIES PRIVATE LIMITED</v>
      </c>
      <c r="F480" t="str">
        <v>MH14KA2871</v>
      </c>
      <c r="G480" t="str">
        <v>ACE</v>
      </c>
      <c r="H480" t="str">
        <v>CNG</v>
      </c>
      <c r="I480">
        <v>4</v>
      </c>
      <c r="J480">
        <v>8</v>
      </c>
      <c r="K480">
        <v>25000</v>
      </c>
      <c r="L480">
        <v>1000</v>
      </c>
      <c r="M480">
        <v>55</v>
      </c>
      <c r="N480">
        <v>31</v>
      </c>
      <c r="O480" t="str">
        <v>PUN01 NC Cluster 19</v>
      </c>
      <c r="P480">
        <v>0</v>
      </c>
      <c r="Q480">
        <v>0.12430555555555556</v>
      </c>
      <c r="R480">
        <v>0.12430555555555556</v>
      </c>
      <c r="S480">
        <v>78592</v>
      </c>
      <c r="T480">
        <v>0.31388888888888888</v>
      </c>
      <c r="U480">
        <v>0.31388888888888888</v>
      </c>
      <c r="V480">
        <v>78616</v>
      </c>
      <c r="W480">
        <v>64</v>
      </c>
      <c r="X480">
        <v>64</v>
      </c>
      <c r="Y480">
        <v>0</v>
      </c>
      <c r="Z480">
        <v>24</v>
      </c>
      <c r="AA480">
        <v>24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806.45</v>
      </c>
      <c r="AK480">
        <v>0</v>
      </c>
      <c r="AL480">
        <v>806.45</v>
      </c>
      <c r="AM480">
        <v>0</v>
      </c>
      <c r="AN480">
        <v>0</v>
      </c>
      <c r="AO480">
        <v>0</v>
      </c>
    </row>
    <row r="481" spans="1:41">
      <c r="A481">
        <v>480</v>
      </c>
      <c r="B481" s="42">
        <v>45950</v>
      </c>
      <c r="C481" t="str">
        <v>HINJEWADI</v>
      </c>
      <c r="D481" t="str">
        <v>SLK1</v>
      </c>
      <c r="E481" t="str">
        <v>SHADOWFAX TECHNOLOGIES PRIVATE LIMITED</v>
      </c>
      <c r="F481" t="str">
        <v>MH14LB6751</v>
      </c>
      <c r="G481" t="str">
        <v>ACE</v>
      </c>
      <c r="H481" t="str">
        <v>CNG</v>
      </c>
      <c r="I481">
        <v>4</v>
      </c>
      <c r="J481">
        <v>8</v>
      </c>
      <c r="K481">
        <v>25000</v>
      </c>
      <c r="L481">
        <v>1000</v>
      </c>
      <c r="M481">
        <v>55</v>
      </c>
      <c r="N481">
        <v>31</v>
      </c>
      <c r="O481" t="str">
        <v>PUN01 NC Cluster 36</v>
      </c>
      <c r="P481">
        <v>0</v>
      </c>
      <c r="Q481">
        <v>0.13749999999999998</v>
      </c>
      <c r="R481">
        <v>0.13749999999999998</v>
      </c>
      <c r="S481">
        <v>84922</v>
      </c>
      <c r="T481">
        <v>0.33819444444444446</v>
      </c>
      <c r="U481">
        <v>0.33819444444444446</v>
      </c>
      <c r="V481">
        <v>84922</v>
      </c>
      <c r="W481">
        <v>15</v>
      </c>
      <c r="X481">
        <v>15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150</v>
      </c>
      <c r="AF481">
        <v>0</v>
      </c>
      <c r="AG481">
        <v>0</v>
      </c>
      <c r="AH481">
        <v>0</v>
      </c>
      <c r="AI481">
        <v>0</v>
      </c>
      <c r="AJ481">
        <v>956.45</v>
      </c>
      <c r="AK481">
        <v>0</v>
      </c>
      <c r="AL481">
        <v>956.45</v>
      </c>
      <c r="AM481">
        <v>0</v>
      </c>
      <c r="AN481">
        <v>0</v>
      </c>
      <c r="AO481">
        <v>0</v>
      </c>
    </row>
    <row r="482" spans="1:41">
      <c r="A482">
        <v>481</v>
      </c>
      <c r="B482" s="42">
        <v>45951</v>
      </c>
      <c r="C482" t="str">
        <v>HINJEWADI</v>
      </c>
      <c r="D482" t="str">
        <v>SLK1</v>
      </c>
      <c r="E482" t="str">
        <v>SHADOWFAX TECHNOLOGIES PRIVATE LIMITED</v>
      </c>
      <c r="F482" t="str">
        <v>MH12UM3063</v>
      </c>
      <c r="G482" t="str">
        <v>ACE</v>
      </c>
      <c r="H482" t="str">
        <v>CNG</v>
      </c>
      <c r="I482">
        <v>6</v>
      </c>
      <c r="J482">
        <v>8</v>
      </c>
      <c r="K482">
        <v>33000</v>
      </c>
      <c r="L482">
        <v>2000</v>
      </c>
      <c r="M482">
        <v>55</v>
      </c>
      <c r="N482">
        <v>31</v>
      </c>
      <c r="O482" t="str">
        <v>PUN01 NC Cluster 229</v>
      </c>
      <c r="P482">
        <v>0</v>
      </c>
      <c r="Q482">
        <v>4.9999999999999996E-2</v>
      </c>
      <c r="R482">
        <v>4.9999999999999996E-2</v>
      </c>
      <c r="S482">
        <v>101296</v>
      </c>
      <c r="T482">
        <v>0.28472222222222221</v>
      </c>
      <c r="U482">
        <v>0.28472222222222221</v>
      </c>
      <c r="V482">
        <v>101340</v>
      </c>
      <c r="W482">
        <v>31</v>
      </c>
      <c r="X482">
        <v>31</v>
      </c>
      <c r="Y482">
        <v>0</v>
      </c>
      <c r="Z482">
        <v>44</v>
      </c>
      <c r="AA482">
        <v>44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1064.52</v>
      </c>
      <c r="AK482">
        <v>0</v>
      </c>
      <c r="AL482">
        <v>1064.52</v>
      </c>
      <c r="AM482">
        <v>0</v>
      </c>
      <c r="AN482">
        <v>0</v>
      </c>
      <c r="AO482">
        <v>0</v>
      </c>
    </row>
    <row r="483" spans="1:41">
      <c r="A483">
        <v>482</v>
      </c>
      <c r="B483" s="42">
        <v>45951</v>
      </c>
      <c r="C483" t="str">
        <v>HINJEWADI</v>
      </c>
      <c r="D483" t="str">
        <v>SLK1</v>
      </c>
      <c r="E483" t="str">
        <v>SHADOWFAX TECHNOLOGIES PRIVATE LIMITED</v>
      </c>
      <c r="F483" t="str">
        <v>MH14EM3160</v>
      </c>
      <c r="G483" t="str">
        <v>ACE</v>
      </c>
      <c r="H483" t="str">
        <v>CNG</v>
      </c>
      <c r="I483">
        <v>4</v>
      </c>
      <c r="J483">
        <v>8</v>
      </c>
      <c r="K483">
        <v>25000</v>
      </c>
      <c r="L483">
        <v>1000</v>
      </c>
      <c r="M483">
        <v>55</v>
      </c>
      <c r="N483">
        <v>31</v>
      </c>
      <c r="O483" t="str">
        <v>PUN01 NC Cluster 13</v>
      </c>
      <c r="P483">
        <v>0</v>
      </c>
      <c r="Q483">
        <v>5.0694444444444452E-2</v>
      </c>
      <c r="R483">
        <v>5.0694444444444452E-2</v>
      </c>
      <c r="S483">
        <v>165937</v>
      </c>
      <c r="T483">
        <v>0.29236111111111113</v>
      </c>
      <c r="U483">
        <v>0.29236111111111113</v>
      </c>
      <c r="V483">
        <v>165956</v>
      </c>
      <c r="W483">
        <v>26</v>
      </c>
      <c r="X483">
        <v>26</v>
      </c>
      <c r="Y483">
        <v>0</v>
      </c>
      <c r="Z483">
        <v>19</v>
      </c>
      <c r="AA483">
        <v>19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806.45</v>
      </c>
      <c r="AK483">
        <v>0</v>
      </c>
      <c r="AL483">
        <v>806.45</v>
      </c>
      <c r="AM483">
        <v>0</v>
      </c>
      <c r="AN483">
        <v>0</v>
      </c>
      <c r="AO483">
        <v>0</v>
      </c>
    </row>
    <row r="484" spans="1:41">
      <c r="A484">
        <v>483</v>
      </c>
      <c r="B484" s="42">
        <v>45951</v>
      </c>
      <c r="C484" t="str">
        <v>HINJEWADI</v>
      </c>
      <c r="D484" t="str">
        <v>SLK1</v>
      </c>
      <c r="E484" t="str">
        <v>SHADOWFAX TECHNOLOGIES PRIVATE LIMITED</v>
      </c>
      <c r="F484" t="str">
        <v>MH14LB4598</v>
      </c>
      <c r="G484" t="str">
        <v>ACE</v>
      </c>
      <c r="H484" t="str">
        <v>CNG</v>
      </c>
      <c r="I484">
        <v>4</v>
      </c>
      <c r="J484">
        <v>8</v>
      </c>
      <c r="K484">
        <v>25000</v>
      </c>
      <c r="L484">
        <v>1000</v>
      </c>
      <c r="M484">
        <v>55</v>
      </c>
      <c r="N484">
        <v>31</v>
      </c>
      <c r="O484" t="str">
        <v>PUN01 NC Cluster 93</v>
      </c>
      <c r="P484">
        <v>0</v>
      </c>
      <c r="Q484">
        <v>5.0694444444444452E-2</v>
      </c>
      <c r="R484">
        <v>5.0694444444444452E-2</v>
      </c>
      <c r="S484">
        <v>66405</v>
      </c>
      <c r="T484">
        <v>0.29652777777777778</v>
      </c>
      <c r="U484">
        <v>0.29652777777777778</v>
      </c>
      <c r="V484">
        <v>66423</v>
      </c>
      <c r="W484">
        <v>27</v>
      </c>
      <c r="X484">
        <v>27</v>
      </c>
      <c r="Y484">
        <v>0</v>
      </c>
      <c r="Z484">
        <v>18</v>
      </c>
      <c r="AA484">
        <v>18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806.45</v>
      </c>
      <c r="AK484">
        <v>0</v>
      </c>
      <c r="AL484">
        <v>806.45</v>
      </c>
      <c r="AM484">
        <v>0</v>
      </c>
      <c r="AN484">
        <v>0</v>
      </c>
      <c r="AO484">
        <v>0</v>
      </c>
    </row>
    <row r="485" spans="1:41">
      <c r="A485">
        <v>484</v>
      </c>
      <c r="B485" s="42">
        <v>45951</v>
      </c>
      <c r="C485" t="str">
        <v>HINJEWADI</v>
      </c>
      <c r="D485" t="str">
        <v>SLK1</v>
      </c>
      <c r="E485" t="str">
        <v>SHADOWFAX TECHNOLOGIES PRIVATE LIMITED</v>
      </c>
      <c r="F485" t="str">
        <v>MH03AH8989</v>
      </c>
      <c r="G485" t="str">
        <v>ACE</v>
      </c>
      <c r="H485" t="str">
        <v>CNG</v>
      </c>
      <c r="I485">
        <v>4</v>
      </c>
      <c r="J485">
        <v>8</v>
      </c>
      <c r="K485">
        <v>25000</v>
      </c>
      <c r="L485">
        <v>1000</v>
      </c>
      <c r="M485">
        <v>55</v>
      </c>
      <c r="N485">
        <v>31</v>
      </c>
      <c r="O485" t="str">
        <v>PUN01 NC Cluster 1</v>
      </c>
      <c r="P485">
        <v>0</v>
      </c>
      <c r="Q485">
        <v>5.2083333333333336E-2</v>
      </c>
      <c r="R485">
        <v>5.2083333333333336E-2</v>
      </c>
      <c r="S485">
        <v>57857</v>
      </c>
      <c r="T485">
        <v>0</v>
      </c>
      <c r="U485">
        <v>0</v>
      </c>
      <c r="V485">
        <v>57870</v>
      </c>
      <c r="W485">
        <v>25</v>
      </c>
      <c r="X485">
        <v>25</v>
      </c>
      <c r="Y485">
        <v>0</v>
      </c>
      <c r="Z485">
        <v>13</v>
      </c>
      <c r="AA485">
        <v>13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806.45</v>
      </c>
      <c r="AK485">
        <v>0</v>
      </c>
      <c r="AL485">
        <v>806.45</v>
      </c>
      <c r="AM485">
        <v>0</v>
      </c>
      <c r="AN485">
        <v>0</v>
      </c>
      <c r="AO485">
        <v>0</v>
      </c>
    </row>
    <row r="486" spans="1:41">
      <c r="A486">
        <v>485</v>
      </c>
      <c r="B486" s="42">
        <v>45951</v>
      </c>
      <c r="C486" t="str">
        <v>HINJEWADI</v>
      </c>
      <c r="D486" t="str">
        <v>SLK1</v>
      </c>
      <c r="E486" t="str">
        <v>SHADOWFAX TECHNOLOGIES PRIVATE LIMITED</v>
      </c>
      <c r="F486" t="str">
        <v>MH14LB6751</v>
      </c>
      <c r="G486" t="str">
        <v>ACE</v>
      </c>
      <c r="H486" t="str">
        <v>CNG</v>
      </c>
      <c r="I486">
        <v>4</v>
      </c>
      <c r="J486">
        <v>8</v>
      </c>
      <c r="K486">
        <v>25000</v>
      </c>
      <c r="L486">
        <v>1000</v>
      </c>
      <c r="M486">
        <v>55</v>
      </c>
      <c r="N486">
        <v>31</v>
      </c>
      <c r="O486" t="str">
        <v>PUN01 NC Cluster 11</v>
      </c>
      <c r="P486">
        <v>0</v>
      </c>
      <c r="Q486">
        <v>5.2777777777777778E-2</v>
      </c>
      <c r="R486">
        <v>5.2777777777777778E-2</v>
      </c>
      <c r="S486">
        <v>85030</v>
      </c>
      <c r="T486">
        <v>0.26666666666666666</v>
      </c>
      <c r="U486">
        <v>0.26666666666666666</v>
      </c>
      <c r="V486">
        <v>85052</v>
      </c>
      <c r="W486">
        <v>39</v>
      </c>
      <c r="X486">
        <v>39</v>
      </c>
      <c r="Y486">
        <v>0</v>
      </c>
      <c r="Z486">
        <v>22</v>
      </c>
      <c r="AA486">
        <v>22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806.45</v>
      </c>
      <c r="AK486">
        <v>0</v>
      </c>
      <c r="AL486">
        <v>806.45</v>
      </c>
      <c r="AM486">
        <v>0</v>
      </c>
      <c r="AN486">
        <v>0</v>
      </c>
      <c r="AO486">
        <v>0</v>
      </c>
    </row>
    <row r="487" spans="1:41">
      <c r="A487">
        <v>486</v>
      </c>
      <c r="B487" s="42">
        <v>45951</v>
      </c>
      <c r="C487" t="str">
        <v>HINJEWADI</v>
      </c>
      <c r="D487" t="str">
        <v>SLK1</v>
      </c>
      <c r="E487" t="str">
        <v>SHADOWFAX TECHNOLOGIES PRIVATE LIMITED</v>
      </c>
      <c r="F487" t="str">
        <v>MH14MH8276</v>
      </c>
      <c r="G487" t="str">
        <v>ACE</v>
      </c>
      <c r="H487" t="str">
        <v>CNG</v>
      </c>
      <c r="I487">
        <v>4</v>
      </c>
      <c r="J487">
        <v>8</v>
      </c>
      <c r="K487">
        <v>25000</v>
      </c>
      <c r="L487">
        <v>1000</v>
      </c>
      <c r="M487">
        <v>55</v>
      </c>
      <c r="N487">
        <v>31</v>
      </c>
      <c r="O487" t="str">
        <v>PUN01 NC Cluster 41</v>
      </c>
      <c r="P487">
        <v>0</v>
      </c>
      <c r="Q487">
        <v>5.347222222222222E-2</v>
      </c>
      <c r="R487">
        <v>5.347222222222222E-2</v>
      </c>
      <c r="S487">
        <v>5711</v>
      </c>
      <c r="T487">
        <v>0.29652777777777778</v>
      </c>
      <c r="U487">
        <v>0.29652777777777778</v>
      </c>
      <c r="V487">
        <v>5722</v>
      </c>
      <c r="W487">
        <v>31</v>
      </c>
      <c r="X487">
        <v>31</v>
      </c>
      <c r="Y487">
        <v>0</v>
      </c>
      <c r="Z487">
        <v>11</v>
      </c>
      <c r="AA487">
        <v>11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806.45</v>
      </c>
      <c r="AK487">
        <v>0</v>
      </c>
      <c r="AL487">
        <v>806.45</v>
      </c>
      <c r="AM487">
        <v>0</v>
      </c>
      <c r="AN487">
        <v>0</v>
      </c>
      <c r="AO487">
        <v>0</v>
      </c>
    </row>
    <row r="488" spans="1:41">
      <c r="A488">
        <v>487</v>
      </c>
      <c r="B488" s="42">
        <v>45951</v>
      </c>
      <c r="C488" t="str">
        <v>HINJEWADI</v>
      </c>
      <c r="D488" t="str">
        <v>SLK1</v>
      </c>
      <c r="E488" t="str">
        <v>SHADOWFAX TECHNOLOGIES PRIVATE LIMITED</v>
      </c>
      <c r="F488" t="str">
        <v>MH14LL6836</v>
      </c>
      <c r="G488" t="str">
        <v>ACE</v>
      </c>
      <c r="H488" t="str">
        <v>CNG</v>
      </c>
      <c r="I488">
        <v>6</v>
      </c>
      <c r="J488">
        <v>8</v>
      </c>
      <c r="K488">
        <v>33000</v>
      </c>
      <c r="L488">
        <v>2000</v>
      </c>
      <c r="M488">
        <v>55</v>
      </c>
      <c r="N488">
        <v>31</v>
      </c>
      <c r="O488" t="str">
        <v>PUN01 NC Cluster 303</v>
      </c>
      <c r="P488">
        <v>0</v>
      </c>
      <c r="Q488">
        <v>5.347222222222222E-2</v>
      </c>
      <c r="R488">
        <v>5.347222222222222E-2</v>
      </c>
      <c r="S488">
        <v>34560</v>
      </c>
      <c r="T488">
        <v>0.30833333333333335</v>
      </c>
      <c r="U488">
        <v>0.30833333333333335</v>
      </c>
      <c r="V488">
        <v>34625</v>
      </c>
      <c r="W488">
        <v>29</v>
      </c>
      <c r="X488">
        <v>29</v>
      </c>
      <c r="Y488">
        <v>0</v>
      </c>
      <c r="Z488">
        <v>65</v>
      </c>
      <c r="AA488">
        <v>65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1064.52</v>
      </c>
      <c r="AK488">
        <v>0</v>
      </c>
      <c r="AL488">
        <v>1064.52</v>
      </c>
      <c r="AM488">
        <v>0</v>
      </c>
      <c r="AN488">
        <v>0</v>
      </c>
      <c r="AO488">
        <v>0</v>
      </c>
    </row>
    <row r="489" spans="1:41">
      <c r="A489">
        <v>488</v>
      </c>
      <c r="B489" s="42">
        <v>45951</v>
      </c>
      <c r="C489" t="str">
        <v>HINJEWADI</v>
      </c>
      <c r="D489" t="str">
        <v>SLK1</v>
      </c>
      <c r="E489" t="str">
        <v>SHADOWFAX TECHNOLOGIES PRIVATE LIMITED</v>
      </c>
      <c r="F489" t="str">
        <v>MH14LX6360</v>
      </c>
      <c r="G489" t="str">
        <v>ACE</v>
      </c>
      <c r="H489" t="str">
        <v>CNG</v>
      </c>
      <c r="I489">
        <v>4</v>
      </c>
      <c r="J489">
        <v>8</v>
      </c>
      <c r="K489">
        <v>25000</v>
      </c>
      <c r="L489">
        <v>1000</v>
      </c>
      <c r="M489">
        <v>55</v>
      </c>
      <c r="N489">
        <v>31</v>
      </c>
      <c r="O489" t="str">
        <v>PUN01 NC Cluster 43</v>
      </c>
      <c r="P489">
        <v>0</v>
      </c>
      <c r="Q489">
        <v>5.347222222222222E-2</v>
      </c>
      <c r="R489">
        <v>5.347222222222222E-2</v>
      </c>
      <c r="S489">
        <v>39214</v>
      </c>
      <c r="T489">
        <v>0.2951388888888889</v>
      </c>
      <c r="U489">
        <v>0.2951388888888889</v>
      </c>
      <c r="V489">
        <v>39231</v>
      </c>
      <c r="W489">
        <v>42</v>
      </c>
      <c r="X489">
        <v>42</v>
      </c>
      <c r="Y489">
        <v>0</v>
      </c>
      <c r="Z489">
        <v>17</v>
      </c>
      <c r="AA489">
        <v>17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806.45</v>
      </c>
      <c r="AK489">
        <v>0</v>
      </c>
      <c r="AL489">
        <v>806.45</v>
      </c>
      <c r="AM489">
        <v>0</v>
      </c>
      <c r="AN489">
        <v>0</v>
      </c>
      <c r="AO489">
        <v>0</v>
      </c>
    </row>
    <row r="490" spans="1:41">
      <c r="A490">
        <v>489</v>
      </c>
      <c r="B490" s="42">
        <v>45951</v>
      </c>
      <c r="C490" t="str">
        <v>HINJEWADI</v>
      </c>
      <c r="D490" t="str">
        <v>SLK1</v>
      </c>
      <c r="E490" t="str">
        <v>SHADOWFAX TECHNOLOGIES PRIVATE LIMITED</v>
      </c>
      <c r="F490" t="str">
        <v>MH14KA1873</v>
      </c>
      <c r="G490" t="str">
        <v>ACE</v>
      </c>
      <c r="H490" t="str">
        <v>CNG</v>
      </c>
      <c r="I490">
        <v>4</v>
      </c>
      <c r="J490">
        <v>8</v>
      </c>
      <c r="K490">
        <v>25000</v>
      </c>
      <c r="L490">
        <v>1000</v>
      </c>
      <c r="M490">
        <v>55</v>
      </c>
      <c r="N490">
        <v>31</v>
      </c>
      <c r="O490" t="str">
        <v>PUN01 NC Cluster 2</v>
      </c>
      <c r="P490">
        <v>0</v>
      </c>
      <c r="Q490">
        <v>5.4166666666666669E-2</v>
      </c>
      <c r="R490">
        <v>5.4166666666666669E-2</v>
      </c>
      <c r="S490">
        <v>114189</v>
      </c>
      <c r="T490">
        <v>0.2298611111111111</v>
      </c>
      <c r="U490">
        <v>0.2298611111111111</v>
      </c>
      <c r="V490">
        <v>114198</v>
      </c>
      <c r="W490">
        <v>34</v>
      </c>
      <c r="X490">
        <v>34</v>
      </c>
      <c r="Y490">
        <v>0</v>
      </c>
      <c r="Z490">
        <v>9</v>
      </c>
      <c r="AA490">
        <v>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806.45</v>
      </c>
      <c r="AK490">
        <v>0</v>
      </c>
      <c r="AL490">
        <v>806.45</v>
      </c>
      <c r="AM490">
        <v>0</v>
      </c>
      <c r="AN490">
        <v>0</v>
      </c>
      <c r="AO490">
        <v>0</v>
      </c>
    </row>
    <row r="491" spans="1:41">
      <c r="A491">
        <v>490</v>
      </c>
      <c r="B491" s="42">
        <v>45951</v>
      </c>
      <c r="C491" t="str">
        <v>HINJEWADI</v>
      </c>
      <c r="D491" t="str">
        <v>SLK1</v>
      </c>
      <c r="E491" t="str">
        <v>SHADOWFAX TECHNOLOGIES PRIVATE LIMITED</v>
      </c>
      <c r="F491" t="str">
        <v>MH14MH6374</v>
      </c>
      <c r="G491" t="str">
        <v>ACE</v>
      </c>
      <c r="H491" t="str">
        <v>CNG</v>
      </c>
      <c r="I491">
        <v>4</v>
      </c>
      <c r="J491">
        <v>8</v>
      </c>
      <c r="K491">
        <v>25000</v>
      </c>
      <c r="L491">
        <v>1000</v>
      </c>
      <c r="M491">
        <v>55</v>
      </c>
      <c r="N491">
        <v>31</v>
      </c>
      <c r="O491" t="str">
        <v>PUN01 NC Cluster 72</v>
      </c>
      <c r="P491">
        <v>0</v>
      </c>
      <c r="Q491">
        <v>5.5555555555555552E-2</v>
      </c>
      <c r="R491">
        <v>5.5555555555555552E-2</v>
      </c>
      <c r="S491">
        <v>7873</v>
      </c>
      <c r="T491">
        <v>0</v>
      </c>
      <c r="U491">
        <v>0</v>
      </c>
      <c r="V491">
        <v>7895</v>
      </c>
      <c r="W491">
        <v>34</v>
      </c>
      <c r="X491">
        <v>34</v>
      </c>
      <c r="Y491">
        <v>0</v>
      </c>
      <c r="Z491">
        <v>22</v>
      </c>
      <c r="AA491">
        <v>22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806.45</v>
      </c>
      <c r="AK491">
        <v>0</v>
      </c>
      <c r="AL491">
        <v>806.45</v>
      </c>
      <c r="AM491">
        <v>0</v>
      </c>
      <c r="AN491">
        <v>0</v>
      </c>
      <c r="AO491">
        <v>0</v>
      </c>
    </row>
    <row r="492" spans="1:41">
      <c r="A492">
        <v>491</v>
      </c>
      <c r="B492" s="42">
        <v>45951</v>
      </c>
      <c r="C492" t="str">
        <v>HINJEWADI</v>
      </c>
      <c r="D492" t="str">
        <v>SLK1</v>
      </c>
      <c r="E492" t="str">
        <v>SHADOWFAX TECHNOLOGIES PRIVATE LIMITED</v>
      </c>
      <c r="F492" t="str">
        <v>MH14KQ0279</v>
      </c>
      <c r="G492" t="str">
        <v>ACE</v>
      </c>
      <c r="H492" t="str">
        <v>CNG</v>
      </c>
      <c r="I492">
        <v>4</v>
      </c>
      <c r="J492">
        <v>8</v>
      </c>
      <c r="K492">
        <v>25000</v>
      </c>
      <c r="L492">
        <v>1000</v>
      </c>
      <c r="M492">
        <v>55</v>
      </c>
      <c r="N492">
        <v>31</v>
      </c>
      <c r="O492" t="str">
        <v>PUN01 NC Cluster 200</v>
      </c>
      <c r="P492">
        <v>0</v>
      </c>
      <c r="Q492">
        <v>5.6250000000000001E-2</v>
      </c>
      <c r="R492">
        <v>5.6250000000000001E-2</v>
      </c>
      <c r="S492">
        <v>118711</v>
      </c>
      <c r="T492">
        <v>0.28680555555555554</v>
      </c>
      <c r="U492">
        <v>0.28680555555555554</v>
      </c>
      <c r="V492">
        <v>118747</v>
      </c>
      <c r="W492">
        <v>48</v>
      </c>
      <c r="X492">
        <v>48</v>
      </c>
      <c r="Y492">
        <v>0</v>
      </c>
      <c r="Z492">
        <v>36</v>
      </c>
      <c r="AA492">
        <v>36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806.45</v>
      </c>
      <c r="AK492">
        <v>0</v>
      </c>
      <c r="AL492">
        <v>806.45</v>
      </c>
      <c r="AM492">
        <v>0</v>
      </c>
      <c r="AN492">
        <v>0</v>
      </c>
      <c r="AO492">
        <v>0</v>
      </c>
    </row>
    <row r="493" spans="1:41">
      <c r="A493">
        <v>492</v>
      </c>
      <c r="B493" s="42">
        <v>45951</v>
      </c>
      <c r="C493" t="str">
        <v>HINJEWADI</v>
      </c>
      <c r="D493" t="str">
        <v>SLK1</v>
      </c>
      <c r="E493" t="str">
        <v>SHADOWFAX TECHNOLOGIES PRIVATE LIMITED</v>
      </c>
      <c r="F493" t="str">
        <v>MH12WX6236</v>
      </c>
      <c r="G493" t="str">
        <v>ACE</v>
      </c>
      <c r="H493" t="str">
        <v>CNG</v>
      </c>
      <c r="I493">
        <v>4</v>
      </c>
      <c r="J493">
        <v>8</v>
      </c>
      <c r="K493">
        <v>25000</v>
      </c>
      <c r="L493">
        <v>1000</v>
      </c>
      <c r="M493">
        <v>55</v>
      </c>
      <c r="N493">
        <v>31</v>
      </c>
      <c r="O493" t="str">
        <v>PUN01 NC Cluster 62</v>
      </c>
      <c r="P493">
        <v>0</v>
      </c>
      <c r="Q493">
        <v>5.6944444444444443E-2</v>
      </c>
      <c r="R493">
        <v>5.6944444444444443E-2</v>
      </c>
      <c r="S493">
        <v>38809</v>
      </c>
      <c r="T493">
        <v>0.28333333333333333</v>
      </c>
      <c r="U493">
        <v>0.28333333333333333</v>
      </c>
      <c r="V493">
        <v>38847</v>
      </c>
      <c r="W493">
        <v>41</v>
      </c>
      <c r="X493">
        <v>41</v>
      </c>
      <c r="Y493">
        <v>0</v>
      </c>
      <c r="Z493">
        <v>38</v>
      </c>
      <c r="AA493">
        <v>38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806.45</v>
      </c>
      <c r="AK493">
        <v>0</v>
      </c>
      <c r="AL493">
        <v>806.45</v>
      </c>
      <c r="AM493">
        <v>0</v>
      </c>
      <c r="AN493">
        <v>0</v>
      </c>
      <c r="AO493">
        <v>0</v>
      </c>
    </row>
    <row r="494" spans="1:41">
      <c r="A494">
        <v>493</v>
      </c>
      <c r="B494" s="42">
        <v>45951</v>
      </c>
      <c r="C494" t="str">
        <v>HINJEWADI</v>
      </c>
      <c r="D494" t="str">
        <v>SLK1</v>
      </c>
      <c r="E494" t="str">
        <v>SHADOWFAX TECHNOLOGIES PRIVATE LIMITED</v>
      </c>
      <c r="F494" t="str">
        <v>MH14LB5906</v>
      </c>
      <c r="G494" t="str">
        <v>ACE</v>
      </c>
      <c r="H494" t="str">
        <v>CNG</v>
      </c>
      <c r="I494">
        <v>4</v>
      </c>
      <c r="J494">
        <v>8</v>
      </c>
      <c r="K494">
        <v>25000</v>
      </c>
      <c r="L494">
        <v>1000</v>
      </c>
      <c r="M494">
        <v>55</v>
      </c>
      <c r="N494">
        <v>31</v>
      </c>
      <c r="O494" t="str">
        <v>PUN01 NC Cluster 135</v>
      </c>
      <c r="P494">
        <v>0</v>
      </c>
      <c r="Q494">
        <v>5.6944444444444443E-2</v>
      </c>
      <c r="R494">
        <v>5.6944444444444443E-2</v>
      </c>
      <c r="S494">
        <v>45091</v>
      </c>
      <c r="T494">
        <v>0.2902777777777778</v>
      </c>
      <c r="U494">
        <v>0.2902777777777778</v>
      </c>
      <c r="V494">
        <v>45124</v>
      </c>
      <c r="W494">
        <v>35</v>
      </c>
      <c r="X494">
        <v>35</v>
      </c>
      <c r="Y494">
        <v>0</v>
      </c>
      <c r="Z494">
        <v>33</v>
      </c>
      <c r="AA494">
        <v>33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806.45</v>
      </c>
      <c r="AK494">
        <v>0</v>
      </c>
      <c r="AL494">
        <v>806.45</v>
      </c>
      <c r="AM494">
        <v>0</v>
      </c>
      <c r="AN494">
        <v>0</v>
      </c>
      <c r="AO494">
        <v>0</v>
      </c>
    </row>
    <row r="495" spans="1:41">
      <c r="A495">
        <v>494</v>
      </c>
      <c r="B495" s="42">
        <v>45951</v>
      </c>
      <c r="C495" t="str">
        <v>HINJEWADI</v>
      </c>
      <c r="D495" t="str">
        <v>SLK1</v>
      </c>
      <c r="E495" t="str">
        <v>SHADOWFAX TECHNOLOGIES PRIVATE LIMITED</v>
      </c>
      <c r="F495" t="str">
        <v>MH12SF9859</v>
      </c>
      <c r="G495" t="str">
        <v>ACE</v>
      </c>
      <c r="H495" t="str">
        <v>CNG</v>
      </c>
      <c r="I495">
        <v>4</v>
      </c>
      <c r="J495">
        <v>8</v>
      </c>
      <c r="K495">
        <v>25000</v>
      </c>
      <c r="L495">
        <v>1000</v>
      </c>
      <c r="M495">
        <v>55</v>
      </c>
      <c r="N495">
        <v>31</v>
      </c>
      <c r="O495" t="str">
        <v>PUN01 NC Cluster 7</v>
      </c>
      <c r="P495">
        <v>0</v>
      </c>
      <c r="Q495">
        <v>7.8472222222222221E-2</v>
      </c>
      <c r="R495">
        <v>7.8472222222222221E-2</v>
      </c>
      <c r="S495">
        <v>110696</v>
      </c>
      <c r="T495">
        <v>0.3125</v>
      </c>
      <c r="U495">
        <v>0.3125</v>
      </c>
      <c r="V495">
        <v>110711</v>
      </c>
      <c r="W495">
        <v>44</v>
      </c>
      <c r="X495">
        <v>44</v>
      </c>
      <c r="Y495">
        <v>0</v>
      </c>
      <c r="Z495">
        <v>15</v>
      </c>
      <c r="AA495">
        <v>15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806.45</v>
      </c>
      <c r="AK495">
        <v>0</v>
      </c>
      <c r="AL495">
        <v>806.45</v>
      </c>
      <c r="AM495">
        <v>0</v>
      </c>
      <c r="AN495">
        <v>0</v>
      </c>
      <c r="AO495">
        <v>0</v>
      </c>
    </row>
    <row r="496" spans="1:41">
      <c r="A496">
        <v>495</v>
      </c>
      <c r="B496" s="42">
        <v>45951</v>
      </c>
      <c r="C496" t="str">
        <v>HINJEWADI</v>
      </c>
      <c r="D496" t="str">
        <v>SLK1</v>
      </c>
      <c r="E496" t="str">
        <v>SHADOWFAX TECHNOLOGIES PRIVATE LIMITED</v>
      </c>
      <c r="F496" t="str">
        <v>MH14KA0766</v>
      </c>
      <c r="G496" t="str">
        <v>ACE</v>
      </c>
      <c r="H496" t="str">
        <v>CNG</v>
      </c>
      <c r="I496">
        <v>4</v>
      </c>
      <c r="J496">
        <v>8</v>
      </c>
      <c r="K496">
        <v>25000</v>
      </c>
      <c r="L496">
        <v>1000</v>
      </c>
      <c r="M496">
        <v>55</v>
      </c>
      <c r="N496">
        <v>31</v>
      </c>
      <c r="O496" t="str">
        <v>PUN01 NC Cluster 10</v>
      </c>
      <c r="P496">
        <v>0</v>
      </c>
      <c r="Q496">
        <v>6.458333333333334E-2</v>
      </c>
      <c r="R496">
        <v>6.458333333333334E-2</v>
      </c>
      <c r="S496">
        <v>145225</v>
      </c>
      <c r="T496">
        <v>0.29236111111111113</v>
      </c>
      <c r="U496">
        <v>0.29236111111111113</v>
      </c>
      <c r="V496">
        <v>145249</v>
      </c>
      <c r="W496">
        <v>35</v>
      </c>
      <c r="X496">
        <v>35</v>
      </c>
      <c r="Y496">
        <v>0</v>
      </c>
      <c r="Z496">
        <v>24</v>
      </c>
      <c r="AA496">
        <v>24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806.45</v>
      </c>
      <c r="AK496">
        <v>0</v>
      </c>
      <c r="AL496">
        <v>806.45</v>
      </c>
      <c r="AM496">
        <v>0</v>
      </c>
      <c r="AN496">
        <v>0</v>
      </c>
      <c r="AO496">
        <v>0</v>
      </c>
    </row>
    <row r="497" spans="1:41">
      <c r="A497">
        <v>496</v>
      </c>
      <c r="B497" s="42">
        <v>45951</v>
      </c>
      <c r="C497" t="str">
        <v>HINJEWADI</v>
      </c>
      <c r="D497" t="str">
        <v>SLK1</v>
      </c>
      <c r="E497" t="str">
        <v>SHADOWFAX TECHNOLOGIES PRIVATE LIMITED</v>
      </c>
      <c r="F497" t="str">
        <v>MH14JL3308</v>
      </c>
      <c r="G497" t="str">
        <v>ACE</v>
      </c>
      <c r="H497" t="str">
        <v>CNG</v>
      </c>
      <c r="I497">
        <v>4</v>
      </c>
      <c r="J497">
        <v>8</v>
      </c>
      <c r="K497">
        <v>25000</v>
      </c>
      <c r="L497">
        <v>1000</v>
      </c>
      <c r="M497">
        <v>55</v>
      </c>
      <c r="N497">
        <v>31</v>
      </c>
      <c r="O497" t="str">
        <v>PUN01 NC Cluster 12</v>
      </c>
      <c r="P497">
        <v>0</v>
      </c>
      <c r="Q497">
        <v>7.1527777777777787E-2</v>
      </c>
      <c r="R497">
        <v>7.1527777777777787E-2</v>
      </c>
      <c r="S497">
        <v>116117</v>
      </c>
      <c r="T497">
        <v>0.2951388888888889</v>
      </c>
      <c r="U497">
        <v>0.2951388888888889</v>
      </c>
      <c r="V497">
        <v>116139</v>
      </c>
      <c r="W497">
        <v>49</v>
      </c>
      <c r="X497">
        <v>49</v>
      </c>
      <c r="Y497">
        <v>0</v>
      </c>
      <c r="Z497">
        <v>22</v>
      </c>
      <c r="AA497">
        <v>22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806.45</v>
      </c>
      <c r="AK497">
        <v>0</v>
      </c>
      <c r="AL497">
        <v>806.45</v>
      </c>
      <c r="AM497">
        <v>0</v>
      </c>
      <c r="AN497">
        <v>0</v>
      </c>
      <c r="AO497">
        <v>0</v>
      </c>
    </row>
    <row r="498" spans="1:41">
      <c r="A498">
        <v>497</v>
      </c>
      <c r="B498" s="42">
        <v>45951</v>
      </c>
      <c r="C498" t="str">
        <v>HINJEWADI</v>
      </c>
      <c r="D498" t="str">
        <v>SLK1</v>
      </c>
      <c r="E498" t="str">
        <v>SHADOWFAX TECHNOLOGIES PRIVATE LIMITED</v>
      </c>
      <c r="F498" t="str">
        <v>MH14KA2871</v>
      </c>
      <c r="G498" t="str">
        <v>ACE</v>
      </c>
      <c r="H498" t="str">
        <v>CNG</v>
      </c>
      <c r="I498">
        <v>4</v>
      </c>
      <c r="J498">
        <v>8</v>
      </c>
      <c r="K498">
        <v>25000</v>
      </c>
      <c r="L498">
        <v>1000</v>
      </c>
      <c r="M498">
        <v>55</v>
      </c>
      <c r="N498">
        <v>31</v>
      </c>
      <c r="O498" t="str">
        <v>PUN01 NC Cluster 127</v>
      </c>
      <c r="P498">
        <v>0</v>
      </c>
      <c r="Q498">
        <v>7.7777777777777779E-2</v>
      </c>
      <c r="R498">
        <v>7.7777777777777779E-2</v>
      </c>
      <c r="S498">
        <v>78674</v>
      </c>
      <c r="T498">
        <v>0.27152777777777776</v>
      </c>
      <c r="U498">
        <v>0.27152777777777776</v>
      </c>
      <c r="V498">
        <v>78712</v>
      </c>
      <c r="W498">
        <v>26</v>
      </c>
      <c r="X498">
        <v>26</v>
      </c>
      <c r="Y498">
        <v>0</v>
      </c>
      <c r="Z498">
        <v>38</v>
      </c>
      <c r="AA498">
        <v>38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806.45</v>
      </c>
      <c r="AK498">
        <v>0</v>
      </c>
      <c r="AL498">
        <v>806.45</v>
      </c>
      <c r="AM498">
        <v>0</v>
      </c>
      <c r="AN498">
        <v>0</v>
      </c>
      <c r="AO498">
        <v>0</v>
      </c>
    </row>
    <row r="499" spans="1:41">
      <c r="A499">
        <v>498</v>
      </c>
      <c r="B499" s="42">
        <v>45951</v>
      </c>
      <c r="C499" t="str">
        <v>HINJEWADI</v>
      </c>
      <c r="D499" t="str">
        <v>SLK1</v>
      </c>
      <c r="E499" t="str">
        <v>SHADOWFAX TECHNOLOGIES PRIVATE LIMITED</v>
      </c>
      <c r="F499" t="str">
        <v>MH14CP4610</v>
      </c>
      <c r="G499" t="str">
        <v>ACE</v>
      </c>
      <c r="H499" t="str">
        <v>CNG</v>
      </c>
      <c r="I499">
        <v>4</v>
      </c>
      <c r="J499">
        <v>8</v>
      </c>
      <c r="K499">
        <v>25000</v>
      </c>
      <c r="L499">
        <v>1000</v>
      </c>
      <c r="M499">
        <v>55</v>
      </c>
      <c r="N499">
        <v>31</v>
      </c>
      <c r="O499" t="str">
        <v>PUN01 NC Cluster 87</v>
      </c>
      <c r="P499">
        <v>0</v>
      </c>
      <c r="Q499">
        <v>8.0555555555555561E-2</v>
      </c>
      <c r="R499">
        <v>8.0555555555555561E-2</v>
      </c>
      <c r="S499">
        <v>145463</v>
      </c>
      <c r="T499">
        <v>0</v>
      </c>
      <c r="U499">
        <v>0</v>
      </c>
      <c r="V499">
        <v>145482</v>
      </c>
      <c r="W499">
        <v>18</v>
      </c>
      <c r="X499">
        <v>18</v>
      </c>
      <c r="Y499">
        <v>0</v>
      </c>
      <c r="Z499">
        <v>19</v>
      </c>
      <c r="AA499">
        <v>19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806.45</v>
      </c>
      <c r="AK499">
        <v>0</v>
      </c>
      <c r="AL499">
        <v>806.45</v>
      </c>
      <c r="AM499">
        <v>0</v>
      </c>
      <c r="AN499">
        <v>0</v>
      </c>
      <c r="AO499">
        <v>0</v>
      </c>
    </row>
    <row r="500" spans="1:41">
      <c r="A500">
        <v>499</v>
      </c>
      <c r="B500" s="42">
        <v>45951</v>
      </c>
      <c r="C500" t="str">
        <v>HINJEWADI</v>
      </c>
      <c r="D500" t="str">
        <v>SLK1</v>
      </c>
      <c r="E500" t="str">
        <v>SHADOWFAX TECHNOLOGIES PRIVATE LIMITED</v>
      </c>
      <c r="F500" t="str">
        <v>MH14MH7322</v>
      </c>
      <c r="G500" t="str">
        <v>BOLERO</v>
      </c>
      <c r="H500" t="str">
        <v>DIESEL</v>
      </c>
      <c r="I500">
        <v>4</v>
      </c>
      <c r="J500">
        <v>10</v>
      </c>
      <c r="K500">
        <v>29000</v>
      </c>
      <c r="L500">
        <v>1000</v>
      </c>
      <c r="M500">
        <v>55</v>
      </c>
      <c r="N500">
        <v>31</v>
      </c>
      <c r="O500" t="str">
        <v>PUN01 NC Cluster 114</v>
      </c>
      <c r="P500">
        <v>0</v>
      </c>
      <c r="Q500">
        <v>8.8888888888888892E-2</v>
      </c>
      <c r="R500">
        <v>8.8888888888888892E-2</v>
      </c>
      <c r="S500">
        <v>3502</v>
      </c>
      <c r="T500">
        <v>0.29236111111111113</v>
      </c>
      <c r="U500">
        <v>0.29236111111111113</v>
      </c>
      <c r="V500">
        <v>3536</v>
      </c>
      <c r="W500">
        <v>44</v>
      </c>
      <c r="X500">
        <v>44</v>
      </c>
      <c r="Y500">
        <v>0</v>
      </c>
      <c r="Z500">
        <v>34</v>
      </c>
      <c r="AA500">
        <v>34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935.48</v>
      </c>
      <c r="AK500">
        <v>0</v>
      </c>
      <c r="AL500">
        <v>935.48</v>
      </c>
      <c r="AM500">
        <v>0</v>
      </c>
      <c r="AN500">
        <v>0</v>
      </c>
      <c r="AO500">
        <v>0</v>
      </c>
    </row>
    <row r="501" spans="1:41">
      <c r="A501">
        <v>500</v>
      </c>
      <c r="B501" s="42">
        <v>45951</v>
      </c>
      <c r="C501" t="str">
        <v>HINJEWADI</v>
      </c>
      <c r="D501" t="str">
        <v>SLK1</v>
      </c>
      <c r="E501" t="str">
        <v>SHADOWFAX TECHNOLOGIES PRIVATE LIMITED</v>
      </c>
      <c r="F501" t="str">
        <v>MH14LX4839</v>
      </c>
      <c r="G501" t="str">
        <v>BOLERO</v>
      </c>
      <c r="H501" t="str">
        <v>DIESEL</v>
      </c>
      <c r="I501">
        <v>4</v>
      </c>
      <c r="J501">
        <v>10</v>
      </c>
      <c r="K501">
        <v>29000</v>
      </c>
      <c r="L501">
        <v>1000</v>
      </c>
      <c r="M501">
        <v>55</v>
      </c>
      <c r="N501">
        <v>31</v>
      </c>
      <c r="O501" t="str">
        <v>PUN01 NC Cluster 73</v>
      </c>
      <c r="P501">
        <v>0</v>
      </c>
      <c r="Q501">
        <v>8.9583333333333334E-2</v>
      </c>
      <c r="R501">
        <v>8.9583333333333334E-2</v>
      </c>
      <c r="S501">
        <v>39431</v>
      </c>
      <c r="T501">
        <v>0.2951388888888889</v>
      </c>
      <c r="U501">
        <v>0.2951388888888889</v>
      </c>
      <c r="V501">
        <v>39448</v>
      </c>
      <c r="W501">
        <v>33</v>
      </c>
      <c r="X501">
        <v>33</v>
      </c>
      <c r="Y501">
        <v>0</v>
      </c>
      <c r="Z501">
        <v>17</v>
      </c>
      <c r="AA501">
        <v>17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935.48</v>
      </c>
      <c r="AK501">
        <v>0</v>
      </c>
      <c r="AL501">
        <v>935.48</v>
      </c>
      <c r="AM501">
        <v>0</v>
      </c>
      <c r="AN501">
        <v>0</v>
      </c>
      <c r="AO501">
        <v>0</v>
      </c>
    </row>
    <row r="502" spans="1:41">
      <c r="A502">
        <v>501</v>
      </c>
      <c r="B502" s="42">
        <v>45951</v>
      </c>
      <c r="C502" t="str">
        <v>HINJEWADI</v>
      </c>
      <c r="D502" t="str">
        <v>SLK1</v>
      </c>
      <c r="E502" t="str">
        <v>SHADOWFAX TECHNOLOGIES PRIVATE LIMITED</v>
      </c>
      <c r="F502" t="str">
        <v>MH16CD7321</v>
      </c>
      <c r="G502" t="str">
        <v>BOLERO</v>
      </c>
      <c r="H502" t="str">
        <v>DIESEL</v>
      </c>
      <c r="I502">
        <v>4</v>
      </c>
      <c r="J502">
        <v>10</v>
      </c>
      <c r="K502">
        <v>29000</v>
      </c>
      <c r="L502">
        <v>1000</v>
      </c>
      <c r="M502">
        <v>55</v>
      </c>
      <c r="N502">
        <v>31</v>
      </c>
      <c r="O502" t="str">
        <v>PUN01 NC Cluster 23</v>
      </c>
      <c r="P502">
        <v>0</v>
      </c>
      <c r="Q502">
        <v>9.0972222222222218E-2</v>
      </c>
      <c r="R502">
        <v>9.0972222222222218E-2</v>
      </c>
      <c r="S502">
        <v>139559</v>
      </c>
      <c r="T502">
        <v>0.29236111111111113</v>
      </c>
      <c r="U502">
        <v>0.29236111111111113</v>
      </c>
      <c r="V502">
        <v>139590</v>
      </c>
      <c r="W502">
        <v>52</v>
      </c>
      <c r="X502">
        <v>52</v>
      </c>
      <c r="Y502">
        <v>0</v>
      </c>
      <c r="Z502">
        <v>31</v>
      </c>
      <c r="AA502">
        <v>31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935.48</v>
      </c>
      <c r="AK502">
        <v>0</v>
      </c>
      <c r="AL502">
        <v>935.48</v>
      </c>
      <c r="AM502">
        <v>0</v>
      </c>
      <c r="AN502">
        <v>0</v>
      </c>
      <c r="AO502">
        <v>0</v>
      </c>
    </row>
    <row r="503" spans="1:41">
      <c r="A503">
        <v>502</v>
      </c>
      <c r="B503" s="42">
        <v>45951</v>
      </c>
      <c r="C503" t="str">
        <v>HINJEWADI</v>
      </c>
      <c r="D503" t="str">
        <v>SLK1</v>
      </c>
      <c r="E503" t="str">
        <v>SHADOWFAX TECHNOLOGIES PRIVATE LIMITED</v>
      </c>
      <c r="F503" t="str">
        <v>MH14LL5974</v>
      </c>
      <c r="G503" t="str">
        <v>ACE</v>
      </c>
      <c r="H503" t="str">
        <v>CNG</v>
      </c>
      <c r="I503">
        <v>4</v>
      </c>
      <c r="J503">
        <v>8</v>
      </c>
      <c r="K503">
        <v>25000</v>
      </c>
      <c r="L503">
        <v>1000</v>
      </c>
      <c r="M503">
        <v>55</v>
      </c>
      <c r="N503">
        <v>31</v>
      </c>
      <c r="O503" t="str">
        <v>PUN01 NC Cluster 201</v>
      </c>
      <c r="P503">
        <v>0</v>
      </c>
      <c r="Q503">
        <v>9.2361111111111116E-2</v>
      </c>
      <c r="R503">
        <v>9.2361111111111116E-2</v>
      </c>
      <c r="S503">
        <v>37345</v>
      </c>
      <c r="T503">
        <v>0.2951388888888889</v>
      </c>
      <c r="U503">
        <v>0.2951388888888889</v>
      </c>
      <c r="V503">
        <v>37370</v>
      </c>
      <c r="W503">
        <v>27</v>
      </c>
      <c r="X503">
        <v>27</v>
      </c>
      <c r="Y503">
        <v>0</v>
      </c>
      <c r="Z503">
        <v>25</v>
      </c>
      <c r="AA503">
        <v>25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806.45</v>
      </c>
      <c r="AK503">
        <v>0</v>
      </c>
      <c r="AL503">
        <v>806.45</v>
      </c>
      <c r="AM503">
        <v>0</v>
      </c>
      <c r="AN503">
        <v>0</v>
      </c>
      <c r="AO503">
        <v>0</v>
      </c>
    </row>
    <row r="504" spans="1:41">
      <c r="A504">
        <v>503</v>
      </c>
      <c r="B504" s="42">
        <v>45951</v>
      </c>
      <c r="C504" t="str">
        <v>HINJEWADI</v>
      </c>
      <c r="D504" t="str">
        <v>SLK1</v>
      </c>
      <c r="E504" t="str">
        <v>SHADOWFAX TECHNOLOGIES PRIVATE LIMITED</v>
      </c>
      <c r="F504" t="str">
        <v>MH14LL4513</v>
      </c>
      <c r="G504" t="str">
        <v>BOLERO</v>
      </c>
      <c r="H504" t="str">
        <v>DIESEL</v>
      </c>
      <c r="I504">
        <v>4</v>
      </c>
      <c r="J504">
        <v>10</v>
      </c>
      <c r="K504">
        <v>29000</v>
      </c>
      <c r="L504">
        <v>1000</v>
      </c>
      <c r="M504">
        <v>55</v>
      </c>
      <c r="N504">
        <v>31</v>
      </c>
      <c r="O504" t="str">
        <v>PUN01 NC Cluster 92</v>
      </c>
      <c r="P504">
        <v>0</v>
      </c>
      <c r="Q504">
        <v>9.5833333333333326E-2</v>
      </c>
      <c r="R504">
        <v>9.5833333333333326E-2</v>
      </c>
      <c r="S504">
        <v>33117</v>
      </c>
      <c r="T504">
        <v>0</v>
      </c>
      <c r="U504">
        <v>0</v>
      </c>
      <c r="V504">
        <v>33132</v>
      </c>
      <c r="W504">
        <v>32</v>
      </c>
      <c r="X504">
        <v>32</v>
      </c>
      <c r="Y504">
        <v>0</v>
      </c>
      <c r="Z504">
        <v>15</v>
      </c>
      <c r="AA504">
        <v>15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935.48</v>
      </c>
      <c r="AK504">
        <v>0</v>
      </c>
      <c r="AL504">
        <v>935.48</v>
      </c>
      <c r="AM504">
        <v>0</v>
      </c>
      <c r="AN504">
        <v>0</v>
      </c>
      <c r="AO504">
        <v>0</v>
      </c>
    </row>
    <row r="505" spans="1:41">
      <c r="A505">
        <v>504</v>
      </c>
      <c r="B505" s="42">
        <v>45951</v>
      </c>
      <c r="C505" t="str">
        <v>HINJEWADI</v>
      </c>
      <c r="D505" t="str">
        <v>SLK1</v>
      </c>
      <c r="E505" t="str">
        <v>SHADOWFAX TECHNOLOGIES PRIVATE LIMITED</v>
      </c>
      <c r="F505" t="str">
        <v>MH12VF3782</v>
      </c>
      <c r="G505" t="str">
        <v>ACE</v>
      </c>
      <c r="H505" t="str">
        <v>CNG</v>
      </c>
      <c r="I505">
        <v>4</v>
      </c>
      <c r="J505">
        <v>8</v>
      </c>
      <c r="K505">
        <v>25000</v>
      </c>
      <c r="L505">
        <v>1000</v>
      </c>
      <c r="M505">
        <v>55</v>
      </c>
      <c r="N505">
        <v>31</v>
      </c>
      <c r="O505" t="str">
        <v>PUN01 NC Cluster 17</v>
      </c>
      <c r="P505">
        <v>0</v>
      </c>
      <c r="Q505">
        <v>0.11041666666666666</v>
      </c>
      <c r="R505">
        <v>0.11041666666666666</v>
      </c>
      <c r="S505">
        <v>84277</v>
      </c>
      <c r="T505">
        <v>0</v>
      </c>
      <c r="U505">
        <v>0</v>
      </c>
      <c r="V505">
        <v>84296</v>
      </c>
      <c r="W505">
        <v>26</v>
      </c>
      <c r="X505">
        <v>26</v>
      </c>
      <c r="Y505">
        <v>0</v>
      </c>
      <c r="Z505">
        <v>19</v>
      </c>
      <c r="AA505">
        <v>19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806.45</v>
      </c>
      <c r="AK505">
        <v>0</v>
      </c>
      <c r="AL505">
        <v>806.45</v>
      </c>
      <c r="AM505">
        <v>0</v>
      </c>
      <c r="AN505">
        <v>0</v>
      </c>
      <c r="AO505">
        <v>0</v>
      </c>
    </row>
    <row r="506" spans="1:41">
      <c r="A506">
        <v>505</v>
      </c>
      <c r="B506" s="42">
        <v>45951</v>
      </c>
      <c r="C506" t="str">
        <v>HINJEWADI</v>
      </c>
      <c r="D506" t="str">
        <v>SLK1</v>
      </c>
      <c r="E506" t="str">
        <v>SHADOWFAX TECHNOLOGIES PRIVATE LIMITED</v>
      </c>
      <c r="F506" t="str">
        <v>MH14KA6513</v>
      </c>
      <c r="G506" t="str">
        <v>ACE</v>
      </c>
      <c r="H506" t="str">
        <v>CNG</v>
      </c>
      <c r="I506">
        <v>6</v>
      </c>
      <c r="J506">
        <v>8</v>
      </c>
      <c r="K506">
        <v>33000</v>
      </c>
      <c r="L506">
        <v>2000</v>
      </c>
      <c r="M506">
        <v>55</v>
      </c>
      <c r="N506">
        <v>31</v>
      </c>
      <c r="O506" t="str">
        <v>PUN01 NC Cluster 300</v>
      </c>
      <c r="P506">
        <v>0</v>
      </c>
      <c r="Q506">
        <v>0.11458333333333333</v>
      </c>
      <c r="R506">
        <v>0.11458333333333333</v>
      </c>
      <c r="S506">
        <v>48414</v>
      </c>
      <c r="T506">
        <v>0.30833333333333335</v>
      </c>
      <c r="U506">
        <v>0.30833333333333335</v>
      </c>
      <c r="V506">
        <v>48478</v>
      </c>
      <c r="W506">
        <v>38</v>
      </c>
      <c r="X506">
        <v>38</v>
      </c>
      <c r="Y506">
        <v>0</v>
      </c>
      <c r="Z506">
        <v>64</v>
      </c>
      <c r="AA506">
        <v>64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1064.52</v>
      </c>
      <c r="AK506">
        <v>0</v>
      </c>
      <c r="AL506">
        <v>1064.52</v>
      </c>
      <c r="AM506">
        <v>0</v>
      </c>
      <c r="AN506">
        <v>0</v>
      </c>
      <c r="AO506">
        <v>0</v>
      </c>
    </row>
    <row r="507" spans="1:41">
      <c r="A507">
        <v>506</v>
      </c>
      <c r="B507" s="42">
        <v>45951</v>
      </c>
      <c r="C507" t="str">
        <v>HINJEWADI</v>
      </c>
      <c r="D507" t="str">
        <v>SLK1</v>
      </c>
      <c r="E507" t="str">
        <v>SHADOWFAX TECHNOLOGIES PRIVATE LIMITED</v>
      </c>
      <c r="F507" t="str">
        <v>MH14KA1228</v>
      </c>
      <c r="G507" t="str">
        <v>ACE</v>
      </c>
      <c r="H507" t="str">
        <v>CNG</v>
      </c>
      <c r="I507">
        <v>4</v>
      </c>
      <c r="J507">
        <v>8</v>
      </c>
      <c r="K507">
        <v>25000</v>
      </c>
      <c r="L507">
        <v>1000</v>
      </c>
      <c r="M507">
        <v>55</v>
      </c>
      <c r="N507">
        <v>31</v>
      </c>
      <c r="O507" t="str">
        <v>PUN01 NC Cluster</v>
      </c>
      <c r="P507">
        <v>0</v>
      </c>
      <c r="Q507">
        <v>0.11875000000000001</v>
      </c>
      <c r="R507">
        <v>0.11875000000000001</v>
      </c>
      <c r="S507">
        <v>159745</v>
      </c>
      <c r="T507">
        <v>0</v>
      </c>
      <c r="U507">
        <v>0</v>
      </c>
      <c r="V507">
        <v>159773</v>
      </c>
      <c r="W507">
        <v>0</v>
      </c>
      <c r="X507">
        <v>0</v>
      </c>
      <c r="Y507">
        <v>0</v>
      </c>
      <c r="Z507">
        <v>28</v>
      </c>
      <c r="AA507">
        <v>28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806.45</v>
      </c>
      <c r="AK507">
        <v>0</v>
      </c>
      <c r="AL507">
        <v>806.45</v>
      </c>
      <c r="AM507">
        <v>0</v>
      </c>
      <c r="AN507">
        <v>0</v>
      </c>
      <c r="AO507">
        <v>0</v>
      </c>
    </row>
    <row r="508" spans="1:41">
      <c r="A508">
        <v>507</v>
      </c>
      <c r="B508" s="42">
        <v>45951</v>
      </c>
      <c r="C508" t="str">
        <v>HINJEWADI</v>
      </c>
      <c r="D508" t="str">
        <v>SLK1</v>
      </c>
      <c r="E508" t="str">
        <v>SHADOWFAX TECHNOLOGIES PRIVATE LIMITED</v>
      </c>
      <c r="F508" t="str">
        <v>MH14KQ4401</v>
      </c>
      <c r="G508" t="str">
        <v>ACE</v>
      </c>
      <c r="H508" t="str">
        <v>CNG</v>
      </c>
      <c r="I508">
        <v>4</v>
      </c>
      <c r="J508">
        <v>8</v>
      </c>
      <c r="K508">
        <v>25000</v>
      </c>
      <c r="L508">
        <v>1000</v>
      </c>
      <c r="M508">
        <v>55</v>
      </c>
      <c r="N508">
        <v>31</v>
      </c>
      <c r="O508" t="str">
        <v>PUN01 NC Cluster</v>
      </c>
      <c r="P508">
        <v>0</v>
      </c>
      <c r="Q508">
        <v>0.12361111111111112</v>
      </c>
      <c r="R508">
        <v>0.12361111111111112</v>
      </c>
      <c r="S508">
        <v>75896</v>
      </c>
      <c r="T508">
        <v>0.2951388888888889</v>
      </c>
      <c r="U508">
        <v>0.2951388888888889</v>
      </c>
      <c r="V508">
        <v>75924</v>
      </c>
      <c r="W508">
        <v>0</v>
      </c>
      <c r="X508">
        <v>0</v>
      </c>
      <c r="Y508">
        <v>0</v>
      </c>
      <c r="Z508">
        <v>28</v>
      </c>
      <c r="AA508">
        <v>28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806.45</v>
      </c>
      <c r="AK508">
        <v>0</v>
      </c>
      <c r="AL508">
        <v>806.45</v>
      </c>
      <c r="AM508">
        <v>0</v>
      </c>
      <c r="AN508">
        <v>0</v>
      </c>
      <c r="AO508">
        <v>0</v>
      </c>
    </row>
    <row r="509" spans="1:41">
      <c r="A509">
        <v>508</v>
      </c>
      <c r="B509" s="42">
        <v>45953</v>
      </c>
      <c r="C509" t="str">
        <v>HINJEWADI</v>
      </c>
      <c r="D509" t="str">
        <v>SLK1</v>
      </c>
      <c r="E509" t="str">
        <v>SHADOWFAX TECHNOLOGIES PRIVATE LIMITED</v>
      </c>
      <c r="F509" t="str">
        <v>MH14LL6836</v>
      </c>
      <c r="G509" t="str">
        <v>ACE</v>
      </c>
      <c r="H509" t="str">
        <v>CNG</v>
      </c>
      <c r="I509">
        <v>6</v>
      </c>
      <c r="J509">
        <v>8</v>
      </c>
      <c r="K509">
        <v>33000</v>
      </c>
      <c r="L509">
        <v>2000</v>
      </c>
      <c r="M509">
        <v>55</v>
      </c>
      <c r="N509">
        <v>31</v>
      </c>
      <c r="O509" t="str">
        <v>PUN01 NC Cluster 303</v>
      </c>
      <c r="P509">
        <v>0</v>
      </c>
      <c r="Q509">
        <v>4.4444444444444446E-2</v>
      </c>
      <c r="R509">
        <v>4.4444444444444446E-2</v>
      </c>
      <c r="S509">
        <v>34710</v>
      </c>
      <c r="T509">
        <v>0.30833333333333335</v>
      </c>
      <c r="U509">
        <v>0.30833333333333335</v>
      </c>
      <c r="V509">
        <v>34775</v>
      </c>
      <c r="W509">
        <v>24</v>
      </c>
      <c r="X509">
        <v>24</v>
      </c>
      <c r="Y509">
        <v>0</v>
      </c>
      <c r="Z509">
        <v>65</v>
      </c>
      <c r="AA509">
        <v>65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1064.52</v>
      </c>
      <c r="AK509">
        <v>0</v>
      </c>
      <c r="AL509">
        <v>1064.52</v>
      </c>
      <c r="AM509">
        <v>0</v>
      </c>
      <c r="AN509">
        <v>0</v>
      </c>
      <c r="AO509">
        <v>0</v>
      </c>
    </row>
    <row r="510" spans="1:41">
      <c r="A510">
        <v>509</v>
      </c>
      <c r="B510" s="42">
        <v>45953</v>
      </c>
      <c r="C510" t="str">
        <v>HINJEWADI</v>
      </c>
      <c r="D510" t="str">
        <v>SLK1</v>
      </c>
      <c r="E510" t="str">
        <v>SHADOWFAX TECHNOLOGIES PRIVATE LIMITED</v>
      </c>
      <c r="F510" t="str">
        <v>MH03AH8989</v>
      </c>
      <c r="G510" t="str">
        <v>ACE</v>
      </c>
      <c r="H510" t="str">
        <v>CNG</v>
      </c>
      <c r="I510">
        <v>4</v>
      </c>
      <c r="J510">
        <v>8</v>
      </c>
      <c r="K510">
        <v>25000</v>
      </c>
      <c r="L510">
        <v>1000</v>
      </c>
      <c r="M510">
        <v>55</v>
      </c>
      <c r="N510">
        <v>31</v>
      </c>
      <c r="O510" t="str">
        <v>PUN01 NC Cluster 1</v>
      </c>
      <c r="P510">
        <v>0</v>
      </c>
      <c r="Q510">
        <v>4.5138888888888888E-2</v>
      </c>
      <c r="R510">
        <v>4.5138888888888888E-2</v>
      </c>
      <c r="S510">
        <v>57947</v>
      </c>
      <c r="T510">
        <v>0.26041666666666669</v>
      </c>
      <c r="U510">
        <v>0.26041666666666669</v>
      </c>
      <c r="V510">
        <v>57963</v>
      </c>
      <c r="W510">
        <v>22</v>
      </c>
      <c r="X510">
        <v>22</v>
      </c>
      <c r="Y510">
        <v>0</v>
      </c>
      <c r="Z510">
        <v>16</v>
      </c>
      <c r="AA510">
        <v>16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806.45</v>
      </c>
      <c r="AK510">
        <v>0</v>
      </c>
      <c r="AL510">
        <v>806.45</v>
      </c>
      <c r="AM510">
        <v>0</v>
      </c>
      <c r="AN510">
        <v>0</v>
      </c>
      <c r="AO510">
        <v>0</v>
      </c>
    </row>
    <row r="511" spans="1:41">
      <c r="A511">
        <v>510</v>
      </c>
      <c r="B511" s="42">
        <v>45953</v>
      </c>
      <c r="C511" t="str">
        <v>HINJEWADI</v>
      </c>
      <c r="D511" t="str">
        <v>SLK1</v>
      </c>
      <c r="E511" t="str">
        <v>SHADOWFAX TECHNOLOGIES PRIVATE LIMITED</v>
      </c>
      <c r="F511" t="str">
        <v>MH14LX6360</v>
      </c>
      <c r="G511" t="str">
        <v>ACE</v>
      </c>
      <c r="H511" t="str">
        <v>CNG</v>
      </c>
      <c r="I511">
        <v>4</v>
      </c>
      <c r="J511">
        <v>8</v>
      </c>
      <c r="K511">
        <v>25000</v>
      </c>
      <c r="L511">
        <v>1000</v>
      </c>
      <c r="M511">
        <v>55</v>
      </c>
      <c r="N511">
        <v>31</v>
      </c>
      <c r="O511" t="str">
        <v>PUN01 NC Cluster 40</v>
      </c>
      <c r="P511">
        <v>0</v>
      </c>
      <c r="Q511">
        <v>4.6527777777777779E-2</v>
      </c>
      <c r="R511">
        <v>4.6527777777777779E-2</v>
      </c>
      <c r="S511">
        <v>39378</v>
      </c>
      <c r="T511">
        <v>0.29722222222222222</v>
      </c>
      <c r="U511">
        <v>0.29722222222222222</v>
      </c>
      <c r="V511">
        <v>39397</v>
      </c>
      <c r="W511">
        <v>39</v>
      </c>
      <c r="X511">
        <v>39</v>
      </c>
      <c r="Y511">
        <v>0</v>
      </c>
      <c r="Z511">
        <v>19</v>
      </c>
      <c r="AA511">
        <v>19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806.45</v>
      </c>
      <c r="AK511">
        <v>0</v>
      </c>
      <c r="AL511">
        <v>806.45</v>
      </c>
      <c r="AM511">
        <v>0</v>
      </c>
      <c r="AN511">
        <v>0</v>
      </c>
      <c r="AO511">
        <v>0</v>
      </c>
    </row>
    <row r="512" spans="1:41">
      <c r="A512">
        <v>511</v>
      </c>
      <c r="B512" s="42">
        <v>45953</v>
      </c>
      <c r="C512" t="str">
        <v>HINJEWADI</v>
      </c>
      <c r="D512" t="str">
        <v>SLK1</v>
      </c>
      <c r="E512" t="str">
        <v>SHADOWFAX TECHNOLOGIES PRIVATE LIMITED</v>
      </c>
      <c r="F512" t="str">
        <v>MH14MH8276</v>
      </c>
      <c r="G512" t="str">
        <v>ACE</v>
      </c>
      <c r="H512" t="str">
        <v>CNG</v>
      </c>
      <c r="I512">
        <v>4</v>
      </c>
      <c r="J512">
        <v>8</v>
      </c>
      <c r="K512">
        <v>25000</v>
      </c>
      <c r="L512">
        <v>1000</v>
      </c>
      <c r="M512">
        <v>55</v>
      </c>
      <c r="N512">
        <v>31</v>
      </c>
      <c r="O512" t="str">
        <v>PUN01 NC Cluster 35</v>
      </c>
      <c r="P512">
        <v>0</v>
      </c>
      <c r="Q512">
        <v>4.7222222222222221E-2</v>
      </c>
      <c r="R512">
        <v>4.7222222222222221E-2</v>
      </c>
      <c r="S512">
        <v>5899</v>
      </c>
      <c r="T512">
        <v>0.30833333333333335</v>
      </c>
      <c r="U512">
        <v>0.30833333333333335</v>
      </c>
      <c r="V512">
        <v>5917</v>
      </c>
      <c r="W512">
        <v>46</v>
      </c>
      <c r="X512">
        <v>46</v>
      </c>
      <c r="Y512">
        <v>0</v>
      </c>
      <c r="Z512">
        <v>18</v>
      </c>
      <c r="AA512">
        <v>18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806.45</v>
      </c>
      <c r="AK512">
        <v>0</v>
      </c>
      <c r="AL512">
        <v>806.45</v>
      </c>
      <c r="AM512">
        <v>0</v>
      </c>
      <c r="AN512">
        <v>0</v>
      </c>
      <c r="AO512">
        <v>0</v>
      </c>
    </row>
    <row r="513" spans="1:41">
      <c r="A513">
        <v>512</v>
      </c>
      <c r="B513" s="42">
        <v>45953</v>
      </c>
      <c r="C513" t="str">
        <v>HINJEWADI</v>
      </c>
      <c r="D513" t="str">
        <v>SLK1</v>
      </c>
      <c r="E513" t="str">
        <v>SHADOWFAX TECHNOLOGIES PRIVATE LIMITED</v>
      </c>
      <c r="F513" t="str">
        <v>MH14KA1873</v>
      </c>
      <c r="G513" t="str">
        <v>ACE</v>
      </c>
      <c r="H513" t="str">
        <v>CNG</v>
      </c>
      <c r="I513">
        <v>4</v>
      </c>
      <c r="J513">
        <v>8</v>
      </c>
      <c r="K513">
        <v>25000</v>
      </c>
      <c r="L513">
        <v>1000</v>
      </c>
      <c r="M513">
        <v>55</v>
      </c>
      <c r="N513">
        <v>31</v>
      </c>
      <c r="O513" t="str">
        <v>PUN01 NC Cluster 41</v>
      </c>
      <c r="P513">
        <v>0</v>
      </c>
      <c r="Q513">
        <v>4.7222222222222221E-2</v>
      </c>
      <c r="R513">
        <v>4.7222222222222221E-2</v>
      </c>
      <c r="S513">
        <v>114381</v>
      </c>
      <c r="T513">
        <v>0.29930555555555555</v>
      </c>
      <c r="U513">
        <v>0.29930555555555555</v>
      </c>
      <c r="V513">
        <v>114397</v>
      </c>
      <c r="W513">
        <v>36</v>
      </c>
      <c r="X513">
        <v>36</v>
      </c>
      <c r="Y513">
        <v>0</v>
      </c>
      <c r="Z513">
        <v>16</v>
      </c>
      <c r="AA513">
        <v>16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806.45</v>
      </c>
      <c r="AK513">
        <v>0</v>
      </c>
      <c r="AL513">
        <v>806.45</v>
      </c>
      <c r="AM513">
        <v>0</v>
      </c>
      <c r="AN513">
        <v>0</v>
      </c>
      <c r="AO513">
        <v>0</v>
      </c>
    </row>
    <row r="514" spans="1:41">
      <c r="A514">
        <v>513</v>
      </c>
      <c r="B514" s="42">
        <v>45953</v>
      </c>
      <c r="C514" t="str">
        <v>HINJEWADI</v>
      </c>
      <c r="D514" t="str">
        <v>SLK1</v>
      </c>
      <c r="E514" t="str">
        <v>SHADOWFAX TECHNOLOGIES PRIVATE LIMITED</v>
      </c>
      <c r="F514" t="str">
        <v>MH12WX6236</v>
      </c>
      <c r="G514" t="str">
        <v>ACE</v>
      </c>
      <c r="H514" t="str">
        <v>CNG</v>
      </c>
      <c r="I514">
        <v>4</v>
      </c>
      <c r="J514">
        <v>8</v>
      </c>
      <c r="K514">
        <v>25000</v>
      </c>
      <c r="L514">
        <v>1000</v>
      </c>
      <c r="M514">
        <v>55</v>
      </c>
      <c r="N514">
        <v>31</v>
      </c>
      <c r="O514" t="str">
        <v>PUN01 NC Cluster 139</v>
      </c>
      <c r="P514">
        <v>0</v>
      </c>
      <c r="Q514">
        <v>4.8611111111111112E-2</v>
      </c>
      <c r="R514">
        <v>4.8611111111111112E-2</v>
      </c>
      <c r="S514">
        <v>38958</v>
      </c>
      <c r="T514">
        <v>0.32777777777777778</v>
      </c>
      <c r="U514">
        <v>0.32777777777777778</v>
      </c>
      <c r="V514">
        <v>38984</v>
      </c>
      <c r="W514">
        <v>45</v>
      </c>
      <c r="X514">
        <v>45</v>
      </c>
      <c r="Y514">
        <v>0</v>
      </c>
      <c r="Z514">
        <v>26</v>
      </c>
      <c r="AA514">
        <v>26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806.45</v>
      </c>
      <c r="AK514">
        <v>0</v>
      </c>
      <c r="AL514">
        <v>806.45</v>
      </c>
      <c r="AM514">
        <v>0</v>
      </c>
      <c r="AN514">
        <v>0</v>
      </c>
      <c r="AO514">
        <v>0</v>
      </c>
    </row>
    <row r="515" spans="1:41">
      <c r="A515">
        <v>514</v>
      </c>
      <c r="B515" s="42">
        <v>45953</v>
      </c>
      <c r="C515" t="str">
        <v>HINJEWADI</v>
      </c>
      <c r="D515" t="str">
        <v>SLK1</v>
      </c>
      <c r="E515" t="str">
        <v>SHADOWFAX TECHNOLOGIES PRIVATE LIMITED</v>
      </c>
      <c r="F515" t="str">
        <v>MH12UM3063</v>
      </c>
      <c r="G515" t="str">
        <v>ACE</v>
      </c>
      <c r="H515" t="str">
        <v>CNG</v>
      </c>
      <c r="I515">
        <v>6</v>
      </c>
      <c r="J515">
        <v>8</v>
      </c>
      <c r="K515">
        <v>33000</v>
      </c>
      <c r="L515">
        <v>2000</v>
      </c>
      <c r="M515">
        <v>55</v>
      </c>
      <c r="N515">
        <v>31</v>
      </c>
      <c r="O515" t="str">
        <v>PUN01 NC Cluster 299</v>
      </c>
      <c r="P515">
        <v>0</v>
      </c>
      <c r="Q515">
        <v>5.8333333333333327E-2</v>
      </c>
      <c r="R515">
        <v>5.8333333333333327E-2</v>
      </c>
      <c r="S515">
        <v>101495</v>
      </c>
      <c r="T515">
        <v>0.29375000000000001</v>
      </c>
      <c r="U515">
        <v>0.29375000000000001</v>
      </c>
      <c r="V515">
        <v>101541</v>
      </c>
      <c r="W515">
        <v>31</v>
      </c>
      <c r="X515">
        <v>31</v>
      </c>
      <c r="Y515">
        <v>0</v>
      </c>
      <c r="Z515">
        <v>46</v>
      </c>
      <c r="AA515">
        <v>46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1064.52</v>
      </c>
      <c r="AK515">
        <v>0</v>
      </c>
      <c r="AL515">
        <v>1064.52</v>
      </c>
      <c r="AM515">
        <v>0</v>
      </c>
      <c r="AN515">
        <v>0</v>
      </c>
      <c r="AO515">
        <v>0</v>
      </c>
    </row>
    <row r="516" spans="1:41">
      <c r="A516">
        <v>515</v>
      </c>
      <c r="B516" s="42">
        <v>45953</v>
      </c>
      <c r="C516" t="str">
        <v>HINJEWADI</v>
      </c>
      <c r="D516" t="str">
        <v>SLK1</v>
      </c>
      <c r="E516" t="str">
        <v>SHADOWFAX TECHNOLOGIES PRIVATE LIMITED</v>
      </c>
      <c r="F516" t="str">
        <v>MH12SF9859</v>
      </c>
      <c r="G516" t="str">
        <v>ACE</v>
      </c>
      <c r="H516" t="str">
        <v>CNG</v>
      </c>
      <c r="I516">
        <v>4</v>
      </c>
      <c r="J516">
        <v>8</v>
      </c>
      <c r="K516">
        <v>25000</v>
      </c>
      <c r="L516">
        <v>1000</v>
      </c>
      <c r="M516">
        <v>55</v>
      </c>
      <c r="N516">
        <v>31</v>
      </c>
      <c r="O516" t="str">
        <v>PUN01 NC Cluster 26</v>
      </c>
      <c r="P516">
        <v>0</v>
      </c>
      <c r="Q516">
        <v>6.1805555555555558E-2</v>
      </c>
      <c r="R516">
        <v>6.1805555555555558E-2</v>
      </c>
      <c r="S516">
        <v>110732</v>
      </c>
      <c r="T516">
        <v>0.3034722222222222</v>
      </c>
      <c r="U516">
        <v>0.3034722222222222</v>
      </c>
      <c r="V516">
        <v>110762</v>
      </c>
      <c r="W516">
        <v>12</v>
      </c>
      <c r="X516">
        <v>12</v>
      </c>
      <c r="Y516">
        <v>0</v>
      </c>
      <c r="Z516">
        <v>30</v>
      </c>
      <c r="AA516">
        <v>30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806.45</v>
      </c>
      <c r="AK516">
        <v>0</v>
      </c>
      <c r="AL516">
        <v>806.45</v>
      </c>
      <c r="AM516">
        <v>0</v>
      </c>
      <c r="AN516">
        <v>0</v>
      </c>
      <c r="AO516">
        <v>0</v>
      </c>
    </row>
    <row r="517" spans="1:41">
      <c r="A517">
        <v>516</v>
      </c>
      <c r="B517" s="42">
        <v>45953</v>
      </c>
      <c r="C517" t="str">
        <v>HINJEWADI</v>
      </c>
      <c r="D517" t="str">
        <v>SLK1</v>
      </c>
      <c r="E517" t="str">
        <v>SHADOWFAX TECHNOLOGIES PRIVATE LIMITED</v>
      </c>
      <c r="F517" t="str">
        <v>MH14LB4598</v>
      </c>
      <c r="G517" t="str">
        <v>ACE</v>
      </c>
      <c r="H517" t="str">
        <v>CNG</v>
      </c>
      <c r="I517">
        <v>4</v>
      </c>
      <c r="J517">
        <v>8</v>
      </c>
      <c r="K517">
        <v>25000</v>
      </c>
      <c r="L517">
        <v>1000</v>
      </c>
      <c r="M517">
        <v>55</v>
      </c>
      <c r="N517">
        <v>31</v>
      </c>
      <c r="O517" t="str">
        <v>PUN01 NC Cluster 93</v>
      </c>
      <c r="P517">
        <v>0</v>
      </c>
      <c r="Q517">
        <v>6.3888888888888884E-2</v>
      </c>
      <c r="R517">
        <v>6.3888888888888884E-2</v>
      </c>
      <c r="S517">
        <v>66455</v>
      </c>
      <c r="T517">
        <v>0.32708333333333334</v>
      </c>
      <c r="U517">
        <v>0.32708333333333334</v>
      </c>
      <c r="V517">
        <v>66467</v>
      </c>
      <c r="W517">
        <v>26</v>
      </c>
      <c r="X517">
        <v>26</v>
      </c>
      <c r="Y517">
        <v>0</v>
      </c>
      <c r="Z517">
        <v>12</v>
      </c>
      <c r="AA517">
        <v>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806.45</v>
      </c>
      <c r="AK517">
        <v>0</v>
      </c>
      <c r="AL517">
        <v>806.45</v>
      </c>
      <c r="AM517">
        <v>0</v>
      </c>
      <c r="AN517">
        <v>0</v>
      </c>
      <c r="AO517">
        <v>0</v>
      </c>
    </row>
    <row r="518" spans="1:41">
      <c r="A518">
        <v>517</v>
      </c>
      <c r="B518" s="42">
        <v>45953</v>
      </c>
      <c r="C518" t="str">
        <v>HINJEWADI</v>
      </c>
      <c r="D518" t="str">
        <v>SLK1</v>
      </c>
      <c r="E518" t="str">
        <v>SHADOWFAX TECHNOLOGIES PRIVATE LIMITED</v>
      </c>
      <c r="F518" t="str">
        <v>MH14CP4610</v>
      </c>
      <c r="G518" t="str">
        <v>ACE</v>
      </c>
      <c r="H518" t="str">
        <v>CNG</v>
      </c>
      <c r="I518">
        <v>4</v>
      </c>
      <c r="J518">
        <v>8</v>
      </c>
      <c r="K518">
        <v>25000</v>
      </c>
      <c r="L518">
        <v>1000</v>
      </c>
      <c r="M518">
        <v>55</v>
      </c>
      <c r="N518">
        <v>31</v>
      </c>
      <c r="O518" t="str">
        <v>PUN01 NC Cluster 87</v>
      </c>
      <c r="P518">
        <v>0</v>
      </c>
      <c r="Q518">
        <v>6.3888888888888884E-2</v>
      </c>
      <c r="R518">
        <v>6.3888888888888884E-2</v>
      </c>
      <c r="S518">
        <v>145486</v>
      </c>
      <c r="T518">
        <v>0.28402777777777777</v>
      </c>
      <c r="U518">
        <v>0.28402777777777777</v>
      </c>
      <c r="V518">
        <v>145503</v>
      </c>
      <c r="W518">
        <v>21</v>
      </c>
      <c r="X518">
        <v>21</v>
      </c>
      <c r="Y518">
        <v>0</v>
      </c>
      <c r="Z518">
        <v>17</v>
      </c>
      <c r="AA518">
        <v>17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806.45</v>
      </c>
      <c r="AK518">
        <v>0</v>
      </c>
      <c r="AL518">
        <v>806.45</v>
      </c>
      <c r="AM518">
        <v>0</v>
      </c>
      <c r="AN518">
        <v>0</v>
      </c>
      <c r="AO518">
        <v>0</v>
      </c>
    </row>
    <row r="519" spans="1:41">
      <c r="A519">
        <v>518</v>
      </c>
      <c r="B519" s="42">
        <v>45953</v>
      </c>
      <c r="C519" t="str">
        <v>HINJEWADI</v>
      </c>
      <c r="D519" t="str">
        <v>SLK1</v>
      </c>
      <c r="E519" t="str">
        <v>SHADOWFAX TECHNOLOGIES PRIVATE LIMITED</v>
      </c>
      <c r="F519" t="str">
        <v>MH14JL3308</v>
      </c>
      <c r="G519" t="str">
        <v>ACE</v>
      </c>
      <c r="H519" t="str">
        <v>CNG</v>
      </c>
      <c r="I519">
        <v>4</v>
      </c>
      <c r="J519">
        <v>8</v>
      </c>
      <c r="K519">
        <v>25000</v>
      </c>
      <c r="L519">
        <v>1000</v>
      </c>
      <c r="M519">
        <v>55</v>
      </c>
      <c r="N519">
        <v>31</v>
      </c>
      <c r="O519" t="str">
        <v>PUN01 NC Cluster 19</v>
      </c>
      <c r="P519">
        <v>0</v>
      </c>
      <c r="Q519">
        <v>7.4999999999999997E-2</v>
      </c>
      <c r="R519">
        <v>7.4999999999999997E-2</v>
      </c>
      <c r="S519">
        <v>116352</v>
      </c>
      <c r="T519">
        <v>0.31319444444444444</v>
      </c>
      <c r="U519">
        <v>0.31319444444444444</v>
      </c>
      <c r="V519">
        <v>116384</v>
      </c>
      <c r="W519">
        <v>50</v>
      </c>
      <c r="X519">
        <v>50</v>
      </c>
      <c r="Y519">
        <v>0</v>
      </c>
      <c r="Z519">
        <v>32</v>
      </c>
      <c r="AA519">
        <v>32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806.45</v>
      </c>
      <c r="AK519">
        <v>0</v>
      </c>
      <c r="AL519">
        <v>806.45</v>
      </c>
      <c r="AM519">
        <v>0</v>
      </c>
      <c r="AN519">
        <v>0</v>
      </c>
      <c r="AO519">
        <v>0</v>
      </c>
    </row>
    <row r="520" spans="1:41">
      <c r="A520">
        <v>519</v>
      </c>
      <c r="B520" s="42">
        <v>45953</v>
      </c>
      <c r="C520" t="str">
        <v>HINJEWADI</v>
      </c>
      <c r="D520" t="str">
        <v>SLK1</v>
      </c>
      <c r="E520" t="str">
        <v>SHADOWFAX TECHNOLOGIES PRIVATE LIMITED</v>
      </c>
      <c r="F520" t="str">
        <v>MH14KQ0279</v>
      </c>
      <c r="G520" t="str">
        <v>ACE</v>
      </c>
      <c r="H520" t="str">
        <v>CNG</v>
      </c>
      <c r="I520">
        <v>4</v>
      </c>
      <c r="J520">
        <v>8</v>
      </c>
      <c r="K520">
        <v>25000</v>
      </c>
      <c r="L520">
        <v>1000</v>
      </c>
      <c r="M520">
        <v>55</v>
      </c>
      <c r="N520">
        <v>31</v>
      </c>
      <c r="O520" t="str">
        <v>PUN01 NC Cluster 201</v>
      </c>
      <c r="P520">
        <v>0</v>
      </c>
      <c r="Q520">
        <v>7.9166666666666663E-2</v>
      </c>
      <c r="R520">
        <v>7.9166666666666663E-2</v>
      </c>
      <c r="S520">
        <v>118767</v>
      </c>
      <c r="T520">
        <v>0.27499999999999997</v>
      </c>
      <c r="U520">
        <v>0.27499999999999997</v>
      </c>
      <c r="V520">
        <v>118799</v>
      </c>
      <c r="W520">
        <v>28</v>
      </c>
      <c r="X520">
        <v>28</v>
      </c>
      <c r="Y520">
        <v>0</v>
      </c>
      <c r="Z520">
        <v>32</v>
      </c>
      <c r="AA520">
        <v>32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806.45</v>
      </c>
      <c r="AK520">
        <v>0</v>
      </c>
      <c r="AL520">
        <v>806.45</v>
      </c>
      <c r="AM520">
        <v>0</v>
      </c>
      <c r="AN520">
        <v>0</v>
      </c>
      <c r="AO520">
        <v>0</v>
      </c>
    </row>
    <row r="521" spans="1:41">
      <c r="A521">
        <v>520</v>
      </c>
      <c r="B521" s="42">
        <v>45953</v>
      </c>
      <c r="C521" t="str">
        <v>HINJEWADI</v>
      </c>
      <c r="D521" t="str">
        <v>SLK1</v>
      </c>
      <c r="E521" t="str">
        <v>SHADOWFAX TECHNOLOGIES PRIVATE LIMITED</v>
      </c>
      <c r="F521" t="str">
        <v>MH14MH6374</v>
      </c>
      <c r="G521" t="str">
        <v>ACE</v>
      </c>
      <c r="H521" t="str">
        <v>CNG</v>
      </c>
      <c r="I521">
        <v>4</v>
      </c>
      <c r="J521">
        <v>8</v>
      </c>
      <c r="K521">
        <v>25000</v>
      </c>
      <c r="L521">
        <v>1000</v>
      </c>
      <c r="M521">
        <v>55</v>
      </c>
      <c r="N521">
        <v>31</v>
      </c>
      <c r="O521" t="str">
        <v>PUN01 NC Cluster 199</v>
      </c>
      <c r="P521">
        <v>0</v>
      </c>
      <c r="Q521">
        <v>8.1944444444444445E-2</v>
      </c>
      <c r="R521">
        <v>8.1944444444444445E-2</v>
      </c>
      <c r="S521">
        <v>8079</v>
      </c>
      <c r="T521">
        <v>0.3034722222222222</v>
      </c>
      <c r="U521">
        <v>0.3034722222222222</v>
      </c>
      <c r="V521">
        <v>8105</v>
      </c>
      <c r="W521">
        <v>9</v>
      </c>
      <c r="X521">
        <v>9</v>
      </c>
      <c r="Y521">
        <v>0</v>
      </c>
      <c r="Z521">
        <v>26</v>
      </c>
      <c r="AA521">
        <v>26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806.45</v>
      </c>
      <c r="AK521">
        <v>0</v>
      </c>
      <c r="AL521">
        <v>806.45</v>
      </c>
      <c r="AM521">
        <v>0</v>
      </c>
      <c r="AN521">
        <v>0</v>
      </c>
      <c r="AO521">
        <v>0</v>
      </c>
    </row>
    <row r="522" spans="1:41">
      <c r="A522">
        <v>521</v>
      </c>
      <c r="B522" s="42">
        <v>45953</v>
      </c>
      <c r="C522" t="str">
        <v>HINJEWADI</v>
      </c>
      <c r="D522" t="str">
        <v>SLK1</v>
      </c>
      <c r="E522" t="str">
        <v>SHADOWFAX TECHNOLOGIES PRIVATE LIMITED</v>
      </c>
      <c r="F522" t="str">
        <v>MH14LB5906</v>
      </c>
      <c r="G522" t="str">
        <v>ACE</v>
      </c>
      <c r="H522" t="str">
        <v>CNG</v>
      </c>
      <c r="I522">
        <v>4</v>
      </c>
      <c r="J522">
        <v>8</v>
      </c>
      <c r="K522">
        <v>25000</v>
      </c>
      <c r="L522">
        <v>1000</v>
      </c>
      <c r="M522">
        <v>55</v>
      </c>
      <c r="N522">
        <v>31</v>
      </c>
      <c r="O522" t="str">
        <v>PUN01 NC Cluster 106</v>
      </c>
      <c r="P522">
        <v>0</v>
      </c>
      <c r="Q522">
        <v>8.7500000000000008E-2</v>
      </c>
      <c r="R522">
        <v>8.7500000000000008E-2</v>
      </c>
      <c r="S522">
        <v>45151</v>
      </c>
      <c r="T522">
        <v>0.29930555555555555</v>
      </c>
      <c r="U522">
        <v>0.29930555555555555</v>
      </c>
      <c r="V522">
        <v>45182</v>
      </c>
      <c r="W522">
        <v>31</v>
      </c>
      <c r="X522">
        <v>31</v>
      </c>
      <c r="Y522">
        <v>0</v>
      </c>
      <c r="Z522">
        <v>31</v>
      </c>
      <c r="AA522">
        <v>31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806.45</v>
      </c>
      <c r="AK522">
        <v>0</v>
      </c>
      <c r="AL522">
        <v>806.45</v>
      </c>
      <c r="AM522">
        <v>0</v>
      </c>
      <c r="AN522">
        <v>0</v>
      </c>
      <c r="AO522">
        <v>0</v>
      </c>
    </row>
    <row r="523" spans="1:41">
      <c r="A523">
        <v>522</v>
      </c>
      <c r="B523" s="42">
        <v>45953</v>
      </c>
      <c r="C523" t="str">
        <v>HINJEWADI</v>
      </c>
      <c r="D523" t="str">
        <v>SLK1</v>
      </c>
      <c r="E523" t="str">
        <v>SHADOWFAX TECHNOLOGIES PRIVATE LIMITED</v>
      </c>
      <c r="F523" t="str">
        <v>MH14LL5974</v>
      </c>
      <c r="G523" t="str">
        <v>ACE</v>
      </c>
      <c r="H523" t="str">
        <v>CNG</v>
      </c>
      <c r="I523">
        <v>4</v>
      </c>
      <c r="J523">
        <v>8</v>
      </c>
      <c r="K523">
        <v>25000</v>
      </c>
      <c r="L523">
        <v>1000</v>
      </c>
      <c r="M523">
        <v>55</v>
      </c>
      <c r="N523">
        <v>31</v>
      </c>
      <c r="O523" t="str">
        <v>PUN01 NC Cluster 92</v>
      </c>
      <c r="P523">
        <v>0</v>
      </c>
      <c r="Q523">
        <v>9.1666666666666674E-2</v>
      </c>
      <c r="R523">
        <v>9.1666666666666674E-2</v>
      </c>
      <c r="S523">
        <v>37424</v>
      </c>
      <c r="T523">
        <v>0.2951388888888889</v>
      </c>
      <c r="U523">
        <v>0.2951388888888889</v>
      </c>
      <c r="V523">
        <v>37445</v>
      </c>
      <c r="W523">
        <v>26</v>
      </c>
      <c r="X523">
        <v>26</v>
      </c>
      <c r="Y523">
        <v>0</v>
      </c>
      <c r="Z523">
        <v>21</v>
      </c>
      <c r="AA523">
        <v>21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806.45</v>
      </c>
      <c r="AK523">
        <v>0</v>
      </c>
      <c r="AL523">
        <v>806.45</v>
      </c>
      <c r="AM523">
        <v>0</v>
      </c>
      <c r="AN523">
        <v>0</v>
      </c>
      <c r="AO523">
        <v>0</v>
      </c>
    </row>
    <row r="524" spans="1:41">
      <c r="A524">
        <v>523</v>
      </c>
      <c r="B524" s="42">
        <v>45953</v>
      </c>
      <c r="C524" t="str">
        <v>HINJEWADI</v>
      </c>
      <c r="D524" t="str">
        <v>SLK1</v>
      </c>
      <c r="E524" t="str">
        <v>SHADOWFAX TECHNOLOGIES PRIVATE LIMITED</v>
      </c>
      <c r="F524" t="str">
        <v>MH16CD7321</v>
      </c>
      <c r="G524" t="str">
        <v>BOLERO</v>
      </c>
      <c r="H524" t="str">
        <v>DIESEL</v>
      </c>
      <c r="I524">
        <v>4</v>
      </c>
      <c r="J524">
        <v>10</v>
      </c>
      <c r="K524">
        <v>29000</v>
      </c>
      <c r="L524">
        <v>1000</v>
      </c>
      <c r="M524">
        <v>55</v>
      </c>
      <c r="N524">
        <v>31</v>
      </c>
      <c r="O524" t="str">
        <v>PUN01 NC Cluster 11</v>
      </c>
      <c r="P524">
        <v>0</v>
      </c>
      <c r="Q524">
        <v>9.8611111111111108E-2</v>
      </c>
      <c r="R524">
        <v>9.8611111111111108E-2</v>
      </c>
      <c r="S524">
        <v>139617</v>
      </c>
      <c r="T524">
        <v>0.31666666666666665</v>
      </c>
      <c r="U524">
        <v>0.31666666666666665</v>
      </c>
      <c r="V524">
        <v>139644</v>
      </c>
      <c r="W524">
        <v>38</v>
      </c>
      <c r="X524">
        <v>38</v>
      </c>
      <c r="Y524">
        <v>0</v>
      </c>
      <c r="Z524">
        <v>27</v>
      </c>
      <c r="AA524">
        <v>27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935.48</v>
      </c>
      <c r="AK524">
        <v>0</v>
      </c>
      <c r="AL524">
        <v>935.48</v>
      </c>
      <c r="AM524">
        <v>0</v>
      </c>
      <c r="AN524">
        <v>0</v>
      </c>
      <c r="AO524">
        <v>0</v>
      </c>
    </row>
    <row r="525" spans="1:41">
      <c r="A525">
        <v>524</v>
      </c>
      <c r="B525" s="42">
        <v>45953</v>
      </c>
      <c r="C525" t="str">
        <v>HINJEWADI</v>
      </c>
      <c r="D525" t="str">
        <v>SLK1</v>
      </c>
      <c r="E525" t="str">
        <v>SHADOWFAX TECHNOLOGIES PRIVATE LIMITED</v>
      </c>
      <c r="F525" t="str">
        <v>MH14KA0766</v>
      </c>
      <c r="G525" t="str">
        <v>ACE</v>
      </c>
      <c r="H525" t="str">
        <v>CNG</v>
      </c>
      <c r="I525">
        <v>4</v>
      </c>
      <c r="J525">
        <v>8</v>
      </c>
      <c r="K525">
        <v>25000</v>
      </c>
      <c r="L525">
        <v>1000</v>
      </c>
      <c r="M525">
        <v>55</v>
      </c>
      <c r="N525">
        <v>31</v>
      </c>
      <c r="O525" t="str">
        <v>PUN01 NC Cluster 10</v>
      </c>
      <c r="P525">
        <v>0</v>
      </c>
      <c r="Q525">
        <v>9.930555555555555E-2</v>
      </c>
      <c r="R525">
        <v>9.930555555555555E-2</v>
      </c>
      <c r="S525">
        <v>145350</v>
      </c>
      <c r="T525">
        <v>0.29722222222222222</v>
      </c>
      <c r="U525">
        <v>0.29722222222222222</v>
      </c>
      <c r="V525">
        <v>145373</v>
      </c>
      <c r="W525">
        <v>37</v>
      </c>
      <c r="X525">
        <v>37</v>
      </c>
      <c r="Y525">
        <v>0</v>
      </c>
      <c r="Z525">
        <v>23</v>
      </c>
      <c r="AA525">
        <v>23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806.45</v>
      </c>
      <c r="AK525">
        <v>0</v>
      </c>
      <c r="AL525">
        <v>806.45</v>
      </c>
      <c r="AM525">
        <v>0</v>
      </c>
      <c r="AN525">
        <v>0</v>
      </c>
      <c r="AO525">
        <v>0</v>
      </c>
    </row>
    <row r="526" spans="1:41">
      <c r="A526">
        <v>525</v>
      </c>
      <c r="B526" s="42">
        <v>45953</v>
      </c>
      <c r="C526" t="str">
        <v>HINJEWADI</v>
      </c>
      <c r="D526" t="str">
        <v>SLK1</v>
      </c>
      <c r="E526" t="str">
        <v>SHADOWFAX TECHNOLOGIES PRIVATE LIMITED</v>
      </c>
      <c r="F526" t="str">
        <v>MH14KA6513</v>
      </c>
      <c r="G526" t="str">
        <v>ACE</v>
      </c>
      <c r="H526" t="str">
        <v>CNG</v>
      </c>
      <c r="I526">
        <v>6</v>
      </c>
      <c r="J526">
        <v>8</v>
      </c>
      <c r="K526">
        <v>33000</v>
      </c>
      <c r="L526">
        <v>2000</v>
      </c>
      <c r="M526">
        <v>55</v>
      </c>
      <c r="N526">
        <v>31</v>
      </c>
      <c r="O526" t="str">
        <v>PUN01 NC Cluster</v>
      </c>
      <c r="P526">
        <v>0</v>
      </c>
      <c r="Q526">
        <v>0.10347222222222223</v>
      </c>
      <c r="R526">
        <v>0.10347222222222223</v>
      </c>
      <c r="S526">
        <v>48479</v>
      </c>
      <c r="T526">
        <v>0.33333333333333331</v>
      </c>
      <c r="U526">
        <v>0.33333333333333331</v>
      </c>
      <c r="V526">
        <v>48537</v>
      </c>
      <c r="W526">
        <v>0</v>
      </c>
      <c r="X526">
        <v>0</v>
      </c>
      <c r="Y526">
        <v>0</v>
      </c>
      <c r="Z526">
        <v>58</v>
      </c>
      <c r="AA526">
        <v>58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1064.52</v>
      </c>
      <c r="AK526">
        <v>0</v>
      </c>
      <c r="AL526">
        <v>1064.52</v>
      </c>
      <c r="AM526">
        <v>0</v>
      </c>
      <c r="AN526">
        <v>0</v>
      </c>
      <c r="AO526">
        <v>0</v>
      </c>
    </row>
    <row r="527" spans="1:41">
      <c r="A527">
        <v>526</v>
      </c>
      <c r="B527" s="42">
        <v>45953</v>
      </c>
      <c r="C527" t="str">
        <v>HINJEWADI</v>
      </c>
      <c r="D527" t="str">
        <v>SLK1</v>
      </c>
      <c r="E527" t="str">
        <v>SHADOWFAX TECHNOLOGIES PRIVATE LIMITED</v>
      </c>
      <c r="F527" t="str">
        <v>MH14LL4513</v>
      </c>
      <c r="G527" t="str">
        <v>BOLERO</v>
      </c>
      <c r="H527" t="str">
        <v>DIESEL</v>
      </c>
      <c r="I527">
        <v>4</v>
      </c>
      <c r="J527">
        <v>10</v>
      </c>
      <c r="K527">
        <v>29000</v>
      </c>
      <c r="L527">
        <v>1000</v>
      </c>
      <c r="M527">
        <v>55</v>
      </c>
      <c r="N527">
        <v>31</v>
      </c>
      <c r="O527" t="str">
        <v>PUN01 NC Cluster 73</v>
      </c>
      <c r="P527">
        <v>0</v>
      </c>
      <c r="Q527">
        <v>0.10555555555555556</v>
      </c>
      <c r="R527">
        <v>0.10555555555555556</v>
      </c>
      <c r="S527">
        <v>33137</v>
      </c>
      <c r="T527">
        <v>0</v>
      </c>
      <c r="U527">
        <v>0</v>
      </c>
      <c r="V527">
        <v>33146</v>
      </c>
      <c r="W527">
        <v>37</v>
      </c>
      <c r="X527">
        <v>37</v>
      </c>
      <c r="Y527">
        <v>0</v>
      </c>
      <c r="Z527">
        <v>9</v>
      </c>
      <c r="AA527">
        <v>9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935.48</v>
      </c>
      <c r="AK527">
        <v>0</v>
      </c>
      <c r="AL527">
        <v>935.48</v>
      </c>
      <c r="AM527">
        <v>0</v>
      </c>
      <c r="AN527">
        <v>0</v>
      </c>
      <c r="AO527">
        <v>0</v>
      </c>
    </row>
    <row r="528" spans="1:41">
      <c r="A528">
        <v>527</v>
      </c>
      <c r="B528" s="42">
        <v>45953</v>
      </c>
      <c r="C528" t="str">
        <v>HINJEWADI</v>
      </c>
      <c r="D528" t="str">
        <v>SLK1</v>
      </c>
      <c r="E528" t="str">
        <v>SHADOWFAX TECHNOLOGIES PRIVATE LIMITED</v>
      </c>
      <c r="F528" t="str">
        <v>MH14KA2871</v>
      </c>
      <c r="G528" t="str">
        <v>ACE</v>
      </c>
      <c r="H528" t="str">
        <v>CNG</v>
      </c>
      <c r="I528">
        <v>4</v>
      </c>
      <c r="J528">
        <v>8</v>
      </c>
      <c r="K528">
        <v>25000</v>
      </c>
      <c r="L528">
        <v>1000</v>
      </c>
      <c r="M528">
        <v>55</v>
      </c>
      <c r="N528">
        <v>31</v>
      </c>
      <c r="O528" t="str">
        <v>PUN01 NC Cluster 15</v>
      </c>
      <c r="P528">
        <v>0</v>
      </c>
      <c r="Q528">
        <v>0.1076388888888889</v>
      </c>
      <c r="R528">
        <v>0.1076388888888889</v>
      </c>
      <c r="S528">
        <v>79082</v>
      </c>
      <c r="T528">
        <v>0.31180555555555556</v>
      </c>
      <c r="U528">
        <v>0.31180555555555556</v>
      </c>
      <c r="V528">
        <v>79097</v>
      </c>
      <c r="W528">
        <v>39</v>
      </c>
      <c r="X528">
        <v>39</v>
      </c>
      <c r="Y528">
        <v>0</v>
      </c>
      <c r="Z528">
        <v>15</v>
      </c>
      <c r="AA528">
        <v>15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806.45</v>
      </c>
      <c r="AK528">
        <v>0</v>
      </c>
      <c r="AL528">
        <v>806.45</v>
      </c>
      <c r="AM528">
        <v>0</v>
      </c>
      <c r="AN528">
        <v>0</v>
      </c>
      <c r="AO528">
        <v>0</v>
      </c>
    </row>
    <row r="529" spans="1:41">
      <c r="A529">
        <v>528</v>
      </c>
      <c r="B529" s="42">
        <v>45953</v>
      </c>
      <c r="C529" t="str">
        <v>HINJEWADI</v>
      </c>
      <c r="D529" t="str">
        <v>SLK1</v>
      </c>
      <c r="E529" t="str">
        <v>SHADOWFAX TECHNOLOGIES PRIVATE LIMITED</v>
      </c>
      <c r="F529" t="str">
        <v>MH14MH7322</v>
      </c>
      <c r="G529" t="str">
        <v>BOLERO</v>
      </c>
      <c r="H529" t="str">
        <v>DIESEL</v>
      </c>
      <c r="I529">
        <v>4</v>
      </c>
      <c r="J529">
        <v>10</v>
      </c>
      <c r="K529">
        <v>29000</v>
      </c>
      <c r="L529">
        <v>1000</v>
      </c>
      <c r="M529">
        <v>55</v>
      </c>
      <c r="N529">
        <v>31</v>
      </c>
      <c r="O529" t="str">
        <v>PUN01 NC Cluster 155</v>
      </c>
      <c r="P529">
        <v>0</v>
      </c>
      <c r="Q529">
        <v>0.10972222222222222</v>
      </c>
      <c r="R529">
        <v>0.10972222222222222</v>
      </c>
      <c r="S529">
        <v>3575</v>
      </c>
      <c r="T529">
        <v>0.30833333333333335</v>
      </c>
      <c r="U529">
        <v>0.30833333333333335</v>
      </c>
      <c r="V529">
        <v>3598</v>
      </c>
      <c r="W529">
        <v>46</v>
      </c>
      <c r="X529">
        <v>46</v>
      </c>
      <c r="Y529">
        <v>0</v>
      </c>
      <c r="Z529">
        <v>23</v>
      </c>
      <c r="AA529">
        <v>23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935.48</v>
      </c>
      <c r="AK529">
        <v>0</v>
      </c>
      <c r="AL529">
        <v>935.48</v>
      </c>
      <c r="AM529">
        <v>0</v>
      </c>
      <c r="AN529">
        <v>0</v>
      </c>
      <c r="AO529">
        <v>0</v>
      </c>
    </row>
    <row r="530" spans="1:41">
      <c r="A530">
        <v>529</v>
      </c>
      <c r="B530" s="42">
        <v>45953</v>
      </c>
      <c r="C530" t="str">
        <v>HINJEWADI</v>
      </c>
      <c r="D530" t="str">
        <v>SLK1</v>
      </c>
      <c r="E530" t="str">
        <v>SHADOWFAX TECHNOLOGIES PRIVATE LIMITED</v>
      </c>
      <c r="F530" t="str">
        <v>MH14KA1228</v>
      </c>
      <c r="G530" t="str">
        <v>ACE</v>
      </c>
      <c r="H530" t="str">
        <v>CNG</v>
      </c>
      <c r="I530">
        <v>4</v>
      </c>
      <c r="J530">
        <v>8</v>
      </c>
      <c r="K530">
        <v>25000</v>
      </c>
      <c r="L530">
        <v>1000</v>
      </c>
      <c r="M530">
        <v>55</v>
      </c>
      <c r="N530">
        <v>31</v>
      </c>
      <c r="O530" t="str">
        <v>PUN01 NC Cluster 5</v>
      </c>
      <c r="P530">
        <v>0</v>
      </c>
      <c r="Q530">
        <v>0.11944444444444445</v>
      </c>
      <c r="R530">
        <v>0.11944444444444445</v>
      </c>
      <c r="S530">
        <v>159832</v>
      </c>
      <c r="T530">
        <v>0.28472222222222221</v>
      </c>
      <c r="U530">
        <v>0.28472222222222221</v>
      </c>
      <c r="V530">
        <v>159849</v>
      </c>
      <c r="W530">
        <v>40</v>
      </c>
      <c r="X530">
        <v>40</v>
      </c>
      <c r="Y530">
        <v>0</v>
      </c>
      <c r="Z530">
        <v>17</v>
      </c>
      <c r="AA530">
        <v>17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806.45</v>
      </c>
      <c r="AK530">
        <v>0</v>
      </c>
      <c r="AL530">
        <v>806.45</v>
      </c>
      <c r="AM530">
        <v>0</v>
      </c>
      <c r="AN530">
        <v>0</v>
      </c>
      <c r="AO530">
        <v>0</v>
      </c>
    </row>
    <row r="531" spans="1:41">
      <c r="A531">
        <v>530</v>
      </c>
      <c r="B531" s="42">
        <v>45954</v>
      </c>
      <c r="C531" t="str">
        <v>HINJEWADI</v>
      </c>
      <c r="D531" t="str">
        <v>SLK1</v>
      </c>
      <c r="E531" t="str">
        <v>SHADOWFAX TECHNOLOGIES PRIVATE LIMITED</v>
      </c>
      <c r="F531" t="str">
        <v>MH03AH8989</v>
      </c>
      <c r="G531" t="str">
        <v>ACE</v>
      </c>
      <c r="H531" t="str">
        <v>CNG</v>
      </c>
      <c r="I531">
        <v>4</v>
      </c>
      <c r="J531">
        <v>8</v>
      </c>
      <c r="K531">
        <v>25000</v>
      </c>
      <c r="L531">
        <v>1000</v>
      </c>
      <c r="M531">
        <v>55</v>
      </c>
      <c r="N531">
        <v>31</v>
      </c>
      <c r="O531" t="str">
        <v>PUN01 NC Cluster 1</v>
      </c>
      <c r="P531">
        <v>0</v>
      </c>
      <c r="Q531">
        <v>4.6527777777777779E-2</v>
      </c>
      <c r="R531">
        <v>4.6527777777777779E-2</v>
      </c>
      <c r="S531">
        <v>57980</v>
      </c>
      <c r="T531">
        <v>0.25694444444444448</v>
      </c>
      <c r="U531">
        <v>0.25694444444444448</v>
      </c>
      <c r="V531">
        <v>57986</v>
      </c>
      <c r="W531">
        <v>27</v>
      </c>
      <c r="X531">
        <v>27</v>
      </c>
      <c r="Y531">
        <v>0</v>
      </c>
      <c r="Z531">
        <v>6</v>
      </c>
      <c r="AA531">
        <v>6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806.45</v>
      </c>
      <c r="AK531">
        <v>0</v>
      </c>
      <c r="AL531">
        <v>806.45</v>
      </c>
      <c r="AM531">
        <v>0</v>
      </c>
      <c r="AN531">
        <v>0</v>
      </c>
      <c r="AO531">
        <v>0</v>
      </c>
    </row>
    <row r="532" spans="1:41">
      <c r="A532">
        <v>531</v>
      </c>
      <c r="B532" s="42">
        <v>45954</v>
      </c>
      <c r="C532" t="str">
        <v>HINJEWADI</v>
      </c>
      <c r="D532" t="str">
        <v>SLK1</v>
      </c>
      <c r="E532" t="str">
        <v>SHADOWFAX TECHNOLOGIES PRIVATE LIMITED</v>
      </c>
      <c r="F532" t="str">
        <v>MH14MH1873</v>
      </c>
      <c r="G532" t="str">
        <v>BOLERO</v>
      </c>
      <c r="H532" t="str">
        <v>DIESEL</v>
      </c>
      <c r="I532">
        <v>4</v>
      </c>
      <c r="J532">
        <v>10</v>
      </c>
      <c r="K532">
        <v>29000</v>
      </c>
      <c r="L532">
        <v>1000</v>
      </c>
      <c r="M532">
        <v>55</v>
      </c>
      <c r="N532">
        <v>31</v>
      </c>
      <c r="O532" t="str">
        <v>PUN01 NC Cluster</v>
      </c>
      <c r="P532">
        <v>0</v>
      </c>
      <c r="Q532">
        <v>4.7222222222222221E-2</v>
      </c>
      <c r="R532">
        <v>4.7222222222222221E-2</v>
      </c>
      <c r="S532">
        <v>23332</v>
      </c>
      <c r="T532">
        <v>0.3527777777777778</v>
      </c>
      <c r="U532">
        <v>0.3527777777777778</v>
      </c>
      <c r="V532">
        <v>23355</v>
      </c>
      <c r="W532">
        <v>0</v>
      </c>
      <c r="X532">
        <v>0</v>
      </c>
      <c r="Y532">
        <v>0</v>
      </c>
      <c r="Z532">
        <v>23</v>
      </c>
      <c r="AA532">
        <v>23</v>
      </c>
      <c r="AB532">
        <v>0</v>
      </c>
      <c r="AC532">
        <v>0</v>
      </c>
      <c r="AD532">
        <v>1</v>
      </c>
      <c r="AE532">
        <v>150</v>
      </c>
      <c r="AF532">
        <v>0</v>
      </c>
      <c r="AG532">
        <v>0</v>
      </c>
      <c r="AH532">
        <v>0</v>
      </c>
      <c r="AI532">
        <v>0</v>
      </c>
      <c r="AJ532">
        <v>1085.48</v>
      </c>
      <c r="AK532">
        <v>0</v>
      </c>
      <c r="AL532">
        <v>1085.48</v>
      </c>
      <c r="AM532">
        <v>0</v>
      </c>
      <c r="AN532">
        <v>0</v>
      </c>
      <c r="AO532">
        <v>0</v>
      </c>
    </row>
    <row r="533" spans="1:41">
      <c r="A533">
        <v>532</v>
      </c>
      <c r="B533" s="42">
        <v>45954</v>
      </c>
      <c r="C533" t="str">
        <v>HINJEWADI</v>
      </c>
      <c r="D533" t="str">
        <v>SLK1</v>
      </c>
      <c r="E533" t="str">
        <v>SHADOWFAX TECHNOLOGIES PRIVATE LIMITED</v>
      </c>
      <c r="F533" t="str">
        <v>MH14LX6360</v>
      </c>
      <c r="G533" t="str">
        <v>ACE</v>
      </c>
      <c r="H533" t="str">
        <v>CNG</v>
      </c>
      <c r="I533">
        <v>4</v>
      </c>
      <c r="J533">
        <v>8</v>
      </c>
      <c r="K533">
        <v>25000</v>
      </c>
      <c r="L533">
        <v>1000</v>
      </c>
      <c r="M533">
        <v>55</v>
      </c>
      <c r="N533">
        <v>31</v>
      </c>
      <c r="O533" t="str">
        <v>PUN01 NC Cluster 40</v>
      </c>
      <c r="P533">
        <v>0</v>
      </c>
      <c r="Q533">
        <v>4.7222222222222221E-2</v>
      </c>
      <c r="R533">
        <v>4.7222222222222221E-2</v>
      </c>
      <c r="S533">
        <v>39418</v>
      </c>
      <c r="T533">
        <v>0.35000000000000003</v>
      </c>
      <c r="U533">
        <v>0.35000000000000003</v>
      </c>
      <c r="V533">
        <v>39434</v>
      </c>
      <c r="W533">
        <v>38</v>
      </c>
      <c r="X533">
        <v>38</v>
      </c>
      <c r="Y533">
        <v>0</v>
      </c>
      <c r="Z533">
        <v>16</v>
      </c>
      <c r="AA533">
        <v>16</v>
      </c>
      <c r="AB533">
        <v>0</v>
      </c>
      <c r="AC533">
        <v>0</v>
      </c>
      <c r="AD533">
        <v>1</v>
      </c>
      <c r="AE533">
        <v>150</v>
      </c>
      <c r="AF533">
        <v>0</v>
      </c>
      <c r="AG533">
        <v>0</v>
      </c>
      <c r="AH533">
        <v>0</v>
      </c>
      <c r="AI533">
        <v>0</v>
      </c>
      <c r="AJ533">
        <v>956.45</v>
      </c>
      <c r="AK533">
        <v>0</v>
      </c>
      <c r="AL533">
        <v>956.45</v>
      </c>
      <c r="AM533">
        <v>0</v>
      </c>
      <c r="AN533">
        <v>0</v>
      </c>
      <c r="AO533">
        <v>0</v>
      </c>
    </row>
    <row r="534" spans="1:41">
      <c r="A534">
        <v>533</v>
      </c>
      <c r="B534" s="42">
        <v>45954</v>
      </c>
      <c r="C534" t="str">
        <v>HINJEWADI</v>
      </c>
      <c r="D534" t="str">
        <v>SLK1</v>
      </c>
      <c r="E534" t="str">
        <v>SHADOWFAX TECHNOLOGIES PRIVATE LIMITED</v>
      </c>
      <c r="F534" t="str">
        <v>MH14MH8276</v>
      </c>
      <c r="G534" t="str">
        <v>ACE</v>
      </c>
      <c r="H534" t="str">
        <v>CNG</v>
      </c>
      <c r="I534">
        <v>4</v>
      </c>
      <c r="J534">
        <v>8</v>
      </c>
      <c r="K534">
        <v>25000</v>
      </c>
      <c r="L534">
        <v>1000</v>
      </c>
      <c r="M534">
        <v>55</v>
      </c>
      <c r="N534">
        <v>31</v>
      </c>
      <c r="O534" t="str">
        <v>PUN01 NC Cluster 39</v>
      </c>
      <c r="P534">
        <v>0</v>
      </c>
      <c r="Q534">
        <v>4.7222222222222221E-2</v>
      </c>
      <c r="R534">
        <v>4.7222222222222221E-2</v>
      </c>
      <c r="S534">
        <v>5969</v>
      </c>
      <c r="T534">
        <v>0.35416666666666669</v>
      </c>
      <c r="U534">
        <v>0.35416666666666669</v>
      </c>
      <c r="V534">
        <v>5989</v>
      </c>
      <c r="W534">
        <v>23</v>
      </c>
      <c r="X534">
        <v>23</v>
      </c>
      <c r="Y534">
        <v>0</v>
      </c>
      <c r="Z534">
        <v>20</v>
      </c>
      <c r="AA534">
        <v>20</v>
      </c>
      <c r="AB534">
        <v>0</v>
      </c>
      <c r="AC534">
        <v>0</v>
      </c>
      <c r="AD534">
        <v>1</v>
      </c>
      <c r="AE534">
        <v>150</v>
      </c>
      <c r="AF534">
        <v>0</v>
      </c>
      <c r="AG534">
        <v>0</v>
      </c>
      <c r="AH534">
        <v>0</v>
      </c>
      <c r="AI534">
        <v>0</v>
      </c>
      <c r="AJ534">
        <v>956.45</v>
      </c>
      <c r="AK534">
        <v>0</v>
      </c>
      <c r="AL534">
        <v>956.45</v>
      </c>
      <c r="AM534">
        <v>0</v>
      </c>
      <c r="AN534">
        <v>0</v>
      </c>
      <c r="AO534">
        <v>0</v>
      </c>
    </row>
    <row r="535" spans="1:41">
      <c r="A535">
        <v>534</v>
      </c>
      <c r="B535" s="42">
        <v>45954</v>
      </c>
      <c r="C535" t="str">
        <v>HINJEWADI</v>
      </c>
      <c r="D535" t="str">
        <v>SLK1</v>
      </c>
      <c r="E535" t="str">
        <v>SHADOWFAX TECHNOLOGIES PRIVATE LIMITED</v>
      </c>
      <c r="F535" t="str">
        <v>MH14MH6374</v>
      </c>
      <c r="G535" t="str">
        <v>ACE</v>
      </c>
      <c r="H535" t="str">
        <v>CNG</v>
      </c>
      <c r="I535">
        <v>4</v>
      </c>
      <c r="J535">
        <v>8</v>
      </c>
      <c r="K535">
        <v>25000</v>
      </c>
      <c r="L535">
        <v>1000</v>
      </c>
      <c r="M535">
        <v>55</v>
      </c>
      <c r="N535">
        <v>31</v>
      </c>
      <c r="O535" t="str">
        <v>PUN01 NC Cluster 200</v>
      </c>
      <c r="P535">
        <v>0</v>
      </c>
      <c r="Q535">
        <v>4.7916666666666663E-2</v>
      </c>
      <c r="R535">
        <v>4.7916666666666663E-2</v>
      </c>
      <c r="S535">
        <v>8177</v>
      </c>
      <c r="T535">
        <v>0.31597222222222221</v>
      </c>
      <c r="U535">
        <v>0.31597222222222221</v>
      </c>
      <c r="V535">
        <v>8209</v>
      </c>
      <c r="W535">
        <v>51</v>
      </c>
      <c r="X535">
        <v>51</v>
      </c>
      <c r="Y535">
        <v>0</v>
      </c>
      <c r="Z535">
        <v>32</v>
      </c>
      <c r="AA535">
        <v>32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806.45</v>
      </c>
      <c r="AK535">
        <v>0</v>
      </c>
      <c r="AL535">
        <v>806.45</v>
      </c>
      <c r="AM535">
        <v>0</v>
      </c>
      <c r="AN535">
        <v>0</v>
      </c>
      <c r="AO535">
        <v>0</v>
      </c>
    </row>
    <row r="536" spans="1:41">
      <c r="A536">
        <v>535</v>
      </c>
      <c r="B536" s="42">
        <v>45954</v>
      </c>
      <c r="C536" t="str">
        <v>HINJEWADI</v>
      </c>
      <c r="D536" t="str">
        <v>SLK1</v>
      </c>
      <c r="E536" t="str">
        <v>SHADOWFAX TECHNOLOGIES PRIVATE LIMITED</v>
      </c>
      <c r="F536" t="str">
        <v>MH12WX6236</v>
      </c>
      <c r="G536" t="str">
        <v>ACE</v>
      </c>
      <c r="H536" t="str">
        <v>CNG</v>
      </c>
      <c r="I536">
        <v>4</v>
      </c>
      <c r="J536">
        <v>8</v>
      </c>
      <c r="K536">
        <v>25000</v>
      </c>
      <c r="L536">
        <v>1000</v>
      </c>
      <c r="M536">
        <v>55</v>
      </c>
      <c r="N536">
        <v>31</v>
      </c>
      <c r="O536" t="str">
        <v>PUN01 NC Cluster 140</v>
      </c>
      <c r="P536">
        <v>0</v>
      </c>
      <c r="Q536">
        <v>4.8611111111111112E-2</v>
      </c>
      <c r="R536">
        <v>4.8611111111111112E-2</v>
      </c>
      <c r="S536">
        <v>39009</v>
      </c>
      <c r="T536">
        <v>0.31597222222222221</v>
      </c>
      <c r="U536">
        <v>0.31597222222222221</v>
      </c>
      <c r="V536">
        <v>39034</v>
      </c>
      <c r="W536">
        <v>46</v>
      </c>
      <c r="X536">
        <v>46</v>
      </c>
      <c r="Y536">
        <v>0</v>
      </c>
      <c r="Z536">
        <v>25</v>
      </c>
      <c r="AA536">
        <v>25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806.45</v>
      </c>
      <c r="AK536">
        <v>0</v>
      </c>
      <c r="AL536">
        <v>806.45</v>
      </c>
      <c r="AM536">
        <v>0</v>
      </c>
      <c r="AN536">
        <v>0</v>
      </c>
      <c r="AO536">
        <v>0</v>
      </c>
    </row>
    <row r="537" spans="1:41">
      <c r="A537">
        <v>536</v>
      </c>
      <c r="B537" s="42">
        <v>45954</v>
      </c>
      <c r="C537" t="str">
        <v>HINJEWADI</v>
      </c>
      <c r="D537" t="str">
        <v>SLK1</v>
      </c>
      <c r="E537" t="str">
        <v>SHADOWFAX TECHNOLOGIES PRIVATE LIMITED</v>
      </c>
      <c r="F537" t="str">
        <v>MH14JL3308</v>
      </c>
      <c r="G537" t="str">
        <v>ACE</v>
      </c>
      <c r="H537" t="str">
        <v>CNG</v>
      </c>
      <c r="I537">
        <v>4</v>
      </c>
      <c r="J537">
        <v>8</v>
      </c>
      <c r="K537">
        <v>25000</v>
      </c>
      <c r="L537">
        <v>1000</v>
      </c>
      <c r="M537">
        <v>55</v>
      </c>
      <c r="N537">
        <v>31</v>
      </c>
      <c r="O537" t="str">
        <v>PUN01 NC Cluster 19</v>
      </c>
      <c r="P537">
        <v>0</v>
      </c>
      <c r="Q537">
        <v>5.2777777777777778E-2</v>
      </c>
      <c r="R537">
        <v>5.2777777777777778E-2</v>
      </c>
      <c r="S537">
        <v>116414</v>
      </c>
      <c r="T537">
        <v>0.34375</v>
      </c>
      <c r="U537">
        <v>0.34375</v>
      </c>
      <c r="V537">
        <v>116434</v>
      </c>
      <c r="W537">
        <v>54</v>
      </c>
      <c r="X537">
        <v>54</v>
      </c>
      <c r="Y537">
        <v>0</v>
      </c>
      <c r="Z537">
        <v>20</v>
      </c>
      <c r="AA537">
        <v>20</v>
      </c>
      <c r="AB537">
        <v>0</v>
      </c>
      <c r="AC537">
        <v>0</v>
      </c>
      <c r="AD537">
        <v>1</v>
      </c>
      <c r="AE537">
        <v>150</v>
      </c>
      <c r="AF537">
        <v>0</v>
      </c>
      <c r="AG537">
        <v>0</v>
      </c>
      <c r="AH537">
        <v>0</v>
      </c>
      <c r="AI537">
        <v>0</v>
      </c>
      <c r="AJ537">
        <v>956.45</v>
      </c>
      <c r="AK537">
        <v>0</v>
      </c>
      <c r="AL537">
        <v>956.45</v>
      </c>
      <c r="AM537">
        <v>0</v>
      </c>
      <c r="AN537">
        <v>0</v>
      </c>
      <c r="AO537">
        <v>0</v>
      </c>
    </row>
    <row r="538" spans="1:41">
      <c r="A538">
        <v>537</v>
      </c>
      <c r="B538" s="42">
        <v>45954</v>
      </c>
      <c r="C538" t="str">
        <v>HINJEWADI</v>
      </c>
      <c r="D538" t="str">
        <v>SLK1</v>
      </c>
      <c r="E538" t="str">
        <v>SHADOWFAX TECHNOLOGIES PRIVATE LIMITED</v>
      </c>
      <c r="F538" t="str">
        <v>MH14LL6836</v>
      </c>
      <c r="G538" t="str">
        <v>ACE</v>
      </c>
      <c r="H538" t="str">
        <v>CNG</v>
      </c>
      <c r="I538">
        <v>6</v>
      </c>
      <c r="J538">
        <v>8</v>
      </c>
      <c r="K538">
        <v>33000</v>
      </c>
      <c r="L538">
        <v>2000</v>
      </c>
      <c r="M538">
        <v>55</v>
      </c>
      <c r="N538">
        <v>31</v>
      </c>
      <c r="O538" t="str">
        <v>PUN01 NC Cluster 303</v>
      </c>
      <c r="P538">
        <v>0</v>
      </c>
      <c r="Q538">
        <v>5.9722222222222225E-2</v>
      </c>
      <c r="R538">
        <v>5.9722222222222225E-2</v>
      </c>
      <c r="S538">
        <v>34869</v>
      </c>
      <c r="T538">
        <v>0.28472222222222221</v>
      </c>
      <c r="U538">
        <v>0.28472222222222221</v>
      </c>
      <c r="V538">
        <v>34936</v>
      </c>
      <c r="W538">
        <v>27</v>
      </c>
      <c r="X538">
        <v>27</v>
      </c>
      <c r="Y538">
        <v>0</v>
      </c>
      <c r="Z538">
        <v>67</v>
      </c>
      <c r="AA538">
        <v>67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1064.52</v>
      </c>
      <c r="AK538">
        <v>0</v>
      </c>
      <c r="AL538">
        <v>1064.52</v>
      </c>
      <c r="AM538">
        <v>0</v>
      </c>
      <c r="AN538">
        <v>0</v>
      </c>
      <c r="AO538">
        <v>0</v>
      </c>
    </row>
    <row r="539" spans="1:41">
      <c r="A539">
        <v>538</v>
      </c>
      <c r="B539" s="42">
        <v>45954</v>
      </c>
      <c r="C539" t="str">
        <v>HINJEWADI</v>
      </c>
      <c r="D539" t="str">
        <v>SLK1</v>
      </c>
      <c r="E539" t="str">
        <v>SHADOWFAX TECHNOLOGIES PRIVATE LIMITED</v>
      </c>
      <c r="F539" t="str">
        <v>MH12UM3063</v>
      </c>
      <c r="G539" t="str">
        <v>ACE</v>
      </c>
      <c r="H539" t="str">
        <v>CNG</v>
      </c>
      <c r="I539">
        <v>6</v>
      </c>
      <c r="J539">
        <v>8</v>
      </c>
      <c r="K539">
        <v>33000</v>
      </c>
      <c r="L539">
        <v>2000</v>
      </c>
      <c r="M539">
        <v>55</v>
      </c>
      <c r="N539">
        <v>31</v>
      </c>
      <c r="O539" t="str">
        <v>PUN01 NC Cluster 237</v>
      </c>
      <c r="P539">
        <v>0</v>
      </c>
      <c r="Q539">
        <v>7.1527777777777787E-2</v>
      </c>
      <c r="R539">
        <v>7.1527777777777787E-2</v>
      </c>
      <c r="S539">
        <v>101569</v>
      </c>
      <c r="T539">
        <v>0.37291666666666662</v>
      </c>
      <c r="U539">
        <v>0.37291666666666662</v>
      </c>
      <c r="V539">
        <v>101612</v>
      </c>
      <c r="W539">
        <v>58</v>
      </c>
      <c r="X539">
        <v>58</v>
      </c>
      <c r="Y539">
        <v>0</v>
      </c>
      <c r="Z539">
        <v>43</v>
      </c>
      <c r="AA539">
        <v>43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1064.52</v>
      </c>
      <c r="AK539">
        <v>0</v>
      </c>
      <c r="AL539">
        <v>1064.52</v>
      </c>
      <c r="AM539">
        <v>0</v>
      </c>
      <c r="AN539">
        <v>0</v>
      </c>
      <c r="AO539">
        <v>0</v>
      </c>
    </row>
    <row r="540" spans="1:41">
      <c r="A540">
        <v>539</v>
      </c>
      <c r="B540" s="42">
        <v>45954</v>
      </c>
      <c r="C540" t="str">
        <v>HINJEWADI</v>
      </c>
      <c r="D540" t="str">
        <v>SLK1</v>
      </c>
      <c r="E540" t="str">
        <v>SHADOWFAX TECHNOLOGIES PRIVATE LIMITED</v>
      </c>
      <c r="F540" t="str">
        <v>MH14LX4839</v>
      </c>
      <c r="G540" t="str">
        <v>BOLERO</v>
      </c>
      <c r="H540" t="str">
        <v>DIESEL</v>
      </c>
      <c r="I540">
        <v>4</v>
      </c>
      <c r="J540">
        <v>10</v>
      </c>
      <c r="K540">
        <v>29000</v>
      </c>
      <c r="L540">
        <v>1000</v>
      </c>
      <c r="M540">
        <v>55</v>
      </c>
      <c r="N540">
        <v>31</v>
      </c>
      <c r="O540" t="str">
        <v>PUN01 NC Cluster 131</v>
      </c>
      <c r="P540">
        <v>0</v>
      </c>
      <c r="Q540">
        <v>7.2222222222222229E-2</v>
      </c>
      <c r="R540">
        <v>7.2222222222222229E-2</v>
      </c>
      <c r="S540">
        <v>39643</v>
      </c>
      <c r="T540">
        <v>0.3125</v>
      </c>
      <c r="U540">
        <v>0.3125</v>
      </c>
      <c r="V540">
        <v>39674</v>
      </c>
      <c r="W540">
        <v>63</v>
      </c>
      <c r="X540">
        <v>63</v>
      </c>
      <c r="Y540">
        <v>0</v>
      </c>
      <c r="Z540">
        <v>31</v>
      </c>
      <c r="AA540">
        <v>31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935.48</v>
      </c>
      <c r="AK540">
        <v>0</v>
      </c>
      <c r="AL540">
        <v>935.48</v>
      </c>
      <c r="AM540">
        <v>0</v>
      </c>
      <c r="AN540">
        <v>0</v>
      </c>
      <c r="AO540">
        <v>0</v>
      </c>
    </row>
    <row r="541" spans="1:41">
      <c r="A541">
        <v>540</v>
      </c>
      <c r="B541" s="42">
        <v>45954</v>
      </c>
      <c r="C541" t="str">
        <v>HINJEWADI</v>
      </c>
      <c r="D541" t="str">
        <v>SLK1</v>
      </c>
      <c r="E541" t="str">
        <v>SHADOWFAX TECHNOLOGIES PRIVATE LIMITED</v>
      </c>
      <c r="F541" t="str">
        <v>MH14KA0766</v>
      </c>
      <c r="G541" t="str">
        <v>ACE</v>
      </c>
      <c r="H541" t="str">
        <v>CNG</v>
      </c>
      <c r="I541">
        <v>4</v>
      </c>
      <c r="J541">
        <v>8</v>
      </c>
      <c r="K541">
        <v>25000</v>
      </c>
      <c r="L541">
        <v>1000</v>
      </c>
      <c r="M541">
        <v>55</v>
      </c>
      <c r="N541">
        <v>31</v>
      </c>
      <c r="O541" t="str">
        <v>PUN01 NC Cluster 10</v>
      </c>
      <c r="P541">
        <v>0</v>
      </c>
      <c r="Q541">
        <v>8.1250000000000003E-2</v>
      </c>
      <c r="R541">
        <v>8.1250000000000003E-2</v>
      </c>
      <c r="S541">
        <v>145462</v>
      </c>
      <c r="T541">
        <v>0.30763888888888891</v>
      </c>
      <c r="U541">
        <v>0.30763888888888891</v>
      </c>
      <c r="V541">
        <v>145489</v>
      </c>
      <c r="W541">
        <v>55</v>
      </c>
      <c r="X541">
        <v>55</v>
      </c>
      <c r="Y541">
        <v>0</v>
      </c>
      <c r="Z541">
        <v>27</v>
      </c>
      <c r="AA541">
        <v>27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806.45</v>
      </c>
      <c r="AK541">
        <v>0</v>
      </c>
      <c r="AL541">
        <v>806.45</v>
      </c>
      <c r="AM541">
        <v>0</v>
      </c>
      <c r="AN541">
        <v>0</v>
      </c>
      <c r="AO541">
        <v>0</v>
      </c>
    </row>
    <row r="542" spans="1:41">
      <c r="A542">
        <v>541</v>
      </c>
      <c r="B542" s="42">
        <v>45954</v>
      </c>
      <c r="C542" t="str">
        <v>HINJEWADI</v>
      </c>
      <c r="D542" t="str">
        <v>SLK1</v>
      </c>
      <c r="E542" t="str">
        <v>SHADOWFAX TECHNOLOGIES PRIVATE LIMITED</v>
      </c>
      <c r="F542" t="str">
        <v>MH14LB4598</v>
      </c>
      <c r="G542" t="str">
        <v>ACE</v>
      </c>
      <c r="H542" t="str">
        <v>CNG</v>
      </c>
      <c r="I542">
        <v>4</v>
      </c>
      <c r="J542">
        <v>8</v>
      </c>
      <c r="K542">
        <v>25000</v>
      </c>
      <c r="L542">
        <v>1000</v>
      </c>
      <c r="M542">
        <v>55</v>
      </c>
      <c r="N542">
        <v>31</v>
      </c>
      <c r="O542" t="str">
        <v>PUN01 NC Cluster 93</v>
      </c>
      <c r="P542">
        <v>0</v>
      </c>
      <c r="Q542">
        <v>8.2638888888888887E-2</v>
      </c>
      <c r="R542">
        <v>8.2638888888888887E-2</v>
      </c>
      <c r="S542">
        <v>66512</v>
      </c>
      <c r="T542">
        <v>0.34930555555555554</v>
      </c>
      <c r="U542">
        <v>0.34930555555555554</v>
      </c>
      <c r="V542">
        <v>66531</v>
      </c>
      <c r="W542">
        <v>24</v>
      </c>
      <c r="X542">
        <v>24</v>
      </c>
      <c r="Y542">
        <v>0</v>
      </c>
      <c r="Z542">
        <v>19</v>
      </c>
      <c r="AA542">
        <v>19</v>
      </c>
      <c r="AB542">
        <v>0</v>
      </c>
      <c r="AC542">
        <v>0</v>
      </c>
      <c r="AD542">
        <v>1</v>
      </c>
      <c r="AE542">
        <v>150</v>
      </c>
      <c r="AF542">
        <v>0</v>
      </c>
      <c r="AG542">
        <v>0</v>
      </c>
      <c r="AH542">
        <v>0</v>
      </c>
      <c r="AI542">
        <v>0</v>
      </c>
      <c r="AJ542">
        <v>956.45</v>
      </c>
      <c r="AK542">
        <v>0</v>
      </c>
      <c r="AL542">
        <v>956.45</v>
      </c>
      <c r="AM542">
        <v>0</v>
      </c>
      <c r="AN542">
        <v>0</v>
      </c>
      <c r="AO542">
        <v>0</v>
      </c>
    </row>
    <row r="543" spans="1:41">
      <c r="A543">
        <v>542</v>
      </c>
      <c r="B543" s="42">
        <v>45954</v>
      </c>
      <c r="C543" t="str">
        <v>HINJEWADI</v>
      </c>
      <c r="D543" t="str">
        <v>SLK1</v>
      </c>
      <c r="E543" t="str">
        <v>SHADOWFAX TECHNOLOGIES PRIVATE LIMITED</v>
      </c>
      <c r="F543" t="str">
        <v>MH14LB5906</v>
      </c>
      <c r="G543" t="str">
        <v>ACE</v>
      </c>
      <c r="H543" t="str">
        <v>CNG</v>
      </c>
      <c r="I543">
        <v>4</v>
      </c>
      <c r="J543">
        <v>8</v>
      </c>
      <c r="K543">
        <v>25000</v>
      </c>
      <c r="L543">
        <v>1000</v>
      </c>
      <c r="M543">
        <v>55</v>
      </c>
      <c r="N543">
        <v>31</v>
      </c>
      <c r="O543" t="str">
        <v>PUN01 NC Cluster 41</v>
      </c>
      <c r="P543">
        <v>0</v>
      </c>
      <c r="Q543">
        <v>8.3333333333333329E-2</v>
      </c>
      <c r="R543">
        <v>8.3333333333333329E-2</v>
      </c>
      <c r="S543">
        <v>45263</v>
      </c>
      <c r="T543">
        <v>0.34722222222222227</v>
      </c>
      <c r="U543">
        <v>0.34722222222222227</v>
      </c>
      <c r="V543">
        <v>45290</v>
      </c>
      <c r="W543">
        <v>25</v>
      </c>
      <c r="X543">
        <v>25</v>
      </c>
      <c r="Y543">
        <v>0</v>
      </c>
      <c r="Z543">
        <v>27</v>
      </c>
      <c r="AA543">
        <v>27</v>
      </c>
      <c r="AB543">
        <v>0</v>
      </c>
      <c r="AC543">
        <v>0</v>
      </c>
      <c r="AD543">
        <v>1</v>
      </c>
      <c r="AE543">
        <v>150</v>
      </c>
      <c r="AF543">
        <v>0</v>
      </c>
      <c r="AG543">
        <v>0</v>
      </c>
      <c r="AH543">
        <v>0</v>
      </c>
      <c r="AI543">
        <v>0</v>
      </c>
      <c r="AJ543">
        <v>956.45</v>
      </c>
      <c r="AK543">
        <v>0</v>
      </c>
      <c r="AL543">
        <v>956.45</v>
      </c>
      <c r="AM543">
        <v>0</v>
      </c>
      <c r="AN543">
        <v>0</v>
      </c>
      <c r="AO543">
        <v>0</v>
      </c>
    </row>
    <row r="544" spans="1:41">
      <c r="A544">
        <v>543</v>
      </c>
      <c r="B544" s="42">
        <v>45954</v>
      </c>
      <c r="C544" t="str">
        <v>HINJEWADI</v>
      </c>
      <c r="D544" t="str">
        <v>SLK1</v>
      </c>
      <c r="E544" t="str">
        <v>SHADOWFAX TECHNOLOGIES PRIVATE LIMITED</v>
      </c>
      <c r="F544" t="str">
        <v>MH14KA2871</v>
      </c>
      <c r="G544" t="str">
        <v>ACE</v>
      </c>
      <c r="H544" t="str">
        <v>CNG</v>
      </c>
      <c r="I544">
        <v>4</v>
      </c>
      <c r="J544">
        <v>8</v>
      </c>
      <c r="K544">
        <v>25000</v>
      </c>
      <c r="L544">
        <v>1000</v>
      </c>
      <c r="M544">
        <v>55</v>
      </c>
      <c r="N544">
        <v>31</v>
      </c>
      <c r="O544" t="str">
        <v>PUN01 NC Cluster 130</v>
      </c>
      <c r="P544">
        <v>0</v>
      </c>
      <c r="Q544">
        <v>8.819444444444445E-2</v>
      </c>
      <c r="R544">
        <v>8.819444444444445E-2</v>
      </c>
      <c r="S544">
        <v>79181</v>
      </c>
      <c r="T544">
        <v>0.32361111111111113</v>
      </c>
      <c r="U544">
        <v>0.32361111111111113</v>
      </c>
      <c r="V544">
        <v>79209</v>
      </c>
      <c r="W544">
        <v>42</v>
      </c>
      <c r="X544">
        <v>42</v>
      </c>
      <c r="Y544">
        <v>0</v>
      </c>
      <c r="Z544">
        <v>28</v>
      </c>
      <c r="AA544">
        <v>28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806.45</v>
      </c>
      <c r="AK544">
        <v>0</v>
      </c>
      <c r="AL544">
        <v>806.45</v>
      </c>
      <c r="AM544">
        <v>0</v>
      </c>
      <c r="AN544">
        <v>0</v>
      </c>
      <c r="AO544">
        <v>0</v>
      </c>
    </row>
    <row r="545" spans="1:41">
      <c r="A545">
        <v>544</v>
      </c>
      <c r="B545" s="42">
        <v>45954</v>
      </c>
      <c r="C545" t="str">
        <v>HINJEWADI</v>
      </c>
      <c r="D545" t="str">
        <v>SLK1</v>
      </c>
      <c r="E545" t="str">
        <v>SHADOWFAX TECHNOLOGIES PRIVATE LIMITED</v>
      </c>
      <c r="F545" t="str">
        <v>MH14CP4610</v>
      </c>
      <c r="G545" t="str">
        <v>ACE</v>
      </c>
      <c r="H545" t="str">
        <v>CNG</v>
      </c>
      <c r="I545">
        <v>4</v>
      </c>
      <c r="J545">
        <v>8</v>
      </c>
      <c r="K545">
        <v>25000</v>
      </c>
      <c r="L545">
        <v>1000</v>
      </c>
      <c r="M545">
        <v>55</v>
      </c>
      <c r="N545">
        <v>31</v>
      </c>
      <c r="O545" t="str">
        <v>PUN01 NC Cluster 87</v>
      </c>
      <c r="P545">
        <v>0</v>
      </c>
      <c r="Q545">
        <v>8.8888888888888892E-2</v>
      </c>
      <c r="R545">
        <v>8.8888888888888892E-2</v>
      </c>
      <c r="S545">
        <v>145507</v>
      </c>
      <c r="T545">
        <v>0.28472222222222221</v>
      </c>
      <c r="U545">
        <v>0.28472222222222221</v>
      </c>
      <c r="V545">
        <v>145528</v>
      </c>
      <c r="W545">
        <v>20</v>
      </c>
      <c r="X545">
        <v>20</v>
      </c>
      <c r="Y545">
        <v>0</v>
      </c>
      <c r="Z545">
        <v>21</v>
      </c>
      <c r="AA545">
        <v>21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806.45</v>
      </c>
      <c r="AK545">
        <v>0</v>
      </c>
      <c r="AL545">
        <v>806.45</v>
      </c>
      <c r="AM545">
        <v>0</v>
      </c>
      <c r="AN545">
        <v>0</v>
      </c>
      <c r="AO545">
        <v>0</v>
      </c>
    </row>
    <row r="546" spans="1:41">
      <c r="A546">
        <v>545</v>
      </c>
      <c r="B546" s="42">
        <v>45954</v>
      </c>
      <c r="C546" t="str">
        <v>HINJEWADI</v>
      </c>
      <c r="D546" t="str">
        <v>SLK1</v>
      </c>
      <c r="E546" t="str">
        <v>SHADOWFAX TECHNOLOGIES PRIVATE LIMITED</v>
      </c>
      <c r="F546" t="str">
        <v>MH16CD7321</v>
      </c>
      <c r="G546" t="str">
        <v>BOLERO</v>
      </c>
      <c r="H546" t="str">
        <v>DIESEL</v>
      </c>
      <c r="I546">
        <v>4</v>
      </c>
      <c r="J546">
        <v>10</v>
      </c>
      <c r="K546">
        <v>29000</v>
      </c>
      <c r="L546">
        <v>1000</v>
      </c>
      <c r="M546">
        <v>55</v>
      </c>
      <c r="N546">
        <v>31</v>
      </c>
      <c r="O546" t="str">
        <v>PUN01 NC Cluster 71</v>
      </c>
      <c r="P546">
        <v>0</v>
      </c>
      <c r="Q546">
        <v>9.0277777777777776E-2</v>
      </c>
      <c r="R546">
        <v>9.0277777777777776E-2</v>
      </c>
      <c r="S546">
        <v>139671</v>
      </c>
      <c r="T546">
        <v>0</v>
      </c>
      <c r="U546">
        <v>0</v>
      </c>
      <c r="V546">
        <v>139671</v>
      </c>
      <c r="W546">
        <v>36</v>
      </c>
      <c r="X546">
        <v>36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935.48</v>
      </c>
      <c r="AK546">
        <v>0</v>
      </c>
      <c r="AL546">
        <v>935.48</v>
      </c>
      <c r="AM546">
        <v>0</v>
      </c>
      <c r="AN546">
        <v>0</v>
      </c>
      <c r="AO546">
        <v>0</v>
      </c>
    </row>
    <row r="547" spans="1:41">
      <c r="A547">
        <v>546</v>
      </c>
      <c r="B547" s="42">
        <v>45954</v>
      </c>
      <c r="C547" t="str">
        <v>HINJEWADI</v>
      </c>
      <c r="D547" t="str">
        <v>SLK1</v>
      </c>
      <c r="E547" t="str">
        <v>SHADOWFAX TECHNOLOGIES PRIVATE LIMITED</v>
      </c>
      <c r="F547" t="str">
        <v>MH14LL5974</v>
      </c>
      <c r="G547" t="str">
        <v>ACE</v>
      </c>
      <c r="H547" t="str">
        <v>CNG</v>
      </c>
      <c r="I547">
        <v>4</v>
      </c>
      <c r="J547">
        <v>8</v>
      </c>
      <c r="K547">
        <v>25000</v>
      </c>
      <c r="L547">
        <v>1000</v>
      </c>
      <c r="M547">
        <v>55</v>
      </c>
      <c r="N547">
        <v>31</v>
      </c>
      <c r="O547" t="str">
        <v>PUN01 NC Cluster 6</v>
      </c>
      <c r="P547">
        <v>0</v>
      </c>
      <c r="Q547">
        <v>9.2361111111111116E-2</v>
      </c>
      <c r="R547">
        <v>9.2361111111111116E-2</v>
      </c>
      <c r="S547">
        <v>37498</v>
      </c>
      <c r="T547">
        <v>0.29236111111111113</v>
      </c>
      <c r="U547">
        <v>0.29236111111111113</v>
      </c>
      <c r="V547">
        <v>37540</v>
      </c>
      <c r="W547">
        <v>19</v>
      </c>
      <c r="X547">
        <v>19</v>
      </c>
      <c r="Y547">
        <v>0</v>
      </c>
      <c r="Z547">
        <v>42</v>
      </c>
      <c r="AA547">
        <v>42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806.45</v>
      </c>
      <c r="AK547">
        <v>0</v>
      </c>
      <c r="AL547">
        <v>806.45</v>
      </c>
      <c r="AM547">
        <v>0</v>
      </c>
      <c r="AN547">
        <v>0</v>
      </c>
      <c r="AO547">
        <v>0</v>
      </c>
    </row>
    <row r="548" spans="1:41">
      <c r="A548">
        <v>547</v>
      </c>
      <c r="B548" s="42">
        <v>45954</v>
      </c>
      <c r="C548" t="str">
        <v>HINJEWADI</v>
      </c>
      <c r="D548" t="str">
        <v>SLK1</v>
      </c>
      <c r="E548" t="str">
        <v>SHADOWFAX TECHNOLOGIES PRIVATE LIMITED</v>
      </c>
      <c r="F548" t="str">
        <v>MH14KA6513</v>
      </c>
      <c r="G548" t="str">
        <v>ACE</v>
      </c>
      <c r="H548" t="str">
        <v>CNG</v>
      </c>
      <c r="I548">
        <v>6</v>
      </c>
      <c r="J548">
        <v>8</v>
      </c>
      <c r="K548">
        <v>33000</v>
      </c>
      <c r="L548">
        <v>2000</v>
      </c>
      <c r="M548">
        <v>55</v>
      </c>
      <c r="N548">
        <v>31</v>
      </c>
      <c r="O548" t="str">
        <v>PUN01 NC Cluster 299</v>
      </c>
      <c r="P548">
        <v>0</v>
      </c>
      <c r="Q548">
        <v>9.6527777777777768E-2</v>
      </c>
      <c r="R548">
        <v>9.6527777777777768E-2</v>
      </c>
      <c r="S548">
        <v>48614</v>
      </c>
      <c r="T548">
        <v>0.34930555555555554</v>
      </c>
      <c r="U548">
        <v>0.34930555555555554</v>
      </c>
      <c r="V548">
        <v>48674</v>
      </c>
      <c r="W548">
        <v>33</v>
      </c>
      <c r="X548">
        <v>33</v>
      </c>
      <c r="Y548">
        <v>0</v>
      </c>
      <c r="Z548">
        <v>60</v>
      </c>
      <c r="AA548">
        <v>60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1064.52</v>
      </c>
      <c r="AK548">
        <v>0</v>
      </c>
      <c r="AL548">
        <v>1064.52</v>
      </c>
      <c r="AM548">
        <v>0</v>
      </c>
      <c r="AN548">
        <v>0</v>
      </c>
      <c r="AO548">
        <v>0</v>
      </c>
    </row>
    <row r="549" spans="1:41">
      <c r="A549">
        <v>548</v>
      </c>
      <c r="B549" s="42">
        <v>45954</v>
      </c>
      <c r="C549" t="str">
        <v>HINJEWADI</v>
      </c>
      <c r="D549" t="str">
        <v>SLK1</v>
      </c>
      <c r="E549" t="str">
        <v>SHADOWFAX TECHNOLOGIES PRIVATE LIMITED</v>
      </c>
      <c r="F549" t="str">
        <v>MH14MH7322</v>
      </c>
      <c r="G549" t="str">
        <v>BOLERO</v>
      </c>
      <c r="H549" t="str">
        <v>DIESEL</v>
      </c>
      <c r="I549">
        <v>4</v>
      </c>
      <c r="J549">
        <v>10</v>
      </c>
      <c r="K549">
        <v>29000</v>
      </c>
      <c r="L549">
        <v>1000</v>
      </c>
      <c r="M549">
        <v>55</v>
      </c>
      <c r="N549">
        <v>31</v>
      </c>
      <c r="O549" t="str">
        <v>PUN01 NC Cluster 155</v>
      </c>
      <c r="P549">
        <v>0</v>
      </c>
      <c r="Q549">
        <v>0.10555555555555556</v>
      </c>
      <c r="R549">
        <v>0.10555555555555556</v>
      </c>
      <c r="S549">
        <v>3646</v>
      </c>
      <c r="T549">
        <v>0.3354166666666667</v>
      </c>
      <c r="U549">
        <v>0.3354166666666667</v>
      </c>
      <c r="V549">
        <v>3676</v>
      </c>
      <c r="W549">
        <v>44</v>
      </c>
      <c r="X549">
        <v>44</v>
      </c>
      <c r="Y549">
        <v>0</v>
      </c>
      <c r="Z549">
        <v>30</v>
      </c>
      <c r="AA549">
        <v>30</v>
      </c>
      <c r="AB549">
        <v>0</v>
      </c>
      <c r="AC549">
        <v>0</v>
      </c>
      <c r="AD549">
        <v>1</v>
      </c>
      <c r="AE549">
        <v>150</v>
      </c>
      <c r="AF549">
        <v>0</v>
      </c>
      <c r="AG549">
        <v>0</v>
      </c>
      <c r="AH549">
        <v>0</v>
      </c>
      <c r="AI549">
        <v>0</v>
      </c>
      <c r="AJ549">
        <v>1085.48</v>
      </c>
      <c r="AK549">
        <v>0</v>
      </c>
      <c r="AL549">
        <v>1085.48</v>
      </c>
      <c r="AM549">
        <v>0</v>
      </c>
      <c r="AN549">
        <v>0</v>
      </c>
      <c r="AO549">
        <v>0</v>
      </c>
    </row>
    <row r="550" spans="1:41">
      <c r="A550">
        <v>549</v>
      </c>
      <c r="B550" s="42">
        <v>45954</v>
      </c>
      <c r="C550" t="str">
        <v>HINJEWADI</v>
      </c>
      <c r="D550" t="str">
        <v>SLK1</v>
      </c>
      <c r="E550" t="str">
        <v>SHADOWFAX TECHNOLOGIES PRIVATE LIMITED</v>
      </c>
      <c r="F550" t="str">
        <v>MH20GC8804</v>
      </c>
      <c r="G550" t="str">
        <v>ACE</v>
      </c>
      <c r="H550" t="str">
        <v>CNG</v>
      </c>
      <c r="I550">
        <v>4</v>
      </c>
      <c r="J550">
        <v>8</v>
      </c>
      <c r="K550">
        <v>25000</v>
      </c>
      <c r="L550">
        <v>1000</v>
      </c>
      <c r="M550">
        <v>55</v>
      </c>
      <c r="N550">
        <v>31</v>
      </c>
      <c r="O550" t="str">
        <v>PUN01 NC Cluster 61</v>
      </c>
      <c r="P550">
        <v>0</v>
      </c>
      <c r="Q550">
        <v>0.10972222222222222</v>
      </c>
      <c r="R550">
        <v>0.10972222222222222</v>
      </c>
      <c r="S550">
        <v>41976</v>
      </c>
      <c r="T550">
        <v>0.34027777777777773</v>
      </c>
      <c r="U550">
        <v>0.34027777777777773</v>
      </c>
      <c r="V550">
        <v>42004</v>
      </c>
      <c r="W550">
        <v>30</v>
      </c>
      <c r="X550">
        <v>30</v>
      </c>
      <c r="Y550">
        <v>0</v>
      </c>
      <c r="Z550">
        <v>28</v>
      </c>
      <c r="AA550">
        <v>28</v>
      </c>
      <c r="AB550">
        <v>0</v>
      </c>
      <c r="AC550">
        <v>0</v>
      </c>
      <c r="AD550">
        <v>1</v>
      </c>
      <c r="AE550">
        <v>150</v>
      </c>
      <c r="AF550">
        <v>0</v>
      </c>
      <c r="AG550">
        <v>0</v>
      </c>
      <c r="AH550">
        <v>0</v>
      </c>
      <c r="AI550">
        <v>0</v>
      </c>
      <c r="AJ550">
        <v>956.45</v>
      </c>
      <c r="AK550">
        <v>0</v>
      </c>
      <c r="AL550">
        <v>956.45</v>
      </c>
      <c r="AM550">
        <v>0</v>
      </c>
      <c r="AN550">
        <v>0</v>
      </c>
      <c r="AO550">
        <v>0</v>
      </c>
    </row>
    <row r="551" spans="1:41">
      <c r="A551">
        <v>550</v>
      </c>
      <c r="B551" s="42">
        <v>45954</v>
      </c>
      <c r="C551" t="str">
        <v>HINJEWADI</v>
      </c>
      <c r="D551" t="str">
        <v>SLK1</v>
      </c>
      <c r="E551" t="str">
        <v>SHADOWFAX TECHNOLOGIES PRIVATE LIMITED</v>
      </c>
      <c r="F551" t="str">
        <v>MH14KQ0279</v>
      </c>
      <c r="G551" t="str">
        <v>ACE</v>
      </c>
      <c r="H551" t="str">
        <v>CNG</v>
      </c>
      <c r="I551">
        <v>4</v>
      </c>
      <c r="J551">
        <v>8</v>
      </c>
      <c r="K551">
        <v>25000</v>
      </c>
      <c r="L551">
        <v>1000</v>
      </c>
      <c r="M551">
        <v>55</v>
      </c>
      <c r="N551">
        <v>31</v>
      </c>
      <c r="O551" t="str">
        <v>PUN01 NC Cluster 201</v>
      </c>
      <c r="P551">
        <v>0</v>
      </c>
      <c r="Q551">
        <v>0.10972222222222222</v>
      </c>
      <c r="R551">
        <v>0.10972222222222222</v>
      </c>
      <c r="S551">
        <v>118893</v>
      </c>
      <c r="T551">
        <v>0.34097222222222223</v>
      </c>
      <c r="U551">
        <v>0.34097222222222223</v>
      </c>
      <c r="V551">
        <v>118921</v>
      </c>
      <c r="W551">
        <v>31</v>
      </c>
      <c r="X551">
        <v>31</v>
      </c>
      <c r="Y551">
        <v>0</v>
      </c>
      <c r="Z551">
        <v>28</v>
      </c>
      <c r="AA551">
        <v>28</v>
      </c>
      <c r="AB551">
        <v>0</v>
      </c>
      <c r="AC551">
        <v>0</v>
      </c>
      <c r="AD551">
        <v>1</v>
      </c>
      <c r="AE551">
        <v>150</v>
      </c>
      <c r="AF551">
        <v>0</v>
      </c>
      <c r="AG551">
        <v>0</v>
      </c>
      <c r="AH551">
        <v>0</v>
      </c>
      <c r="AI551">
        <v>0</v>
      </c>
      <c r="AJ551">
        <v>956.45</v>
      </c>
      <c r="AK551">
        <v>0</v>
      </c>
      <c r="AL551">
        <v>956.45</v>
      </c>
      <c r="AM551">
        <v>0</v>
      </c>
      <c r="AN551">
        <v>0</v>
      </c>
      <c r="AO551">
        <v>0</v>
      </c>
    </row>
    <row r="552" spans="1:41">
      <c r="A552">
        <v>551</v>
      </c>
      <c r="B552" s="42">
        <v>45954</v>
      </c>
      <c r="C552" t="str">
        <v>HINJEWADI</v>
      </c>
      <c r="D552" t="str">
        <v>SLK1</v>
      </c>
      <c r="E552" t="str">
        <v>SHADOWFAX TECHNOLOGIES PRIVATE LIMITED</v>
      </c>
      <c r="F552" t="str">
        <v>MH14KQ4401</v>
      </c>
      <c r="G552" t="str">
        <v>ACE</v>
      </c>
      <c r="H552" t="str">
        <v>CNG</v>
      </c>
      <c r="I552">
        <v>4</v>
      </c>
      <c r="J552">
        <v>8</v>
      </c>
      <c r="K552">
        <v>25000</v>
      </c>
      <c r="L552">
        <v>1000</v>
      </c>
      <c r="M552">
        <v>55</v>
      </c>
      <c r="N552">
        <v>31</v>
      </c>
      <c r="O552" t="str">
        <v>PUN01 NC Cluster</v>
      </c>
      <c r="P552">
        <v>0</v>
      </c>
      <c r="Q552">
        <v>0.11944444444444445</v>
      </c>
      <c r="R552">
        <v>0.11944444444444445</v>
      </c>
      <c r="S552">
        <v>76216</v>
      </c>
      <c r="T552">
        <v>0.3430555555555555</v>
      </c>
      <c r="U552">
        <v>0.3430555555555555</v>
      </c>
      <c r="V552">
        <v>76230</v>
      </c>
      <c r="W552">
        <v>0</v>
      </c>
      <c r="X552">
        <v>0</v>
      </c>
      <c r="Y552">
        <v>0</v>
      </c>
      <c r="Z552">
        <v>14</v>
      </c>
      <c r="AA552">
        <v>14</v>
      </c>
      <c r="AB552">
        <v>0</v>
      </c>
      <c r="AC552">
        <v>0</v>
      </c>
      <c r="AD552">
        <v>1</v>
      </c>
      <c r="AE552">
        <v>150</v>
      </c>
      <c r="AF552">
        <v>0</v>
      </c>
      <c r="AG552">
        <v>0</v>
      </c>
      <c r="AH552">
        <v>0</v>
      </c>
      <c r="AI552">
        <v>0</v>
      </c>
      <c r="AJ552">
        <v>956.45</v>
      </c>
      <c r="AK552">
        <v>0</v>
      </c>
      <c r="AL552">
        <v>956.45</v>
      </c>
      <c r="AM552">
        <v>0</v>
      </c>
      <c r="AN552">
        <v>0</v>
      </c>
      <c r="AO552">
        <v>0</v>
      </c>
    </row>
    <row r="553" spans="1:41">
      <c r="A553">
        <v>552</v>
      </c>
      <c r="B553" s="42">
        <v>45954</v>
      </c>
      <c r="C553" t="str">
        <v>HINJEWADI</v>
      </c>
      <c r="D553" t="str">
        <v>SLK1</v>
      </c>
      <c r="E553" t="str">
        <v>SHADOWFAX TECHNOLOGIES PRIVATE LIMITED</v>
      </c>
      <c r="F553" t="str">
        <v>MH14LL4513</v>
      </c>
      <c r="G553" t="str">
        <v>BOLERO</v>
      </c>
      <c r="H553" t="str">
        <v>DIESEL</v>
      </c>
      <c r="I553">
        <v>4</v>
      </c>
      <c r="J553">
        <v>10</v>
      </c>
      <c r="K553">
        <v>29000</v>
      </c>
      <c r="L553">
        <v>1000</v>
      </c>
      <c r="M553">
        <v>55</v>
      </c>
      <c r="N553">
        <v>31</v>
      </c>
      <c r="O553" t="str">
        <v>PUN01 NC Cluster</v>
      </c>
      <c r="P553">
        <v>0</v>
      </c>
      <c r="Q553">
        <v>0.12569444444444444</v>
      </c>
      <c r="R553">
        <v>0.12569444444444444</v>
      </c>
      <c r="S553">
        <v>33154</v>
      </c>
      <c r="T553">
        <v>0.35833333333333334</v>
      </c>
      <c r="U553">
        <v>0.35833333333333334</v>
      </c>
      <c r="V553">
        <v>33163</v>
      </c>
      <c r="W553">
        <v>0</v>
      </c>
      <c r="X553">
        <v>0</v>
      </c>
      <c r="Y553">
        <v>0</v>
      </c>
      <c r="Z553">
        <v>9</v>
      </c>
      <c r="AA553">
        <v>9</v>
      </c>
      <c r="AB553">
        <v>0</v>
      </c>
      <c r="AC553">
        <v>0</v>
      </c>
      <c r="AD553">
        <v>1</v>
      </c>
      <c r="AE553">
        <v>150</v>
      </c>
      <c r="AF553">
        <v>0</v>
      </c>
      <c r="AG553">
        <v>0</v>
      </c>
      <c r="AH553">
        <v>0</v>
      </c>
      <c r="AI553">
        <v>0</v>
      </c>
      <c r="AJ553">
        <v>1085.48</v>
      </c>
      <c r="AK553">
        <v>0</v>
      </c>
      <c r="AL553">
        <v>1085.48</v>
      </c>
      <c r="AM553">
        <v>0</v>
      </c>
      <c r="AN553">
        <v>0</v>
      </c>
      <c r="AO553">
        <v>0</v>
      </c>
    </row>
    <row r="554" spans="1:41">
      <c r="A554">
        <v>553</v>
      </c>
      <c r="B554" s="42">
        <v>45954</v>
      </c>
      <c r="C554" t="str">
        <v>HINJEWADI</v>
      </c>
      <c r="D554" t="str">
        <v>SLK1</v>
      </c>
      <c r="E554" t="str">
        <v>SHADOWFAX TECHNOLOGIES PRIVATE LIMITED</v>
      </c>
      <c r="F554" t="str">
        <v>MH14KA1228</v>
      </c>
      <c r="G554" t="str">
        <v>ACE</v>
      </c>
      <c r="H554" t="str">
        <v>CNG</v>
      </c>
      <c r="I554">
        <v>4</v>
      </c>
      <c r="J554">
        <v>8</v>
      </c>
      <c r="K554">
        <v>25000</v>
      </c>
      <c r="L554">
        <v>1000</v>
      </c>
      <c r="M554">
        <v>55</v>
      </c>
      <c r="N554">
        <v>31</v>
      </c>
      <c r="O554" t="str">
        <v>PUN01 NC Cluster</v>
      </c>
      <c r="P554">
        <v>0</v>
      </c>
      <c r="Q554">
        <v>0.1277777777777778</v>
      </c>
      <c r="R554">
        <v>0.1277777777777778</v>
      </c>
      <c r="S554">
        <v>159880</v>
      </c>
      <c r="T554">
        <v>0.35972222222222222</v>
      </c>
      <c r="U554">
        <v>0.35972222222222222</v>
      </c>
      <c r="V554">
        <v>159927</v>
      </c>
      <c r="W554">
        <v>0</v>
      </c>
      <c r="X554">
        <v>0</v>
      </c>
      <c r="Y554">
        <v>0</v>
      </c>
      <c r="Z554">
        <v>47</v>
      </c>
      <c r="AA554">
        <v>47</v>
      </c>
      <c r="AB554">
        <v>0</v>
      </c>
      <c r="AC554">
        <v>0</v>
      </c>
      <c r="AD554">
        <v>1</v>
      </c>
      <c r="AE554">
        <v>150</v>
      </c>
      <c r="AF554">
        <v>0</v>
      </c>
      <c r="AG554">
        <v>0</v>
      </c>
      <c r="AH554">
        <v>0</v>
      </c>
      <c r="AI554">
        <v>0</v>
      </c>
      <c r="AJ554">
        <v>956.45</v>
      </c>
      <c r="AK554">
        <v>0</v>
      </c>
      <c r="AL554">
        <v>956.45</v>
      </c>
      <c r="AM554">
        <v>0</v>
      </c>
      <c r="AN554">
        <v>0</v>
      </c>
      <c r="AO554">
        <v>0</v>
      </c>
    </row>
    <row r="555" spans="1:41">
      <c r="A555">
        <v>554</v>
      </c>
      <c r="B555" s="42">
        <v>45954</v>
      </c>
      <c r="C555" t="str">
        <v>HINJEWADI</v>
      </c>
      <c r="D555" t="str">
        <v>SLK1</v>
      </c>
      <c r="E555" t="str">
        <v>SHADOWFAX TECHNOLOGIES PRIVATE LIMITED</v>
      </c>
      <c r="F555" t="str">
        <v>MH14MH2559</v>
      </c>
      <c r="G555" t="str">
        <v>BOLERO</v>
      </c>
      <c r="H555" t="str">
        <v>DIESEL</v>
      </c>
      <c r="I555">
        <v>6</v>
      </c>
      <c r="J555">
        <v>10</v>
      </c>
      <c r="K555">
        <v>38000</v>
      </c>
      <c r="L555">
        <v>2000</v>
      </c>
      <c r="M555">
        <v>55</v>
      </c>
      <c r="N555">
        <v>31</v>
      </c>
      <c r="O555" t="str">
        <v>Hinjewadi To Wagholi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1225.81</v>
      </c>
      <c r="AK555">
        <v>0</v>
      </c>
      <c r="AL555">
        <v>1225.81</v>
      </c>
      <c r="AM555" t="str">
        <v>Middle Mile Delivery (Hinjewadi To Wagholi Stock transfer)</v>
      </c>
      <c r="AN555">
        <v>0</v>
      </c>
      <c r="AO555">
        <v>0</v>
      </c>
    </row>
    <row r="556" spans="1:41">
      <c r="A556">
        <v>555</v>
      </c>
      <c r="B556" s="42">
        <v>45954</v>
      </c>
      <c r="C556" t="str">
        <v>HINJEWADI</v>
      </c>
      <c r="D556" t="str">
        <v>SLK1</v>
      </c>
      <c r="E556" t="str">
        <v>SHADOWFAX TECHNOLOGIES PRIVATE LIMITED</v>
      </c>
      <c r="F556" t="str">
        <v>MH14LX4840</v>
      </c>
      <c r="G556" t="str">
        <v>BOLERO</v>
      </c>
      <c r="H556" t="str">
        <v>DIESEL</v>
      </c>
      <c r="I556">
        <v>4</v>
      </c>
      <c r="J556">
        <v>10</v>
      </c>
      <c r="K556">
        <v>29000</v>
      </c>
      <c r="L556">
        <v>1000</v>
      </c>
      <c r="M556">
        <v>55</v>
      </c>
      <c r="N556">
        <v>31</v>
      </c>
      <c r="O556" t="str">
        <v>Hinjewadi To Wagholi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935.48</v>
      </c>
      <c r="AK556">
        <v>0</v>
      </c>
      <c r="AL556">
        <v>935.48</v>
      </c>
      <c r="AM556" t="str">
        <v>Middle Mile Delivery (Hinjewadi To Wagholi Stock transfer)</v>
      </c>
      <c r="AN556">
        <v>0</v>
      </c>
      <c r="AO556">
        <v>0</v>
      </c>
    </row>
    <row r="557" spans="1:41">
      <c r="A557">
        <v>556</v>
      </c>
      <c r="B557" s="42">
        <v>45954</v>
      </c>
      <c r="C557" t="str">
        <v>HINJEWADI</v>
      </c>
      <c r="D557" t="str">
        <v>SLK1</v>
      </c>
      <c r="E557" t="str">
        <v>SHADOWFAX TECHNOLOGIES PRIVATE LIMITED</v>
      </c>
      <c r="F557" t="str">
        <v>MH14LB2427</v>
      </c>
      <c r="G557" t="str">
        <v>BOLERO</v>
      </c>
      <c r="H557" t="str">
        <v>DIESEL</v>
      </c>
      <c r="I557">
        <v>6</v>
      </c>
      <c r="J557">
        <v>10</v>
      </c>
      <c r="K557">
        <v>38000</v>
      </c>
      <c r="L557">
        <v>2000</v>
      </c>
      <c r="M557">
        <v>55</v>
      </c>
      <c r="N557">
        <v>31</v>
      </c>
      <c r="O557" t="str">
        <v>Hinjewadi To Wagholi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1225.81</v>
      </c>
      <c r="AK557">
        <v>0</v>
      </c>
      <c r="AL557">
        <v>1225.81</v>
      </c>
      <c r="AM557" t="str">
        <v>Middle Mile Delivery (Hinjewadi To Wagholi Stock transfer)</v>
      </c>
      <c r="AN557">
        <v>0</v>
      </c>
      <c r="AO557">
        <v>0</v>
      </c>
    </row>
    <row r="558" spans="1:41">
      <c r="A558">
        <v>557</v>
      </c>
      <c r="B558" s="42">
        <v>45955</v>
      </c>
      <c r="C558" t="str">
        <v>HINJEWADI</v>
      </c>
      <c r="D558" t="str">
        <v>SLK1</v>
      </c>
      <c r="E558" t="str">
        <v>SHADOWFAX TECHNOLOGIES PRIVATE LIMITED</v>
      </c>
      <c r="F558" t="str">
        <v>MH03AH8989</v>
      </c>
      <c r="G558" t="str">
        <v>ACE</v>
      </c>
      <c r="H558" t="str">
        <v>CNG</v>
      </c>
      <c r="I558">
        <v>4</v>
      </c>
      <c r="J558">
        <v>8</v>
      </c>
      <c r="K558">
        <v>25000</v>
      </c>
      <c r="L558">
        <v>1000</v>
      </c>
      <c r="M558">
        <v>55</v>
      </c>
      <c r="N558">
        <v>31</v>
      </c>
      <c r="O558" t="str">
        <v>PUN01 NC Cluster 1</v>
      </c>
      <c r="P558">
        <v>0</v>
      </c>
      <c r="Q558">
        <v>4.9999999999999996E-2</v>
      </c>
      <c r="R558">
        <v>0.14006944444444444</v>
      </c>
      <c r="S558">
        <v>58040</v>
      </c>
      <c r="T558">
        <v>0.28644675925925928</v>
      </c>
      <c r="U558">
        <v>0.287025462962963</v>
      </c>
      <c r="V558">
        <v>58047</v>
      </c>
      <c r="W558">
        <v>31</v>
      </c>
      <c r="X558">
        <v>82</v>
      </c>
      <c r="Y558">
        <v>-51</v>
      </c>
      <c r="Z558">
        <v>7</v>
      </c>
      <c r="AA558">
        <v>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806.45</v>
      </c>
      <c r="AK558">
        <v>0</v>
      </c>
      <c r="AL558">
        <v>806.45</v>
      </c>
      <c r="AM558">
        <v>0</v>
      </c>
      <c r="AN558">
        <v>0</v>
      </c>
      <c r="AO558">
        <v>0</v>
      </c>
    </row>
    <row r="559" spans="1:41">
      <c r="A559">
        <v>558</v>
      </c>
      <c r="B559" s="42">
        <v>45955</v>
      </c>
      <c r="C559" t="str">
        <v>HINJEWADI</v>
      </c>
      <c r="D559" t="str">
        <v>SLK1</v>
      </c>
      <c r="E559" t="str">
        <v>SHADOWFAX TECHNOLOGIES PRIVATE LIMITED</v>
      </c>
      <c r="F559" t="str">
        <v>MH12SF9859</v>
      </c>
      <c r="G559" t="str">
        <v>ACE</v>
      </c>
      <c r="H559" t="str">
        <v>CNG</v>
      </c>
      <c r="I559">
        <v>4</v>
      </c>
      <c r="J559">
        <v>8</v>
      </c>
      <c r="K559">
        <v>25000</v>
      </c>
      <c r="L559">
        <v>1000</v>
      </c>
      <c r="M559">
        <v>55</v>
      </c>
      <c r="N559">
        <v>31</v>
      </c>
      <c r="O559" t="str">
        <v>PUN01 NC Cluster 100</v>
      </c>
      <c r="P559">
        <v>0</v>
      </c>
      <c r="Q559">
        <v>4.5833333333333337E-2</v>
      </c>
      <c r="R559">
        <v>0.1401273148148148</v>
      </c>
      <c r="S559">
        <v>110786</v>
      </c>
      <c r="T559">
        <v>0.32871527777777776</v>
      </c>
      <c r="U559">
        <v>0.32884259259259258</v>
      </c>
      <c r="V559">
        <v>110804</v>
      </c>
      <c r="W559">
        <v>0</v>
      </c>
      <c r="X559">
        <v>17</v>
      </c>
      <c r="Y559">
        <v>-17</v>
      </c>
      <c r="Z559">
        <v>18</v>
      </c>
      <c r="AA559">
        <v>18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806.45</v>
      </c>
      <c r="AK559">
        <v>0</v>
      </c>
      <c r="AL559">
        <v>806.45</v>
      </c>
      <c r="AM559">
        <v>0</v>
      </c>
      <c r="AN559">
        <v>0</v>
      </c>
      <c r="AO559">
        <v>0</v>
      </c>
    </row>
    <row r="560" spans="1:41">
      <c r="A560">
        <v>559</v>
      </c>
      <c r="B560" s="42">
        <v>45955</v>
      </c>
      <c r="C560" t="str">
        <v>HINJEWADI</v>
      </c>
      <c r="D560" t="str">
        <v>SLK1</v>
      </c>
      <c r="E560" t="str">
        <v>SHADOWFAX TECHNOLOGIES PRIVATE LIMITED</v>
      </c>
      <c r="F560" t="str">
        <v>MH12VF3782</v>
      </c>
      <c r="G560" t="str">
        <v>ACE</v>
      </c>
      <c r="H560" t="str">
        <v>CNG</v>
      </c>
      <c r="I560">
        <v>4</v>
      </c>
      <c r="J560">
        <v>8</v>
      </c>
      <c r="K560">
        <v>25000</v>
      </c>
      <c r="L560">
        <v>1000</v>
      </c>
      <c r="M560">
        <v>55</v>
      </c>
      <c r="N560">
        <v>31</v>
      </c>
      <c r="O560" t="str">
        <v>PUN01 NC Cluster 113</v>
      </c>
      <c r="P560">
        <v>0</v>
      </c>
      <c r="Q560">
        <v>0.11180555555555556</v>
      </c>
      <c r="R560">
        <v>0.14329861111111111</v>
      </c>
      <c r="S560">
        <v>84315</v>
      </c>
      <c r="T560">
        <v>0.29032407407407407</v>
      </c>
      <c r="U560">
        <v>0.29040509259259256</v>
      </c>
      <c r="V560">
        <v>84344</v>
      </c>
      <c r="W560">
        <v>35</v>
      </c>
      <c r="X560">
        <v>49</v>
      </c>
      <c r="Y560">
        <v>-14</v>
      </c>
      <c r="Z560">
        <v>29</v>
      </c>
      <c r="AA560">
        <v>29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806.45</v>
      </c>
      <c r="AK560">
        <v>0</v>
      </c>
      <c r="AL560">
        <v>806.45</v>
      </c>
      <c r="AM560">
        <v>0</v>
      </c>
      <c r="AN560">
        <v>0</v>
      </c>
      <c r="AO560">
        <v>0</v>
      </c>
    </row>
    <row r="561" spans="1:41">
      <c r="A561">
        <v>560</v>
      </c>
      <c r="B561" s="42">
        <v>45955</v>
      </c>
      <c r="C561" t="str">
        <v>HINJEWADI</v>
      </c>
      <c r="D561" t="str">
        <v>SLK1</v>
      </c>
      <c r="E561" t="str">
        <v>SHADOWFAX TECHNOLOGIES PRIVATE LIMITED</v>
      </c>
      <c r="F561" t="str">
        <v>MH12WX6236</v>
      </c>
      <c r="G561" t="str">
        <v>ACE</v>
      </c>
      <c r="H561" t="str">
        <v>CNG</v>
      </c>
      <c r="I561">
        <v>4</v>
      </c>
      <c r="J561">
        <v>8</v>
      </c>
      <c r="K561">
        <v>25000</v>
      </c>
      <c r="L561">
        <v>1000</v>
      </c>
      <c r="M561">
        <v>55</v>
      </c>
      <c r="N561">
        <v>31</v>
      </c>
      <c r="O561" t="str">
        <v>PUN01 NC Cluster 62</v>
      </c>
      <c r="P561">
        <v>0</v>
      </c>
      <c r="Q561">
        <v>4.5833333333333337E-2</v>
      </c>
      <c r="R561">
        <v>0.13548611111111111</v>
      </c>
      <c r="S561">
        <v>39141</v>
      </c>
      <c r="T561">
        <v>0.32530092592592591</v>
      </c>
      <c r="U561">
        <v>0.32535879629629633</v>
      </c>
      <c r="V561">
        <v>39158</v>
      </c>
      <c r="W561">
        <v>36</v>
      </c>
      <c r="X561">
        <v>36</v>
      </c>
      <c r="Y561">
        <v>0</v>
      </c>
      <c r="Z561">
        <v>17</v>
      </c>
      <c r="AA561">
        <v>17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806.45</v>
      </c>
      <c r="AK561">
        <v>0</v>
      </c>
      <c r="AL561">
        <v>806.45</v>
      </c>
      <c r="AM561">
        <v>0</v>
      </c>
      <c r="AN561">
        <v>0</v>
      </c>
      <c r="AO561">
        <v>0</v>
      </c>
    </row>
    <row r="562" spans="1:41">
      <c r="A562">
        <v>561</v>
      </c>
      <c r="B562" s="42">
        <v>45955</v>
      </c>
      <c r="C562" t="str">
        <v>HINJEWADI</v>
      </c>
      <c r="D562" t="str">
        <v>SLK1</v>
      </c>
      <c r="E562" t="str">
        <v>SHADOWFAX TECHNOLOGIES PRIVATE LIMITED</v>
      </c>
      <c r="F562" t="str">
        <v>MH12XM2801</v>
      </c>
      <c r="G562" t="str">
        <v>ACE</v>
      </c>
      <c r="H562" t="str">
        <v>CNG</v>
      </c>
      <c r="I562">
        <v>4</v>
      </c>
      <c r="J562">
        <v>8</v>
      </c>
      <c r="K562">
        <v>25000</v>
      </c>
      <c r="L562">
        <v>1000</v>
      </c>
      <c r="M562">
        <v>55</v>
      </c>
      <c r="N562">
        <v>31</v>
      </c>
      <c r="O562" t="str">
        <v>PUN01 NC Cluster 37</v>
      </c>
      <c r="P562">
        <v>0</v>
      </c>
      <c r="Q562">
        <v>5.2777777777777778E-2</v>
      </c>
      <c r="R562">
        <v>0.14126157407407408</v>
      </c>
      <c r="S562">
        <v>12936</v>
      </c>
      <c r="T562">
        <v>0.29579861111111111</v>
      </c>
      <c r="U562">
        <v>0.29591435185185183</v>
      </c>
      <c r="V562">
        <v>12952</v>
      </c>
      <c r="W562">
        <v>27</v>
      </c>
      <c r="X562">
        <v>27</v>
      </c>
      <c r="Y562">
        <v>0</v>
      </c>
      <c r="Z562">
        <v>16</v>
      </c>
      <c r="AA562">
        <v>16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806.45</v>
      </c>
      <c r="AK562">
        <v>0</v>
      </c>
      <c r="AL562">
        <v>806.45</v>
      </c>
      <c r="AM562">
        <v>0</v>
      </c>
      <c r="AN562">
        <v>0</v>
      </c>
      <c r="AO562">
        <v>0</v>
      </c>
    </row>
    <row r="563" spans="1:41">
      <c r="A563">
        <v>562</v>
      </c>
      <c r="B563" s="42">
        <v>45955</v>
      </c>
      <c r="C563" t="str">
        <v>HINJEWADI</v>
      </c>
      <c r="D563" t="str">
        <v>SLK1</v>
      </c>
      <c r="E563" t="str">
        <v>SHADOWFAX TECHNOLOGIES PRIVATE LIMITED</v>
      </c>
      <c r="F563" t="str">
        <v>MH14CP4610</v>
      </c>
      <c r="G563" t="str">
        <v>ACE</v>
      </c>
      <c r="H563" t="str">
        <v>CNG</v>
      </c>
      <c r="I563">
        <v>4</v>
      </c>
      <c r="J563">
        <v>8</v>
      </c>
      <c r="K563">
        <v>25000</v>
      </c>
      <c r="L563">
        <v>1000</v>
      </c>
      <c r="M563">
        <v>55</v>
      </c>
      <c r="N563">
        <v>31</v>
      </c>
      <c r="O563" t="str">
        <v>PUN01 NC Cluster 87</v>
      </c>
      <c r="P563">
        <v>0</v>
      </c>
      <c r="Q563">
        <v>8.7500000000000008E-2</v>
      </c>
      <c r="R563">
        <v>0.14186342592592593</v>
      </c>
      <c r="S563">
        <v>145531</v>
      </c>
      <c r="T563">
        <v>0.28728009259259263</v>
      </c>
      <c r="U563">
        <v>0.28734953703703703</v>
      </c>
      <c r="V563">
        <v>145544</v>
      </c>
      <c r="W563">
        <v>30</v>
      </c>
      <c r="X563">
        <v>20</v>
      </c>
      <c r="Y563">
        <v>10</v>
      </c>
      <c r="Z563">
        <v>13</v>
      </c>
      <c r="AA563">
        <v>13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806.45</v>
      </c>
      <c r="AK563">
        <v>0</v>
      </c>
      <c r="AL563">
        <v>806.45</v>
      </c>
      <c r="AM563">
        <v>0</v>
      </c>
      <c r="AN563">
        <v>0</v>
      </c>
      <c r="AO563">
        <v>0</v>
      </c>
    </row>
    <row r="564" spans="1:41">
      <c r="A564">
        <v>563</v>
      </c>
      <c r="B564" s="42">
        <v>45955</v>
      </c>
      <c r="C564" t="str">
        <v>HINJEWADI</v>
      </c>
      <c r="D564" t="str">
        <v>SLK1</v>
      </c>
      <c r="E564" t="str">
        <v>SHADOWFAX TECHNOLOGIES PRIVATE LIMITED</v>
      </c>
      <c r="F564" t="str">
        <v>MH14JL3308</v>
      </c>
      <c r="G564" t="str">
        <v>ACE</v>
      </c>
      <c r="H564" t="str">
        <v>CNG</v>
      </c>
      <c r="I564">
        <v>4</v>
      </c>
      <c r="J564">
        <v>8</v>
      </c>
      <c r="K564">
        <v>25000</v>
      </c>
      <c r="L564">
        <v>1000</v>
      </c>
      <c r="M564">
        <v>55</v>
      </c>
      <c r="N564">
        <v>31</v>
      </c>
      <c r="O564" t="str">
        <v>PUN01 NC Cluster 12</v>
      </c>
      <c r="P564">
        <v>0</v>
      </c>
      <c r="Q564">
        <v>4.7916666666666663E-2</v>
      </c>
      <c r="R564">
        <v>0.13765046296296296</v>
      </c>
      <c r="S564">
        <v>116570</v>
      </c>
      <c r="T564">
        <v>0.3084722222222222</v>
      </c>
      <c r="U564">
        <v>0.30858796296296298</v>
      </c>
      <c r="V564">
        <v>116589</v>
      </c>
      <c r="W564">
        <v>35</v>
      </c>
      <c r="X564">
        <v>37</v>
      </c>
      <c r="Y564">
        <v>-2</v>
      </c>
      <c r="Z564">
        <v>19</v>
      </c>
      <c r="AA564">
        <v>19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806.45</v>
      </c>
      <c r="AK564">
        <v>0</v>
      </c>
      <c r="AL564">
        <v>806.45</v>
      </c>
      <c r="AM564">
        <v>0</v>
      </c>
      <c r="AN564">
        <v>0</v>
      </c>
      <c r="AO564">
        <v>0</v>
      </c>
    </row>
    <row r="565" spans="1:41">
      <c r="A565">
        <v>564</v>
      </c>
      <c r="B565" s="42">
        <v>45955</v>
      </c>
      <c r="C565" t="str">
        <v>HINJEWADI</v>
      </c>
      <c r="D565" t="str">
        <v>SLK1</v>
      </c>
      <c r="E565" t="str">
        <v>SHADOWFAX TECHNOLOGIES PRIVATE LIMITED</v>
      </c>
      <c r="F565" t="str">
        <v>MH14KA0766</v>
      </c>
      <c r="G565" t="str">
        <v>ACE</v>
      </c>
      <c r="H565" t="str">
        <v>CNG</v>
      </c>
      <c r="I565">
        <v>4</v>
      </c>
      <c r="J565">
        <v>8</v>
      </c>
      <c r="K565">
        <v>25000</v>
      </c>
      <c r="L565">
        <v>1000</v>
      </c>
      <c r="M565">
        <v>55</v>
      </c>
      <c r="N565">
        <v>31</v>
      </c>
      <c r="O565" t="str">
        <v>PUN01 NC Cluster 10</v>
      </c>
      <c r="P565">
        <v>0</v>
      </c>
      <c r="Q565">
        <v>4.8611111111111112E-2</v>
      </c>
      <c r="R565">
        <v>0.13688657407407409</v>
      </c>
      <c r="S565">
        <v>145792</v>
      </c>
      <c r="T565">
        <v>0.30982638888888886</v>
      </c>
      <c r="U565">
        <v>0.30993055555555554</v>
      </c>
      <c r="V565">
        <v>145823</v>
      </c>
      <c r="W565">
        <v>30</v>
      </c>
      <c r="X565">
        <v>69</v>
      </c>
      <c r="Y565">
        <v>-39</v>
      </c>
      <c r="Z565">
        <v>31</v>
      </c>
      <c r="AA565">
        <v>31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806.45</v>
      </c>
      <c r="AK565">
        <v>0</v>
      </c>
      <c r="AL565">
        <v>806.45</v>
      </c>
      <c r="AM565">
        <v>0</v>
      </c>
      <c r="AN565">
        <v>0</v>
      </c>
      <c r="AO565">
        <v>0</v>
      </c>
    </row>
    <row r="566" spans="1:41">
      <c r="A566">
        <v>565</v>
      </c>
      <c r="B566" s="42">
        <v>45955</v>
      </c>
      <c r="C566" t="str">
        <v>HINJEWADI</v>
      </c>
      <c r="D566" t="str">
        <v>SLK1</v>
      </c>
      <c r="E566" t="str">
        <v>SHADOWFAX TECHNOLOGIES PRIVATE LIMITED</v>
      </c>
      <c r="F566" t="str">
        <v>MH14KA1228</v>
      </c>
      <c r="G566" t="str">
        <v>ACE</v>
      </c>
      <c r="H566" t="str">
        <v>CNG</v>
      </c>
      <c r="I566">
        <v>4</v>
      </c>
      <c r="J566">
        <v>8</v>
      </c>
      <c r="K566">
        <v>25000</v>
      </c>
      <c r="L566">
        <v>1000</v>
      </c>
      <c r="M566">
        <v>55</v>
      </c>
      <c r="N566">
        <v>31</v>
      </c>
      <c r="O566" t="str">
        <v>PUN01 NC Cluster 208</v>
      </c>
      <c r="P566">
        <v>0</v>
      </c>
      <c r="Q566">
        <v>0.12083333333333333</v>
      </c>
      <c r="R566">
        <v>0.14171296296296296</v>
      </c>
      <c r="S566">
        <v>159948</v>
      </c>
      <c r="T566">
        <v>0.32824074074074078</v>
      </c>
      <c r="U566">
        <v>0.32832175925925927</v>
      </c>
      <c r="V566">
        <v>159985</v>
      </c>
      <c r="W566">
        <v>0</v>
      </c>
      <c r="X566">
        <v>0</v>
      </c>
      <c r="Y566">
        <v>0</v>
      </c>
      <c r="Z566">
        <v>37</v>
      </c>
      <c r="AA566">
        <v>37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806.45</v>
      </c>
      <c r="AK566">
        <v>0</v>
      </c>
      <c r="AL566">
        <v>806.45</v>
      </c>
      <c r="AM566">
        <v>0</v>
      </c>
      <c r="AN566">
        <v>0</v>
      </c>
      <c r="AO566">
        <v>0</v>
      </c>
    </row>
    <row r="567" spans="1:41">
      <c r="A567">
        <v>566</v>
      </c>
      <c r="B567" s="42">
        <v>45955</v>
      </c>
      <c r="C567" t="str">
        <v>HINJEWADI</v>
      </c>
      <c r="D567" t="str">
        <v>SLK1</v>
      </c>
      <c r="E567" t="str">
        <v>SHADOWFAX TECHNOLOGIES PRIVATE LIMITED</v>
      </c>
      <c r="F567" t="str">
        <v>MH14KA1873</v>
      </c>
      <c r="G567" t="str">
        <v>ACE</v>
      </c>
      <c r="H567" t="str">
        <v>CNG</v>
      </c>
      <c r="I567">
        <v>4</v>
      </c>
      <c r="J567">
        <v>8</v>
      </c>
      <c r="K567">
        <v>25000</v>
      </c>
      <c r="L567">
        <v>1000</v>
      </c>
      <c r="M567">
        <v>55</v>
      </c>
      <c r="N567">
        <v>31</v>
      </c>
      <c r="O567" t="str">
        <v>PUN01 NC Cluster 42</v>
      </c>
      <c r="P567">
        <v>0</v>
      </c>
      <c r="Q567">
        <v>5.4166666666666669E-2</v>
      </c>
      <c r="R567">
        <v>0.14052083333333334</v>
      </c>
      <c r="S567">
        <v>114825</v>
      </c>
      <c r="T567">
        <v>0.28903935185185187</v>
      </c>
      <c r="U567">
        <v>0.3268287037037037</v>
      </c>
      <c r="V567">
        <v>114847</v>
      </c>
      <c r="W567">
        <v>32</v>
      </c>
      <c r="X567">
        <v>33</v>
      </c>
      <c r="Y567">
        <v>-1</v>
      </c>
      <c r="Z567">
        <v>22</v>
      </c>
      <c r="AA567">
        <v>22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806.45</v>
      </c>
      <c r="AK567">
        <v>0</v>
      </c>
      <c r="AL567">
        <v>806.45</v>
      </c>
      <c r="AM567">
        <v>0</v>
      </c>
      <c r="AN567">
        <v>0</v>
      </c>
      <c r="AO567">
        <v>0</v>
      </c>
    </row>
    <row r="568" spans="1:41">
      <c r="A568">
        <v>567</v>
      </c>
      <c r="B568" s="42">
        <v>45955</v>
      </c>
      <c r="C568" t="str">
        <v>HINJEWADI</v>
      </c>
      <c r="D568" t="str">
        <v>SLK1</v>
      </c>
      <c r="E568" t="str">
        <v>SHADOWFAX TECHNOLOGIES PRIVATE LIMITED</v>
      </c>
      <c r="F568" t="str">
        <v>MH14KA6513</v>
      </c>
      <c r="G568" t="str">
        <v>ACE</v>
      </c>
      <c r="H568" t="str">
        <v>CNG</v>
      </c>
      <c r="I568">
        <v>6</v>
      </c>
      <c r="J568">
        <v>8</v>
      </c>
      <c r="K568">
        <v>33000</v>
      </c>
      <c r="L568">
        <v>2000</v>
      </c>
      <c r="M568">
        <v>55</v>
      </c>
      <c r="N568">
        <v>31</v>
      </c>
      <c r="O568" t="str">
        <v>PUN01 NC Cluster 300</v>
      </c>
      <c r="P568">
        <v>0</v>
      </c>
      <c r="Q568">
        <v>0.10069444444444443</v>
      </c>
      <c r="R568">
        <v>0.14440972222222223</v>
      </c>
      <c r="S568">
        <v>48691</v>
      </c>
      <c r="T568">
        <v>0.30160879629629628</v>
      </c>
      <c r="U568">
        <v>0.30167824074074073</v>
      </c>
      <c r="V568">
        <v>48750</v>
      </c>
      <c r="W568">
        <v>23</v>
      </c>
      <c r="X568">
        <v>30</v>
      </c>
      <c r="Y568">
        <v>-7</v>
      </c>
      <c r="Z568">
        <v>59</v>
      </c>
      <c r="AA568">
        <v>59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1064.52</v>
      </c>
      <c r="AK568">
        <v>0</v>
      </c>
      <c r="AL568">
        <v>1064.52</v>
      </c>
      <c r="AM568">
        <v>0</v>
      </c>
      <c r="AN568">
        <v>0</v>
      </c>
      <c r="AO568">
        <v>0</v>
      </c>
    </row>
    <row r="569" spans="1:41">
      <c r="A569">
        <v>568</v>
      </c>
      <c r="B569" s="42">
        <v>45955</v>
      </c>
      <c r="C569" t="str">
        <v>HINJEWADI</v>
      </c>
      <c r="D569" t="str">
        <v>SLK1</v>
      </c>
      <c r="E569" t="str">
        <v>SHADOWFAX TECHNOLOGIES PRIVATE LIMITED</v>
      </c>
      <c r="F569" t="str">
        <v>MH14KQ0279</v>
      </c>
      <c r="G569" t="str">
        <v>ACE</v>
      </c>
      <c r="H569" t="str">
        <v>CNG</v>
      </c>
      <c r="I569">
        <v>4</v>
      </c>
      <c r="J569">
        <v>8</v>
      </c>
      <c r="K569">
        <v>25000</v>
      </c>
      <c r="L569">
        <v>1000</v>
      </c>
      <c r="M569">
        <v>55</v>
      </c>
      <c r="N569">
        <v>31</v>
      </c>
      <c r="O569" t="str">
        <v>PUN01 NC Cluster 199</v>
      </c>
      <c r="P569">
        <v>0</v>
      </c>
      <c r="Q569">
        <v>8.6805555555555566E-2</v>
      </c>
      <c r="R569">
        <v>0.1398611111111111</v>
      </c>
      <c r="S569">
        <v>118947</v>
      </c>
      <c r="T569">
        <v>0.30812499999999998</v>
      </c>
      <c r="U569">
        <v>0.30824074074074076</v>
      </c>
      <c r="V569">
        <v>118982</v>
      </c>
      <c r="W569">
        <v>10</v>
      </c>
      <c r="X569">
        <v>10</v>
      </c>
      <c r="Y569">
        <v>0</v>
      </c>
      <c r="Z569">
        <v>35</v>
      </c>
      <c r="AA569">
        <v>35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806.45</v>
      </c>
      <c r="AK569">
        <v>0</v>
      </c>
      <c r="AL569">
        <v>806.45</v>
      </c>
      <c r="AM569">
        <v>0</v>
      </c>
      <c r="AN569">
        <v>0</v>
      </c>
      <c r="AO569">
        <v>0</v>
      </c>
    </row>
    <row r="570" spans="1:41">
      <c r="A570">
        <v>569</v>
      </c>
      <c r="B570" s="42">
        <v>45955</v>
      </c>
      <c r="C570" t="str">
        <v>HINJEWADI</v>
      </c>
      <c r="D570" t="str">
        <v>SLK1</v>
      </c>
      <c r="E570" t="str">
        <v>SHADOWFAX TECHNOLOGIES PRIVATE LIMITED</v>
      </c>
      <c r="F570" t="str">
        <v>MH14KQ4401</v>
      </c>
      <c r="G570" t="str">
        <v>ACE</v>
      </c>
      <c r="H570" t="str">
        <v>CNG</v>
      </c>
      <c r="I570">
        <v>4</v>
      </c>
      <c r="J570">
        <v>8</v>
      </c>
      <c r="K570">
        <v>25000</v>
      </c>
      <c r="L570">
        <v>1000</v>
      </c>
      <c r="M570">
        <v>55</v>
      </c>
      <c r="N570">
        <v>31</v>
      </c>
      <c r="O570" t="str">
        <v>PUN01 NC Cluster 15</v>
      </c>
      <c r="P570">
        <v>0</v>
      </c>
      <c r="Q570">
        <v>0.1173611111111111</v>
      </c>
      <c r="R570">
        <v>0.13804398148148148</v>
      </c>
      <c r="S570">
        <v>76288</v>
      </c>
      <c r="T570">
        <v>0.31841435185185185</v>
      </c>
      <c r="U570">
        <v>0.3184953703703704</v>
      </c>
      <c r="V570">
        <v>76305</v>
      </c>
      <c r="W570">
        <v>32</v>
      </c>
      <c r="X570">
        <v>37</v>
      </c>
      <c r="Y570">
        <v>-5</v>
      </c>
      <c r="Z570">
        <v>17</v>
      </c>
      <c r="AA570">
        <v>17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806.45</v>
      </c>
      <c r="AK570">
        <v>0</v>
      </c>
      <c r="AL570">
        <v>806.45</v>
      </c>
      <c r="AM570">
        <v>0</v>
      </c>
      <c r="AN570">
        <v>0</v>
      </c>
      <c r="AO570">
        <v>0</v>
      </c>
    </row>
    <row r="571" spans="1:41">
      <c r="A571">
        <v>570</v>
      </c>
      <c r="B571" s="42">
        <v>45955</v>
      </c>
      <c r="C571" t="str">
        <v>HINJEWADI</v>
      </c>
      <c r="D571" t="str">
        <v>SLK1</v>
      </c>
      <c r="E571" t="str">
        <v>SHADOWFAX TECHNOLOGIES PRIVATE LIMITED</v>
      </c>
      <c r="F571" t="str">
        <v>MH14LL5974</v>
      </c>
      <c r="G571" t="str">
        <v>ACE</v>
      </c>
      <c r="H571" t="str">
        <v>CNG</v>
      </c>
      <c r="I571">
        <v>4</v>
      </c>
      <c r="J571">
        <v>8</v>
      </c>
      <c r="K571">
        <v>25000</v>
      </c>
      <c r="L571">
        <v>1000</v>
      </c>
      <c r="M571">
        <v>55</v>
      </c>
      <c r="N571">
        <v>31</v>
      </c>
      <c r="O571" t="str">
        <v>PUN01 NC Cluster 143</v>
      </c>
      <c r="P571">
        <v>0</v>
      </c>
      <c r="Q571">
        <v>9.5833333333333326E-2</v>
      </c>
      <c r="R571">
        <v>0.1419212962962963</v>
      </c>
      <c r="S571">
        <v>37562</v>
      </c>
      <c r="T571">
        <v>0.32240740740740742</v>
      </c>
      <c r="U571">
        <v>0.32269675925925928</v>
      </c>
      <c r="V571">
        <v>37588</v>
      </c>
      <c r="W571">
        <v>51</v>
      </c>
      <c r="X571">
        <v>51</v>
      </c>
      <c r="Y571">
        <v>0</v>
      </c>
      <c r="Z571">
        <v>26</v>
      </c>
      <c r="AA571">
        <v>26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806.45</v>
      </c>
      <c r="AK571">
        <v>0</v>
      </c>
      <c r="AL571">
        <v>806.45</v>
      </c>
      <c r="AM571">
        <v>0</v>
      </c>
      <c r="AN571">
        <v>0</v>
      </c>
      <c r="AO571">
        <v>0</v>
      </c>
    </row>
    <row r="572" spans="1:41">
      <c r="A572">
        <v>571</v>
      </c>
      <c r="B572" s="42">
        <v>45955</v>
      </c>
      <c r="C572" t="str">
        <v>HINJEWADI</v>
      </c>
      <c r="D572" t="str">
        <v>SLK1</v>
      </c>
      <c r="E572" t="str">
        <v>SHADOWFAX TECHNOLOGIES PRIVATE LIMITED</v>
      </c>
      <c r="F572" t="str">
        <v>MH14LL6836</v>
      </c>
      <c r="G572" t="str">
        <v>ACE</v>
      </c>
      <c r="H572" t="str">
        <v>CNG</v>
      </c>
      <c r="I572">
        <v>6</v>
      </c>
      <c r="J572">
        <v>8</v>
      </c>
      <c r="K572">
        <v>33000</v>
      </c>
      <c r="L572">
        <v>2000</v>
      </c>
      <c r="M572">
        <v>55</v>
      </c>
      <c r="N572">
        <v>31</v>
      </c>
      <c r="O572" t="str">
        <v>PUN01 NC Cluster 303</v>
      </c>
      <c r="P572">
        <v>0</v>
      </c>
      <c r="Q572">
        <v>7.0833333333333331E-2</v>
      </c>
      <c r="R572">
        <v>0.13665509259259259</v>
      </c>
      <c r="S572">
        <v>35029</v>
      </c>
      <c r="T572">
        <v>0.32773148148148151</v>
      </c>
      <c r="U572">
        <v>0.32781250000000001</v>
      </c>
      <c r="V572">
        <v>35095</v>
      </c>
      <c r="W572">
        <v>22</v>
      </c>
      <c r="X572">
        <v>22</v>
      </c>
      <c r="Y572">
        <v>0</v>
      </c>
      <c r="Z572">
        <v>66</v>
      </c>
      <c r="AA572">
        <v>66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1064.52</v>
      </c>
      <c r="AK572">
        <v>0</v>
      </c>
      <c r="AL572">
        <v>1064.52</v>
      </c>
      <c r="AM572">
        <v>0</v>
      </c>
      <c r="AN572">
        <v>0</v>
      </c>
      <c r="AO572">
        <v>0</v>
      </c>
    </row>
    <row r="573" spans="1:41">
      <c r="A573">
        <v>572</v>
      </c>
      <c r="B573" s="42">
        <v>45955</v>
      </c>
      <c r="C573" t="str">
        <v>HINJEWADI</v>
      </c>
      <c r="D573" t="str">
        <v>SLK1</v>
      </c>
      <c r="E573" t="str">
        <v>SHADOWFAX TECHNOLOGIES PRIVATE LIMITED</v>
      </c>
      <c r="F573" t="str">
        <v>MH14LX6360</v>
      </c>
      <c r="G573" t="str">
        <v>ACE</v>
      </c>
      <c r="H573" t="str">
        <v>CNG</v>
      </c>
      <c r="I573">
        <v>4</v>
      </c>
      <c r="J573">
        <v>8</v>
      </c>
      <c r="K573">
        <v>25000</v>
      </c>
      <c r="L573">
        <v>1000</v>
      </c>
      <c r="M573">
        <v>55</v>
      </c>
      <c r="N573">
        <v>31</v>
      </c>
      <c r="O573" t="str">
        <v>PUN01 NC Cluster 40</v>
      </c>
      <c r="P573">
        <v>0</v>
      </c>
      <c r="Q573">
        <v>5.347222222222222E-2</v>
      </c>
      <c r="R573">
        <v>0.13925925925925928</v>
      </c>
      <c r="S573">
        <v>39478</v>
      </c>
      <c r="T573">
        <v>0.28763888888888889</v>
      </c>
      <c r="U573">
        <v>0.28777777777777774</v>
      </c>
      <c r="V573">
        <v>39494</v>
      </c>
      <c r="W573">
        <v>32</v>
      </c>
      <c r="X573">
        <v>43</v>
      </c>
      <c r="Y573">
        <v>-11</v>
      </c>
      <c r="Z573">
        <v>16</v>
      </c>
      <c r="AA573">
        <v>16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806.45</v>
      </c>
      <c r="AK573">
        <v>0</v>
      </c>
      <c r="AL573">
        <v>806.45</v>
      </c>
      <c r="AM573">
        <v>0</v>
      </c>
      <c r="AN573">
        <v>0</v>
      </c>
      <c r="AO573">
        <v>0</v>
      </c>
    </row>
    <row r="574" spans="1:41">
      <c r="A574">
        <v>573</v>
      </c>
      <c r="B574" s="42">
        <v>45955</v>
      </c>
      <c r="C574" t="str">
        <v>HINJEWADI</v>
      </c>
      <c r="D574" t="str">
        <v>SLK1</v>
      </c>
      <c r="E574" t="str">
        <v>SHADOWFAX TECHNOLOGIES PRIVATE LIMITED</v>
      </c>
      <c r="F574" t="str">
        <v>MH14MH6374</v>
      </c>
      <c r="G574" t="str">
        <v>ACE</v>
      </c>
      <c r="H574" t="str">
        <v>CNG</v>
      </c>
      <c r="I574">
        <v>4</v>
      </c>
      <c r="J574">
        <v>8</v>
      </c>
      <c r="K574">
        <v>25000</v>
      </c>
      <c r="L574">
        <v>1000</v>
      </c>
      <c r="M574">
        <v>55</v>
      </c>
      <c r="N574">
        <v>31</v>
      </c>
      <c r="O574" t="str">
        <v>PUN01 NC Cluster 201</v>
      </c>
      <c r="P574">
        <v>0</v>
      </c>
      <c r="Q574">
        <v>8.2638888888888887E-2</v>
      </c>
      <c r="R574">
        <v>0.14107638888888888</v>
      </c>
      <c r="S574">
        <v>8310</v>
      </c>
      <c r="T574">
        <v>0.30533564814814812</v>
      </c>
      <c r="U574">
        <v>0.30557870370370371</v>
      </c>
      <c r="V574">
        <v>8333</v>
      </c>
      <c r="W574">
        <v>22</v>
      </c>
      <c r="X574">
        <v>27</v>
      </c>
      <c r="Y574">
        <v>-5</v>
      </c>
      <c r="Z574">
        <v>23</v>
      </c>
      <c r="AA574">
        <v>23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806.45</v>
      </c>
      <c r="AK574">
        <v>0</v>
      </c>
      <c r="AL574">
        <v>806.45</v>
      </c>
      <c r="AM574">
        <v>0</v>
      </c>
      <c r="AN574">
        <v>0</v>
      </c>
      <c r="AO574">
        <v>0</v>
      </c>
    </row>
    <row r="575" spans="1:41">
      <c r="A575">
        <v>574</v>
      </c>
      <c r="B575" s="42">
        <v>45955</v>
      </c>
      <c r="C575" t="str">
        <v>HINJEWADI</v>
      </c>
      <c r="D575" t="str">
        <v>SLK1</v>
      </c>
      <c r="E575" t="str">
        <v>SHADOWFAX TECHNOLOGIES PRIVATE LIMITED</v>
      </c>
      <c r="F575" t="str">
        <v>MH14MH8276</v>
      </c>
      <c r="G575" t="str">
        <v>ACE</v>
      </c>
      <c r="H575" t="str">
        <v>CNG</v>
      </c>
      <c r="I575">
        <v>4</v>
      </c>
      <c r="J575">
        <v>8</v>
      </c>
      <c r="K575">
        <v>25000</v>
      </c>
      <c r="L575">
        <v>1000</v>
      </c>
      <c r="M575">
        <v>55</v>
      </c>
      <c r="N575">
        <v>31</v>
      </c>
      <c r="O575" t="str">
        <v>PUN01 NC Cluster 39</v>
      </c>
      <c r="P575">
        <v>0</v>
      </c>
      <c r="Q575">
        <v>5.2777777777777778E-2</v>
      </c>
      <c r="R575">
        <v>0.13966435185185186</v>
      </c>
      <c r="S575">
        <v>6049</v>
      </c>
      <c r="T575">
        <v>0.29033564814814816</v>
      </c>
      <c r="U575">
        <v>0.29048611111111111</v>
      </c>
      <c r="V575">
        <v>6066</v>
      </c>
      <c r="W575">
        <v>40</v>
      </c>
      <c r="X575">
        <v>36</v>
      </c>
      <c r="Y575">
        <v>4</v>
      </c>
      <c r="Z575">
        <v>17</v>
      </c>
      <c r="AA575">
        <v>17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806.45</v>
      </c>
      <c r="AK575">
        <v>0</v>
      </c>
      <c r="AL575">
        <v>806.45</v>
      </c>
      <c r="AM575">
        <v>0</v>
      </c>
      <c r="AN575">
        <v>0</v>
      </c>
      <c r="AO575">
        <v>0</v>
      </c>
    </row>
    <row r="576" spans="1:41">
      <c r="A576">
        <v>575</v>
      </c>
      <c r="B576" s="42">
        <v>45955</v>
      </c>
      <c r="C576" t="str">
        <v>HINJEWADI</v>
      </c>
      <c r="D576" t="str">
        <v>SLK1</v>
      </c>
      <c r="E576" t="str">
        <v>SHADOWFAX TECHNOLOGIES PRIVATE LIMITED</v>
      </c>
      <c r="F576" t="str">
        <v>MH20GC8804</v>
      </c>
      <c r="G576" t="str">
        <v>ACE</v>
      </c>
      <c r="H576" t="str">
        <v>CNG</v>
      </c>
      <c r="I576">
        <v>4</v>
      </c>
      <c r="J576">
        <v>8</v>
      </c>
      <c r="K576">
        <v>25000</v>
      </c>
      <c r="L576">
        <v>1000</v>
      </c>
      <c r="M576">
        <v>55</v>
      </c>
      <c r="N576">
        <v>31</v>
      </c>
      <c r="O576" t="str">
        <v>PUN01 NC Cluster 8</v>
      </c>
      <c r="P576">
        <v>0</v>
      </c>
      <c r="Q576">
        <v>0.11458333333333333</v>
      </c>
      <c r="R576">
        <v>0.13827546296296298</v>
      </c>
      <c r="S576">
        <v>42104</v>
      </c>
      <c r="T576">
        <v>0.2900462962962963</v>
      </c>
      <c r="U576">
        <v>0.29012731481481485</v>
      </c>
      <c r="V576">
        <v>42118</v>
      </c>
      <c r="W576">
        <v>35</v>
      </c>
      <c r="X576">
        <v>54</v>
      </c>
      <c r="Y576">
        <v>-19</v>
      </c>
      <c r="Z576">
        <v>14</v>
      </c>
      <c r="AA576">
        <v>14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806.45</v>
      </c>
      <c r="AK576">
        <v>0</v>
      </c>
      <c r="AL576">
        <v>806.45</v>
      </c>
      <c r="AM576">
        <v>0</v>
      </c>
      <c r="AN576">
        <v>0</v>
      </c>
      <c r="AO576">
        <v>0</v>
      </c>
    </row>
    <row r="577" spans="1:41">
      <c r="A577">
        <v>576</v>
      </c>
      <c r="B577" s="42">
        <v>45955</v>
      </c>
      <c r="C577" t="str">
        <v>HINJEWADI</v>
      </c>
      <c r="D577" t="str">
        <v>SLK1</v>
      </c>
      <c r="E577" t="str">
        <v>SHADOWFAX TECHNOLOGIES PRIVATE LIMITED</v>
      </c>
      <c r="F577" t="str">
        <v>MH14LX4839</v>
      </c>
      <c r="G577" t="str">
        <v>BOLERO</v>
      </c>
      <c r="H577" t="str">
        <v>DIESEL</v>
      </c>
      <c r="I577">
        <v>4</v>
      </c>
      <c r="J577">
        <v>10</v>
      </c>
      <c r="K577">
        <v>29000</v>
      </c>
      <c r="L577">
        <v>1000</v>
      </c>
      <c r="M577">
        <v>55</v>
      </c>
      <c r="N577">
        <v>31</v>
      </c>
      <c r="O577" t="str">
        <v>PUN01 NC Cluster 61</v>
      </c>
      <c r="P577">
        <v>0</v>
      </c>
      <c r="Q577">
        <v>8.6805555555555566E-2</v>
      </c>
      <c r="R577">
        <v>0.13739583333333333</v>
      </c>
      <c r="S577">
        <v>39741</v>
      </c>
      <c r="T577">
        <v>0.28967592592592589</v>
      </c>
      <c r="U577">
        <v>0.28979166666666667</v>
      </c>
      <c r="V577">
        <v>39773</v>
      </c>
      <c r="W577">
        <v>46</v>
      </c>
      <c r="X577">
        <v>47</v>
      </c>
      <c r="Y577">
        <v>-1</v>
      </c>
      <c r="Z577">
        <v>32</v>
      </c>
      <c r="AA577">
        <v>32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935.48</v>
      </c>
      <c r="AK577">
        <v>0</v>
      </c>
      <c r="AL577">
        <v>935.48</v>
      </c>
      <c r="AM577">
        <v>0</v>
      </c>
      <c r="AN577">
        <v>0</v>
      </c>
      <c r="AO577">
        <v>0</v>
      </c>
    </row>
    <row r="578" spans="1:41">
      <c r="A578">
        <v>577</v>
      </c>
      <c r="B578" s="42">
        <v>45955</v>
      </c>
      <c r="C578" t="str">
        <v>HINJEWADI</v>
      </c>
      <c r="D578" t="str">
        <v>SLK1</v>
      </c>
      <c r="E578" t="str">
        <v>SHADOWFAX TECHNOLOGIES PRIVATE LIMITED</v>
      </c>
      <c r="F578" t="str">
        <v>MH14MH7322</v>
      </c>
      <c r="G578" t="str">
        <v>BOLERO</v>
      </c>
      <c r="H578" t="str">
        <v>DIESEL</v>
      </c>
      <c r="I578">
        <v>4</v>
      </c>
      <c r="J578">
        <v>10</v>
      </c>
      <c r="K578">
        <v>29000</v>
      </c>
      <c r="L578">
        <v>1000</v>
      </c>
      <c r="M578">
        <v>55</v>
      </c>
      <c r="N578">
        <v>31</v>
      </c>
      <c r="O578" t="str">
        <v>PUN01 NC Cluster 110</v>
      </c>
      <c r="P578">
        <v>0</v>
      </c>
      <c r="Q578">
        <v>0.10486111111111111</v>
      </c>
      <c r="R578">
        <v>0.13746527777777778</v>
      </c>
      <c r="S578">
        <v>3697</v>
      </c>
      <c r="T578">
        <v>0.31180555555555556</v>
      </c>
      <c r="U578">
        <v>0.31189814814814815</v>
      </c>
      <c r="V578">
        <v>3726</v>
      </c>
      <c r="W578">
        <v>45</v>
      </c>
      <c r="X578">
        <v>45</v>
      </c>
      <c r="Y578">
        <v>0</v>
      </c>
      <c r="Z578">
        <v>29</v>
      </c>
      <c r="AA578">
        <v>29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935.48</v>
      </c>
      <c r="AK578">
        <v>0</v>
      </c>
      <c r="AL578">
        <v>935.48</v>
      </c>
      <c r="AM578">
        <v>0</v>
      </c>
      <c r="AN578">
        <v>0</v>
      </c>
      <c r="AO578">
        <v>0</v>
      </c>
    </row>
    <row r="579" spans="1:41">
      <c r="A579">
        <v>578</v>
      </c>
      <c r="B579" s="42">
        <v>45955</v>
      </c>
      <c r="C579" t="str">
        <v>HINJEWADI</v>
      </c>
      <c r="D579" t="str">
        <v>SLK1</v>
      </c>
      <c r="E579" t="str">
        <v>SHADOWFAX TECHNOLOGIES PRIVATE LIMITED</v>
      </c>
      <c r="F579" t="str">
        <v>MH14LB2427</v>
      </c>
      <c r="G579" t="str">
        <v>BOLERO</v>
      </c>
      <c r="H579" t="str">
        <v>DIESEL</v>
      </c>
      <c r="I579">
        <v>6</v>
      </c>
      <c r="J579">
        <v>10</v>
      </c>
      <c r="K579">
        <v>38000</v>
      </c>
      <c r="L579">
        <v>2000</v>
      </c>
      <c r="M579">
        <v>55</v>
      </c>
      <c r="N579">
        <v>31</v>
      </c>
      <c r="O579" t="str">
        <v>Back Up</v>
      </c>
      <c r="P579">
        <v>0</v>
      </c>
      <c r="Q579">
        <v>0</v>
      </c>
      <c r="R579">
        <v>0</v>
      </c>
      <c r="S579">
        <v>162153</v>
      </c>
      <c r="T579">
        <v>0</v>
      </c>
      <c r="U579">
        <v>0</v>
      </c>
      <c r="V579">
        <v>162153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1225.81</v>
      </c>
      <c r="AK579">
        <v>0</v>
      </c>
      <c r="AL579">
        <v>1225.81</v>
      </c>
      <c r="AM579">
        <v>0</v>
      </c>
      <c r="AN579">
        <v>0</v>
      </c>
      <c r="AO579">
        <v>0</v>
      </c>
    </row>
    <row r="580" spans="1:41">
      <c r="A580">
        <v>579</v>
      </c>
      <c r="B580" s="42">
        <v>45955</v>
      </c>
      <c r="C580" t="str">
        <v>HINJEWADI</v>
      </c>
      <c r="D580" t="str">
        <v>SLK1</v>
      </c>
      <c r="E580" t="str">
        <v>SHADOWFAX TECHNOLOGIES PRIVATE LIMITED</v>
      </c>
      <c r="F580" t="str">
        <v>MH16CD7321</v>
      </c>
      <c r="G580" t="str">
        <v>BOLERO</v>
      </c>
      <c r="H580" t="str">
        <v>DIESEL</v>
      </c>
      <c r="I580">
        <v>4</v>
      </c>
      <c r="J580">
        <v>10</v>
      </c>
      <c r="K580">
        <v>29000</v>
      </c>
      <c r="L580">
        <v>1000</v>
      </c>
      <c r="M580">
        <v>55</v>
      </c>
      <c r="N580">
        <v>31</v>
      </c>
      <c r="O580" t="str">
        <v>PUN01 NC Cluster 292</v>
      </c>
      <c r="P580">
        <v>0</v>
      </c>
      <c r="Q580">
        <v>9.2361111111111116E-2</v>
      </c>
      <c r="R580">
        <v>0.13853009259259261</v>
      </c>
      <c r="S580">
        <v>139725</v>
      </c>
      <c r="T580">
        <v>0.37861111111111106</v>
      </c>
      <c r="U580">
        <v>0.38289351851851849</v>
      </c>
      <c r="V580">
        <v>139753</v>
      </c>
      <c r="W580">
        <v>34</v>
      </c>
      <c r="X580">
        <v>40</v>
      </c>
      <c r="Y580">
        <v>-6</v>
      </c>
      <c r="Z580">
        <v>28</v>
      </c>
      <c r="AA580">
        <v>28</v>
      </c>
      <c r="AB580">
        <v>0</v>
      </c>
      <c r="AC580">
        <v>0</v>
      </c>
      <c r="AD580">
        <v>2</v>
      </c>
      <c r="AE580">
        <v>300</v>
      </c>
      <c r="AF580">
        <v>0</v>
      </c>
      <c r="AG580">
        <v>0</v>
      </c>
      <c r="AH580">
        <v>0</v>
      </c>
      <c r="AI580">
        <v>0</v>
      </c>
      <c r="AJ580">
        <v>1235.48</v>
      </c>
      <c r="AK580">
        <v>0</v>
      </c>
      <c r="AL580">
        <v>1235.48</v>
      </c>
      <c r="AM580">
        <v>0</v>
      </c>
      <c r="AN580">
        <v>0</v>
      </c>
      <c r="AO580">
        <v>0</v>
      </c>
    </row>
    <row r="581" spans="1:41">
      <c r="A581">
        <v>580</v>
      </c>
      <c r="B581" s="42">
        <v>45956</v>
      </c>
      <c r="C581" t="str">
        <v>HINJEWADI</v>
      </c>
      <c r="D581" t="str">
        <v>SLK1</v>
      </c>
      <c r="E581" t="str">
        <v>SHADOWFAX TECHNOLOGIES PRIVATE LIMITED</v>
      </c>
      <c r="F581" t="str">
        <v>MH03AH8989</v>
      </c>
      <c r="G581" t="str">
        <v>ACE</v>
      </c>
      <c r="H581" t="str">
        <v>CNG</v>
      </c>
      <c r="I581">
        <v>4</v>
      </c>
      <c r="J581">
        <v>8</v>
      </c>
      <c r="K581">
        <v>25000</v>
      </c>
      <c r="L581">
        <v>1000</v>
      </c>
      <c r="M581">
        <v>55</v>
      </c>
      <c r="N581">
        <v>31</v>
      </c>
      <c r="O581" t="str">
        <v>PUN01 NC Cluster 1</v>
      </c>
      <c r="P581">
        <v>0</v>
      </c>
      <c r="Q581">
        <v>4.5833333333333337E-2</v>
      </c>
      <c r="R581">
        <v>0.14150462962962962</v>
      </c>
      <c r="S581">
        <v>58111</v>
      </c>
      <c r="T581">
        <v>0.29125000000000001</v>
      </c>
      <c r="U581">
        <v>0.29135416666666664</v>
      </c>
      <c r="V581">
        <v>58117</v>
      </c>
      <c r="W581">
        <v>29</v>
      </c>
      <c r="X581">
        <v>29</v>
      </c>
      <c r="Y581">
        <v>0</v>
      </c>
      <c r="Z581">
        <v>6</v>
      </c>
      <c r="AA581">
        <v>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806.45</v>
      </c>
      <c r="AK581">
        <v>0</v>
      </c>
      <c r="AL581">
        <v>806.45</v>
      </c>
      <c r="AM581">
        <v>0</v>
      </c>
      <c r="AN581">
        <v>0</v>
      </c>
      <c r="AO581">
        <v>0</v>
      </c>
    </row>
    <row r="582" spans="1:41">
      <c r="A582">
        <v>581</v>
      </c>
      <c r="B582" s="42">
        <v>45956</v>
      </c>
      <c r="C582" t="str">
        <v>HINJEWADI</v>
      </c>
      <c r="D582" t="str">
        <v>SLK1</v>
      </c>
      <c r="E582" t="str">
        <v>SHADOWFAX TECHNOLOGIES PRIVATE LIMITED</v>
      </c>
      <c r="F582" t="str">
        <v>MH12SF9859</v>
      </c>
      <c r="G582" t="str">
        <v>ACE</v>
      </c>
      <c r="H582" t="str">
        <v>CNG</v>
      </c>
      <c r="I582">
        <v>4</v>
      </c>
      <c r="J582">
        <v>8</v>
      </c>
      <c r="K582">
        <v>25000</v>
      </c>
      <c r="L582">
        <v>1000</v>
      </c>
      <c r="M582">
        <v>55</v>
      </c>
      <c r="N582">
        <v>31</v>
      </c>
      <c r="O582" t="str">
        <v>PUN01 NC Cluster 125</v>
      </c>
      <c r="P582">
        <v>0</v>
      </c>
      <c r="Q582">
        <v>4.3055555555555562E-2</v>
      </c>
      <c r="R582">
        <v>0.14276620370370371</v>
      </c>
      <c r="S582">
        <v>110828</v>
      </c>
      <c r="T582">
        <v>0.315</v>
      </c>
      <c r="U582">
        <v>0.31510416666666669</v>
      </c>
      <c r="V582">
        <v>110853</v>
      </c>
      <c r="W582">
        <v>25</v>
      </c>
      <c r="X582">
        <v>40</v>
      </c>
      <c r="Y582">
        <v>-15</v>
      </c>
      <c r="Z582">
        <v>25</v>
      </c>
      <c r="AA582">
        <v>25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806.45</v>
      </c>
      <c r="AK582">
        <v>0</v>
      </c>
      <c r="AL582">
        <v>806.45</v>
      </c>
      <c r="AM582">
        <v>0</v>
      </c>
      <c r="AN582">
        <v>0</v>
      </c>
      <c r="AO582">
        <v>0</v>
      </c>
    </row>
    <row r="583" spans="1:41">
      <c r="A583">
        <v>582</v>
      </c>
      <c r="B583" s="42">
        <v>45956</v>
      </c>
      <c r="C583" t="str">
        <v>HINJEWADI</v>
      </c>
      <c r="D583" t="str">
        <v>SLK1</v>
      </c>
      <c r="E583" t="str">
        <v>SHADOWFAX TECHNOLOGIES PRIVATE LIMITED</v>
      </c>
      <c r="F583" t="str">
        <v>MH12UM3063</v>
      </c>
      <c r="G583" t="str">
        <v>ACE</v>
      </c>
      <c r="H583" t="str">
        <v>CNG</v>
      </c>
      <c r="I583">
        <v>6</v>
      </c>
      <c r="J583">
        <v>8</v>
      </c>
      <c r="K583">
        <v>33000</v>
      </c>
      <c r="L583">
        <v>2000</v>
      </c>
      <c r="M583">
        <v>55</v>
      </c>
      <c r="N583">
        <v>31</v>
      </c>
      <c r="O583" t="str">
        <v>PUN01 NC Cluster 229</v>
      </c>
      <c r="P583">
        <v>0</v>
      </c>
      <c r="Q583">
        <v>4.1666666666666664E-2</v>
      </c>
      <c r="R583">
        <v>0.14469907407407409</v>
      </c>
      <c r="S583">
        <v>101688</v>
      </c>
      <c r="T583">
        <v>0.31729166666666669</v>
      </c>
      <c r="U583">
        <v>0.31737268518518519</v>
      </c>
      <c r="V583">
        <v>101739</v>
      </c>
      <c r="W583">
        <v>34</v>
      </c>
      <c r="X583">
        <v>34</v>
      </c>
      <c r="Y583">
        <v>0</v>
      </c>
      <c r="Z583">
        <v>51</v>
      </c>
      <c r="AA583">
        <v>51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1064.52</v>
      </c>
      <c r="AK583">
        <v>0</v>
      </c>
      <c r="AL583">
        <v>1064.52</v>
      </c>
      <c r="AM583">
        <v>0</v>
      </c>
      <c r="AN583">
        <v>0</v>
      </c>
      <c r="AO583">
        <v>0</v>
      </c>
    </row>
    <row r="584" spans="1:41">
      <c r="A584">
        <v>583</v>
      </c>
      <c r="B584" s="42">
        <v>45956</v>
      </c>
      <c r="C584" t="str">
        <v>HINJEWADI</v>
      </c>
      <c r="D584" t="str">
        <v>SLK1</v>
      </c>
      <c r="E584" t="str">
        <v>SHADOWFAX TECHNOLOGIES PRIVATE LIMITED</v>
      </c>
      <c r="F584" t="str">
        <v>MH12VF3782</v>
      </c>
      <c r="G584" t="str">
        <v>ACE</v>
      </c>
      <c r="H584" t="str">
        <v>CNG</v>
      </c>
      <c r="I584">
        <v>4</v>
      </c>
      <c r="J584">
        <v>8</v>
      </c>
      <c r="K584">
        <v>25000</v>
      </c>
      <c r="L584">
        <v>1000</v>
      </c>
      <c r="M584">
        <v>55</v>
      </c>
      <c r="N584">
        <v>31</v>
      </c>
      <c r="O584" t="str">
        <v>PUN01 NC Cluster 1</v>
      </c>
      <c r="P584">
        <v>0</v>
      </c>
      <c r="Q584">
        <v>0.12152777777777778</v>
      </c>
      <c r="R584">
        <v>0.33357638888888891</v>
      </c>
      <c r="S584">
        <v>84376</v>
      </c>
      <c r="T584">
        <v>0.33368055555555554</v>
      </c>
      <c r="U584">
        <v>0.33436342592592588</v>
      </c>
      <c r="V584">
        <v>84376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806.45</v>
      </c>
      <c r="AK584">
        <v>0</v>
      </c>
      <c r="AL584">
        <v>806.45</v>
      </c>
      <c r="AM584">
        <v>0</v>
      </c>
      <c r="AN584">
        <v>0</v>
      </c>
      <c r="AO584">
        <v>0</v>
      </c>
    </row>
    <row r="585" spans="1:41">
      <c r="A585">
        <v>584</v>
      </c>
      <c r="B585" s="42">
        <v>45956</v>
      </c>
      <c r="C585" t="str">
        <v>HINJEWADI</v>
      </c>
      <c r="D585" t="str">
        <v>SLK1</v>
      </c>
      <c r="E585" t="str">
        <v>SHADOWFAX TECHNOLOGIES PRIVATE LIMITED</v>
      </c>
      <c r="F585" t="str">
        <v>MH12WX6236</v>
      </c>
      <c r="G585" t="str">
        <v>ACE</v>
      </c>
      <c r="H585" t="str">
        <v>CNG</v>
      </c>
      <c r="I585">
        <v>4</v>
      </c>
      <c r="J585">
        <v>8</v>
      </c>
      <c r="K585">
        <v>25000</v>
      </c>
      <c r="L585">
        <v>1000</v>
      </c>
      <c r="M585">
        <v>55</v>
      </c>
      <c r="N585">
        <v>31</v>
      </c>
      <c r="O585" t="str">
        <v>PUN01 NC Cluster 62</v>
      </c>
      <c r="P585">
        <v>0</v>
      </c>
      <c r="Q585">
        <v>4.3750000000000004E-2</v>
      </c>
      <c r="R585">
        <v>0.13428240740740741</v>
      </c>
      <c r="S585">
        <v>39272</v>
      </c>
      <c r="T585">
        <v>0.31555555555555553</v>
      </c>
      <c r="U585">
        <v>0.31569444444444444</v>
      </c>
      <c r="V585">
        <v>39360</v>
      </c>
      <c r="W585">
        <v>34</v>
      </c>
      <c r="X585">
        <v>22</v>
      </c>
      <c r="Y585">
        <v>12</v>
      </c>
      <c r="Z585">
        <v>88</v>
      </c>
      <c r="AA585">
        <v>88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806.45</v>
      </c>
      <c r="AK585">
        <v>0</v>
      </c>
      <c r="AL585">
        <v>806.45</v>
      </c>
      <c r="AM585">
        <v>0</v>
      </c>
      <c r="AN585">
        <v>0</v>
      </c>
      <c r="AO585">
        <v>0</v>
      </c>
    </row>
    <row r="586" spans="1:41">
      <c r="A586">
        <v>585</v>
      </c>
      <c r="B586" s="42">
        <v>45956</v>
      </c>
      <c r="C586" t="str">
        <v>HINJEWADI</v>
      </c>
      <c r="D586" t="str">
        <v>SLK1</v>
      </c>
      <c r="E586" t="str">
        <v>SHADOWFAX TECHNOLOGIES PRIVATE LIMITED</v>
      </c>
      <c r="F586" t="str">
        <v>MH12XM2801</v>
      </c>
      <c r="G586" t="str">
        <v>ACE</v>
      </c>
      <c r="H586" t="str">
        <v>CNG</v>
      </c>
      <c r="I586">
        <v>4</v>
      </c>
      <c r="J586">
        <v>8</v>
      </c>
      <c r="K586">
        <v>25000</v>
      </c>
      <c r="L586">
        <v>1000</v>
      </c>
      <c r="M586">
        <v>55</v>
      </c>
      <c r="N586">
        <v>31</v>
      </c>
      <c r="O586" t="str">
        <v>PUN01 NC Cluster 2</v>
      </c>
      <c r="P586">
        <v>0</v>
      </c>
      <c r="Q586">
        <v>0.11875000000000001</v>
      </c>
      <c r="R586">
        <v>0.15336805555555555</v>
      </c>
      <c r="S586">
        <v>13035</v>
      </c>
      <c r="T586">
        <v>0.3923726851851852</v>
      </c>
      <c r="U586">
        <v>0.39247685185185183</v>
      </c>
      <c r="V586">
        <v>13044</v>
      </c>
      <c r="W586">
        <v>36</v>
      </c>
      <c r="X586">
        <v>37</v>
      </c>
      <c r="Y586">
        <v>-1</v>
      </c>
      <c r="Z586">
        <v>9</v>
      </c>
      <c r="AA586">
        <v>9</v>
      </c>
      <c r="AB586">
        <v>0</v>
      </c>
      <c r="AC586">
        <v>0</v>
      </c>
      <c r="AD586">
        <v>2</v>
      </c>
      <c r="AE586">
        <v>300</v>
      </c>
      <c r="AF586">
        <v>0</v>
      </c>
      <c r="AG586">
        <v>0</v>
      </c>
      <c r="AH586">
        <v>0</v>
      </c>
      <c r="AI586">
        <v>0</v>
      </c>
      <c r="AJ586">
        <v>1106.45</v>
      </c>
      <c r="AK586">
        <v>0</v>
      </c>
      <c r="AL586">
        <v>1106.45</v>
      </c>
      <c r="AM586">
        <v>0</v>
      </c>
      <c r="AN586">
        <v>0</v>
      </c>
      <c r="AO586">
        <v>0</v>
      </c>
    </row>
    <row r="587" spans="1:41">
      <c r="A587">
        <v>586</v>
      </c>
      <c r="B587" s="42">
        <v>45956</v>
      </c>
      <c r="C587" t="str">
        <v>HINJEWADI</v>
      </c>
      <c r="D587" t="str">
        <v>SLK1</v>
      </c>
      <c r="E587" t="str">
        <v>SHADOWFAX TECHNOLOGIES PRIVATE LIMITED</v>
      </c>
      <c r="F587" t="str">
        <v>MH14CP4610</v>
      </c>
      <c r="G587" t="str">
        <v>ACE</v>
      </c>
      <c r="H587" t="str">
        <v>CNG</v>
      </c>
      <c r="I587">
        <v>4</v>
      </c>
      <c r="J587">
        <v>8</v>
      </c>
      <c r="K587">
        <v>25000</v>
      </c>
      <c r="L587">
        <v>1000</v>
      </c>
      <c r="M587">
        <v>55</v>
      </c>
      <c r="N587">
        <v>31</v>
      </c>
      <c r="O587" t="str">
        <v>PUN01 NC Cluster 87</v>
      </c>
      <c r="P587">
        <v>0</v>
      </c>
      <c r="Q587">
        <v>8.6805555555555566E-2</v>
      </c>
      <c r="R587">
        <v>0.14032407407407407</v>
      </c>
      <c r="S587">
        <v>145553</v>
      </c>
      <c r="T587">
        <v>0.30812499999999998</v>
      </c>
      <c r="U587">
        <v>0.30824074074074076</v>
      </c>
      <c r="V587">
        <v>145570</v>
      </c>
      <c r="W587">
        <v>25</v>
      </c>
      <c r="X587">
        <v>25</v>
      </c>
      <c r="Y587">
        <v>0</v>
      </c>
      <c r="Z587">
        <v>17</v>
      </c>
      <c r="AA587">
        <v>17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806.45</v>
      </c>
      <c r="AK587">
        <v>0</v>
      </c>
      <c r="AL587">
        <v>806.45</v>
      </c>
      <c r="AM587">
        <v>0</v>
      </c>
      <c r="AN587">
        <v>0</v>
      </c>
      <c r="AO587">
        <v>0</v>
      </c>
    </row>
    <row r="588" spans="1:41">
      <c r="A588">
        <v>587</v>
      </c>
      <c r="B588" s="42">
        <v>45956</v>
      </c>
      <c r="C588" t="str">
        <v>HINJEWADI</v>
      </c>
      <c r="D588" t="str">
        <v>SLK1</v>
      </c>
      <c r="E588" t="str">
        <v>SHADOWFAX TECHNOLOGIES PRIVATE LIMITED</v>
      </c>
      <c r="F588" t="str">
        <v>MH14EM3160</v>
      </c>
      <c r="G588" t="str">
        <v>ACE</v>
      </c>
      <c r="H588" t="str">
        <v>CNG</v>
      </c>
      <c r="I588">
        <v>4</v>
      </c>
      <c r="J588">
        <v>8</v>
      </c>
      <c r="K588">
        <v>25000</v>
      </c>
      <c r="L588">
        <v>1000</v>
      </c>
      <c r="M588">
        <v>55</v>
      </c>
      <c r="N588">
        <v>31</v>
      </c>
      <c r="O588" t="str">
        <v>PUN01 NC Cluster 13</v>
      </c>
      <c r="P588">
        <v>0</v>
      </c>
      <c r="Q588">
        <v>4.3055555555555562E-2</v>
      </c>
      <c r="R588">
        <v>0.14498842592592592</v>
      </c>
      <c r="S588">
        <v>166041</v>
      </c>
      <c r="T588">
        <v>0.33481481481481484</v>
      </c>
      <c r="U588">
        <v>0.33490740740740743</v>
      </c>
      <c r="V588">
        <v>166062</v>
      </c>
      <c r="W588">
        <v>32</v>
      </c>
      <c r="X588">
        <v>32</v>
      </c>
      <c r="Y588">
        <v>0</v>
      </c>
      <c r="Z588">
        <v>21</v>
      </c>
      <c r="AA588">
        <v>21</v>
      </c>
      <c r="AB588">
        <v>0</v>
      </c>
      <c r="AC588">
        <v>0</v>
      </c>
      <c r="AD588">
        <v>1</v>
      </c>
      <c r="AE588">
        <v>150</v>
      </c>
      <c r="AF588">
        <v>0</v>
      </c>
      <c r="AG588">
        <v>0</v>
      </c>
      <c r="AH588">
        <v>0</v>
      </c>
      <c r="AI588">
        <v>0</v>
      </c>
      <c r="AJ588">
        <v>956.45</v>
      </c>
      <c r="AK588">
        <v>0</v>
      </c>
      <c r="AL588">
        <v>956.45</v>
      </c>
      <c r="AM588">
        <v>0</v>
      </c>
      <c r="AN588">
        <v>0</v>
      </c>
      <c r="AO588">
        <v>0</v>
      </c>
    </row>
    <row r="589" spans="1:41">
      <c r="A589">
        <v>588</v>
      </c>
      <c r="B589" s="42">
        <v>45956</v>
      </c>
      <c r="C589" t="str">
        <v>HINJEWADI</v>
      </c>
      <c r="D589" t="str">
        <v>SLK1</v>
      </c>
      <c r="E589" t="str">
        <v>SHADOWFAX TECHNOLOGIES PRIVATE LIMITED</v>
      </c>
      <c r="F589" t="str">
        <v>MH14JL3308</v>
      </c>
      <c r="G589" t="str">
        <v>ACE</v>
      </c>
      <c r="H589" t="str">
        <v>CNG</v>
      </c>
      <c r="I589">
        <v>4</v>
      </c>
      <c r="J589">
        <v>8</v>
      </c>
      <c r="K589">
        <v>25000</v>
      </c>
      <c r="L589">
        <v>1000</v>
      </c>
      <c r="M589">
        <v>55</v>
      </c>
      <c r="N589">
        <v>31</v>
      </c>
      <c r="O589" t="str">
        <v>PUN01 NC Cluster 12</v>
      </c>
      <c r="P589">
        <v>0</v>
      </c>
      <c r="Q589">
        <v>4.3055555555555562E-2</v>
      </c>
      <c r="R589">
        <v>0.14604166666666665</v>
      </c>
      <c r="S589">
        <v>116698</v>
      </c>
      <c r="T589">
        <v>0.33394675925925926</v>
      </c>
      <c r="U589">
        <v>0.33402777777777781</v>
      </c>
      <c r="V589">
        <v>116725</v>
      </c>
      <c r="W589">
        <v>29</v>
      </c>
      <c r="X589">
        <v>53</v>
      </c>
      <c r="Y589">
        <v>-24</v>
      </c>
      <c r="Z589">
        <v>27</v>
      </c>
      <c r="AA589">
        <v>27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806.45</v>
      </c>
      <c r="AK589">
        <v>0</v>
      </c>
      <c r="AL589">
        <v>806.45</v>
      </c>
      <c r="AM589">
        <v>0</v>
      </c>
      <c r="AN589">
        <v>0</v>
      </c>
      <c r="AO589">
        <v>0</v>
      </c>
    </row>
    <row r="590" spans="1:41">
      <c r="A590">
        <v>589</v>
      </c>
      <c r="B590" s="42">
        <v>45956</v>
      </c>
      <c r="C590" t="str">
        <v>HINJEWADI</v>
      </c>
      <c r="D590" t="str">
        <v>SLK1</v>
      </c>
      <c r="E590" t="str">
        <v>SHADOWFAX TECHNOLOGIES PRIVATE LIMITED</v>
      </c>
      <c r="F590" t="str">
        <v>MH14KA0766</v>
      </c>
      <c r="G590" t="str">
        <v>ACE</v>
      </c>
      <c r="H590" t="str">
        <v>CNG</v>
      </c>
      <c r="I590">
        <v>4</v>
      </c>
      <c r="J590">
        <v>8</v>
      </c>
      <c r="K590">
        <v>25000</v>
      </c>
      <c r="L590">
        <v>1000</v>
      </c>
      <c r="M590">
        <v>55</v>
      </c>
      <c r="N590">
        <v>31</v>
      </c>
      <c r="O590" t="str">
        <v>PUN01 NC Cluster 10</v>
      </c>
      <c r="P590">
        <v>0</v>
      </c>
      <c r="Q590">
        <v>4.3750000000000004E-2</v>
      </c>
      <c r="R590">
        <v>0.14512731481481481</v>
      </c>
      <c r="S590">
        <v>145951</v>
      </c>
      <c r="T590">
        <v>0.33417824074074076</v>
      </c>
      <c r="U590">
        <v>0.33427083333333335</v>
      </c>
      <c r="V590">
        <v>145978</v>
      </c>
      <c r="W590">
        <v>33</v>
      </c>
      <c r="X590">
        <v>33</v>
      </c>
      <c r="Y590">
        <v>0</v>
      </c>
      <c r="Z590">
        <v>27</v>
      </c>
      <c r="AA590">
        <v>27</v>
      </c>
      <c r="AB590">
        <v>0</v>
      </c>
      <c r="AC590">
        <v>0</v>
      </c>
      <c r="AD590">
        <v>1</v>
      </c>
      <c r="AE590">
        <v>150</v>
      </c>
      <c r="AF590">
        <v>0</v>
      </c>
      <c r="AG590">
        <v>0</v>
      </c>
      <c r="AH590">
        <v>0</v>
      </c>
      <c r="AI590">
        <v>0</v>
      </c>
      <c r="AJ590">
        <v>956.45</v>
      </c>
      <c r="AK590">
        <v>0</v>
      </c>
      <c r="AL590">
        <v>956.45</v>
      </c>
      <c r="AM590">
        <v>0</v>
      </c>
      <c r="AN590">
        <v>0</v>
      </c>
      <c r="AO590">
        <v>0</v>
      </c>
    </row>
    <row r="591" spans="1:41">
      <c r="A591">
        <v>590</v>
      </c>
      <c r="B591" s="42">
        <v>45956</v>
      </c>
      <c r="C591" t="str">
        <v>HINJEWADI</v>
      </c>
      <c r="D591" t="str">
        <v>SLK1</v>
      </c>
      <c r="E591" t="str">
        <v>SHADOWFAX TECHNOLOGIES PRIVATE LIMITED</v>
      </c>
      <c r="F591" t="str">
        <v>MH14KA1228</v>
      </c>
      <c r="G591" t="str">
        <v>ACE</v>
      </c>
      <c r="H591" t="str">
        <v>CNG</v>
      </c>
      <c r="I591">
        <v>4</v>
      </c>
      <c r="J591">
        <v>8</v>
      </c>
      <c r="K591">
        <v>25000</v>
      </c>
      <c r="L591">
        <v>1000</v>
      </c>
      <c r="M591">
        <v>55</v>
      </c>
      <c r="N591">
        <v>31</v>
      </c>
      <c r="O591" t="str">
        <v>PUN01 NC Cluster 35</v>
      </c>
      <c r="P591">
        <v>0</v>
      </c>
      <c r="Q591">
        <v>0.11875000000000001</v>
      </c>
      <c r="R591">
        <v>0.14675925925925926</v>
      </c>
      <c r="S591">
        <v>160083</v>
      </c>
      <c r="T591">
        <v>0.34030092592592592</v>
      </c>
      <c r="U591">
        <v>0.34046296296296297</v>
      </c>
      <c r="V591">
        <v>160104</v>
      </c>
      <c r="W591">
        <v>23</v>
      </c>
      <c r="X591">
        <v>0</v>
      </c>
      <c r="Y591">
        <v>23</v>
      </c>
      <c r="Z591">
        <v>21</v>
      </c>
      <c r="AA591">
        <v>21</v>
      </c>
      <c r="AB591">
        <v>0</v>
      </c>
      <c r="AC591">
        <v>0</v>
      </c>
      <c r="AD591">
        <v>1</v>
      </c>
      <c r="AE591">
        <v>150</v>
      </c>
      <c r="AF591">
        <v>0</v>
      </c>
      <c r="AG591">
        <v>0</v>
      </c>
      <c r="AH591">
        <v>0</v>
      </c>
      <c r="AI591">
        <v>0</v>
      </c>
      <c r="AJ591">
        <v>956.45</v>
      </c>
      <c r="AK591">
        <v>0</v>
      </c>
      <c r="AL591">
        <v>956.45</v>
      </c>
      <c r="AM591">
        <v>0</v>
      </c>
      <c r="AN591">
        <v>0</v>
      </c>
      <c r="AO591">
        <v>0</v>
      </c>
    </row>
    <row r="592" spans="1:41">
      <c r="A592">
        <v>591</v>
      </c>
      <c r="B592" s="42">
        <v>45956</v>
      </c>
      <c r="C592" t="str">
        <v>HINJEWADI</v>
      </c>
      <c r="D592" t="str">
        <v>SLK1</v>
      </c>
      <c r="E592" t="str">
        <v>SHADOWFAX TECHNOLOGIES PRIVATE LIMITED</v>
      </c>
      <c r="F592" t="str">
        <v>MH14KA2871</v>
      </c>
      <c r="G592" t="str">
        <v>ACE</v>
      </c>
      <c r="H592" t="str">
        <v>CNG</v>
      </c>
      <c r="I592">
        <v>4</v>
      </c>
      <c r="J592">
        <v>8</v>
      </c>
      <c r="K592">
        <v>25000</v>
      </c>
      <c r="L592">
        <v>1000</v>
      </c>
      <c r="M592">
        <v>55</v>
      </c>
      <c r="N592">
        <v>31</v>
      </c>
      <c r="O592" t="str">
        <v>PUN01 NC Cluster 208</v>
      </c>
      <c r="P592">
        <v>0</v>
      </c>
      <c r="Q592">
        <v>4.9305555555555554E-2</v>
      </c>
      <c r="R592">
        <v>0.13579861111111111</v>
      </c>
      <c r="S592">
        <v>79302</v>
      </c>
      <c r="T592">
        <v>0.30520833333333336</v>
      </c>
      <c r="U592">
        <v>0.30531249999999999</v>
      </c>
      <c r="V592">
        <v>79337</v>
      </c>
      <c r="W592">
        <v>34</v>
      </c>
      <c r="X592">
        <v>34</v>
      </c>
      <c r="Y592">
        <v>0</v>
      </c>
      <c r="Z592">
        <v>35</v>
      </c>
      <c r="AA592">
        <v>35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806.45</v>
      </c>
      <c r="AK592">
        <v>0</v>
      </c>
      <c r="AL592">
        <v>806.45</v>
      </c>
      <c r="AM592">
        <v>0</v>
      </c>
      <c r="AN592">
        <v>0</v>
      </c>
      <c r="AO592">
        <v>0</v>
      </c>
    </row>
    <row r="593" spans="1:41">
      <c r="A593">
        <v>592</v>
      </c>
      <c r="B593" s="42">
        <v>45956</v>
      </c>
      <c r="C593" t="str">
        <v>HINJEWADI</v>
      </c>
      <c r="D593" t="str">
        <v>SLK1</v>
      </c>
      <c r="E593" t="str">
        <v>SHADOWFAX TECHNOLOGIES PRIVATE LIMITED</v>
      </c>
      <c r="F593" t="str">
        <v>MH14KA6513</v>
      </c>
      <c r="G593" t="str">
        <v>ACE</v>
      </c>
      <c r="H593" t="str">
        <v>CNG</v>
      </c>
      <c r="I593">
        <v>6</v>
      </c>
      <c r="J593">
        <v>8</v>
      </c>
      <c r="K593">
        <v>33000</v>
      </c>
      <c r="L593">
        <v>2000</v>
      </c>
      <c r="M593">
        <v>55</v>
      </c>
      <c r="N593">
        <v>31</v>
      </c>
      <c r="O593" t="str">
        <v>PUN01 NC Cluster 300</v>
      </c>
      <c r="P593">
        <v>0</v>
      </c>
      <c r="Q593">
        <v>4.2361111111111106E-2</v>
      </c>
      <c r="R593">
        <v>0.14484953703703704</v>
      </c>
      <c r="S593">
        <v>48803</v>
      </c>
      <c r="T593">
        <v>0.3304050925925926</v>
      </c>
      <c r="U593">
        <v>0.33200231481481485</v>
      </c>
      <c r="V593">
        <v>48862</v>
      </c>
      <c r="W593">
        <v>20</v>
      </c>
      <c r="X593">
        <v>58</v>
      </c>
      <c r="Y593">
        <v>-38</v>
      </c>
      <c r="Z593">
        <v>59</v>
      </c>
      <c r="AA593">
        <v>59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1064.52</v>
      </c>
      <c r="AK593">
        <v>0</v>
      </c>
      <c r="AL593">
        <v>1064.52</v>
      </c>
      <c r="AM593">
        <v>0</v>
      </c>
      <c r="AN593">
        <v>0</v>
      </c>
      <c r="AO593">
        <v>0</v>
      </c>
    </row>
    <row r="594" spans="1:41">
      <c r="A594">
        <v>593</v>
      </c>
      <c r="B594" s="42">
        <v>45956</v>
      </c>
      <c r="C594" t="str">
        <v>HINJEWADI</v>
      </c>
      <c r="D594" t="str">
        <v>SLK1</v>
      </c>
      <c r="E594" t="str">
        <v>SHADOWFAX TECHNOLOGIES PRIVATE LIMITED</v>
      </c>
      <c r="F594" t="str">
        <v>MH14KQ0279</v>
      </c>
      <c r="G594" t="str">
        <v>ACE</v>
      </c>
      <c r="H594" t="str">
        <v>CNG</v>
      </c>
      <c r="I594">
        <v>4</v>
      </c>
      <c r="J594">
        <v>8</v>
      </c>
      <c r="K594">
        <v>25000</v>
      </c>
      <c r="L594">
        <v>1000</v>
      </c>
      <c r="M594">
        <v>55</v>
      </c>
      <c r="N594">
        <v>31</v>
      </c>
      <c r="O594" t="str">
        <v>PUN01 NC Cluster 199</v>
      </c>
      <c r="P594">
        <v>0</v>
      </c>
      <c r="Q594">
        <v>8.7500000000000008E-2</v>
      </c>
      <c r="R594">
        <v>0.1398263888888889</v>
      </c>
      <c r="S594">
        <v>119014</v>
      </c>
      <c r="T594">
        <v>0.31140046296296298</v>
      </c>
      <c r="U594">
        <v>0.31160879629629629</v>
      </c>
      <c r="V594">
        <v>119037</v>
      </c>
      <c r="W594">
        <v>12</v>
      </c>
      <c r="X594">
        <v>12</v>
      </c>
      <c r="Y594">
        <v>0</v>
      </c>
      <c r="Z594">
        <v>23</v>
      </c>
      <c r="AA594">
        <v>23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806.45</v>
      </c>
      <c r="AK594">
        <v>0</v>
      </c>
      <c r="AL594">
        <v>806.45</v>
      </c>
      <c r="AM594">
        <v>0</v>
      </c>
      <c r="AN594">
        <v>0</v>
      </c>
      <c r="AO594">
        <v>0</v>
      </c>
    </row>
    <row r="595" spans="1:41">
      <c r="A595">
        <v>594</v>
      </c>
      <c r="B595" s="42">
        <v>45956</v>
      </c>
      <c r="C595" t="str">
        <v>HINJEWADI</v>
      </c>
      <c r="D595" t="str">
        <v>SLK1</v>
      </c>
      <c r="E595" t="str">
        <v>SHADOWFAX TECHNOLOGIES PRIVATE LIMITED</v>
      </c>
      <c r="F595" t="str">
        <v>MH14LB4598</v>
      </c>
      <c r="G595" t="str">
        <v>ACE</v>
      </c>
      <c r="H595" t="str">
        <v>CNG</v>
      </c>
      <c r="I595">
        <v>4</v>
      </c>
      <c r="J595">
        <v>8</v>
      </c>
      <c r="K595">
        <v>25000</v>
      </c>
      <c r="L595">
        <v>1000</v>
      </c>
      <c r="M595">
        <v>55</v>
      </c>
      <c r="N595">
        <v>31</v>
      </c>
      <c r="O595" t="str">
        <v>PUN01 NC Cluster 93</v>
      </c>
      <c r="P595">
        <v>0</v>
      </c>
      <c r="Q595">
        <v>5.5555555555555552E-2</v>
      </c>
      <c r="R595">
        <v>0.14546296296296296</v>
      </c>
      <c r="S595">
        <v>66592</v>
      </c>
      <c r="T595">
        <v>0.39072916666666663</v>
      </c>
      <c r="U595">
        <v>0.39101851851851849</v>
      </c>
      <c r="V595">
        <v>66601</v>
      </c>
      <c r="W595">
        <v>34</v>
      </c>
      <c r="X595">
        <v>24</v>
      </c>
      <c r="Y595">
        <v>10</v>
      </c>
      <c r="Z595">
        <v>9</v>
      </c>
      <c r="AA595">
        <v>9</v>
      </c>
      <c r="AB595">
        <v>0</v>
      </c>
      <c r="AC595">
        <v>0</v>
      </c>
      <c r="AD595">
        <v>2</v>
      </c>
      <c r="AE595">
        <v>300</v>
      </c>
      <c r="AF595">
        <v>0</v>
      </c>
      <c r="AG595">
        <v>0</v>
      </c>
      <c r="AH595">
        <v>0</v>
      </c>
      <c r="AI595">
        <v>0</v>
      </c>
      <c r="AJ595">
        <v>1106.45</v>
      </c>
      <c r="AK595">
        <v>0</v>
      </c>
      <c r="AL595">
        <v>1106.45</v>
      </c>
      <c r="AM595">
        <v>0</v>
      </c>
      <c r="AN595">
        <v>0</v>
      </c>
      <c r="AO595">
        <v>0</v>
      </c>
    </row>
    <row r="596" spans="1:41">
      <c r="A596">
        <v>595</v>
      </c>
      <c r="B596" s="42">
        <v>45956</v>
      </c>
      <c r="C596" t="str">
        <v>HINJEWADI</v>
      </c>
      <c r="D596" t="str">
        <v>SLK1</v>
      </c>
      <c r="E596" t="str">
        <v>SHADOWFAX TECHNOLOGIES PRIVATE LIMITED</v>
      </c>
      <c r="F596" t="str">
        <v>MH14LB6751</v>
      </c>
      <c r="G596" t="str">
        <v>ACE</v>
      </c>
      <c r="H596" t="str">
        <v>CNG</v>
      </c>
      <c r="I596">
        <v>4</v>
      </c>
      <c r="J596">
        <v>8</v>
      </c>
      <c r="K596">
        <v>25000</v>
      </c>
      <c r="L596">
        <v>1000</v>
      </c>
      <c r="M596">
        <v>55</v>
      </c>
      <c r="N596">
        <v>31</v>
      </c>
      <c r="O596" t="str">
        <v>PUN01 NC Cluster 36</v>
      </c>
      <c r="P596">
        <v>0</v>
      </c>
      <c r="Q596">
        <v>4.5833333333333337E-2</v>
      </c>
      <c r="R596">
        <v>0.13936342592592593</v>
      </c>
      <c r="S596">
        <v>85635</v>
      </c>
      <c r="T596">
        <v>0.3059837962962963</v>
      </c>
      <c r="U596">
        <v>0.30607638888888888</v>
      </c>
      <c r="V596">
        <v>85652</v>
      </c>
      <c r="W596">
        <v>22</v>
      </c>
      <c r="X596">
        <v>22</v>
      </c>
      <c r="Y596">
        <v>0</v>
      </c>
      <c r="Z596">
        <v>17</v>
      </c>
      <c r="AA596">
        <v>17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806.45</v>
      </c>
      <c r="AK596">
        <v>0</v>
      </c>
      <c r="AL596">
        <v>806.45</v>
      </c>
      <c r="AM596">
        <v>0</v>
      </c>
      <c r="AN596">
        <v>0</v>
      </c>
      <c r="AO596">
        <v>0</v>
      </c>
    </row>
    <row r="597" spans="1:41">
      <c r="A597">
        <v>596</v>
      </c>
      <c r="B597" s="42">
        <v>45956</v>
      </c>
      <c r="C597" t="str">
        <v>HINJEWADI</v>
      </c>
      <c r="D597" t="str">
        <v>SLK1</v>
      </c>
      <c r="E597" t="str">
        <v>SHADOWFAX TECHNOLOGIES PRIVATE LIMITED</v>
      </c>
      <c r="F597" t="str">
        <v>MH14LL5974</v>
      </c>
      <c r="G597" t="str">
        <v>ACE</v>
      </c>
      <c r="H597" t="str">
        <v>CNG</v>
      </c>
      <c r="I597">
        <v>4</v>
      </c>
      <c r="J597">
        <v>8</v>
      </c>
      <c r="K597">
        <v>25000</v>
      </c>
      <c r="L597">
        <v>1000</v>
      </c>
      <c r="M597">
        <v>55</v>
      </c>
      <c r="N597">
        <v>31</v>
      </c>
      <c r="O597" t="str">
        <v>PUN01 NC Cluster 128</v>
      </c>
      <c r="P597">
        <v>0</v>
      </c>
      <c r="Q597">
        <v>9.1666666666666674E-2</v>
      </c>
      <c r="R597">
        <v>0.14348379629629629</v>
      </c>
      <c r="S597">
        <v>37650</v>
      </c>
      <c r="T597">
        <v>0.39079861111111108</v>
      </c>
      <c r="U597">
        <v>0.39156250000000004</v>
      </c>
      <c r="V597">
        <v>37680</v>
      </c>
      <c r="W597">
        <v>32</v>
      </c>
      <c r="X597">
        <v>31</v>
      </c>
      <c r="Y597">
        <v>1</v>
      </c>
      <c r="Z597">
        <v>30</v>
      </c>
      <c r="AA597">
        <v>30</v>
      </c>
      <c r="AB597">
        <v>0</v>
      </c>
      <c r="AC597">
        <v>0</v>
      </c>
      <c r="AD597">
        <v>2</v>
      </c>
      <c r="AE597">
        <v>300</v>
      </c>
      <c r="AF597">
        <v>0</v>
      </c>
      <c r="AG597">
        <v>0</v>
      </c>
      <c r="AH597">
        <v>0</v>
      </c>
      <c r="AI597">
        <v>0</v>
      </c>
      <c r="AJ597">
        <v>1106.45</v>
      </c>
      <c r="AK597">
        <v>0</v>
      </c>
      <c r="AL597">
        <v>1106.45</v>
      </c>
      <c r="AM597">
        <v>0</v>
      </c>
      <c r="AN597">
        <v>0</v>
      </c>
      <c r="AO597">
        <v>0</v>
      </c>
    </row>
    <row r="598" spans="1:41">
      <c r="A598">
        <v>597</v>
      </c>
      <c r="B598" s="42">
        <v>45956</v>
      </c>
      <c r="C598" t="str">
        <v>HINJEWADI</v>
      </c>
      <c r="D598" t="str">
        <v>SLK1</v>
      </c>
      <c r="E598" t="str">
        <v>SHADOWFAX TECHNOLOGIES PRIVATE LIMITED</v>
      </c>
      <c r="F598" t="str">
        <v>MH14LL6836</v>
      </c>
      <c r="G598" t="str">
        <v>ACE</v>
      </c>
      <c r="H598" t="str">
        <v>CNG</v>
      </c>
      <c r="I598">
        <v>6</v>
      </c>
      <c r="J598">
        <v>8</v>
      </c>
      <c r="K598">
        <v>33000</v>
      </c>
      <c r="L598">
        <v>2000</v>
      </c>
      <c r="M598">
        <v>55</v>
      </c>
      <c r="N598">
        <v>31</v>
      </c>
      <c r="O598" t="str">
        <v>PUN01 NC Cluster 303</v>
      </c>
      <c r="P598">
        <v>0</v>
      </c>
      <c r="Q598">
        <v>8.1250000000000003E-2</v>
      </c>
      <c r="R598">
        <v>0.14622685185185186</v>
      </c>
      <c r="S598">
        <v>35158</v>
      </c>
      <c r="T598">
        <v>0.3586805555555555</v>
      </c>
      <c r="U598">
        <v>0.35940972222222217</v>
      </c>
      <c r="V598">
        <v>35226</v>
      </c>
      <c r="W598">
        <v>25</v>
      </c>
      <c r="X598">
        <v>23</v>
      </c>
      <c r="Y598">
        <v>2</v>
      </c>
      <c r="Z598">
        <v>68</v>
      </c>
      <c r="AA598">
        <v>68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1064.52</v>
      </c>
      <c r="AK598">
        <v>0</v>
      </c>
      <c r="AL598">
        <v>1064.52</v>
      </c>
      <c r="AM598">
        <v>0</v>
      </c>
      <c r="AN598">
        <v>0</v>
      </c>
      <c r="AO598">
        <v>0</v>
      </c>
    </row>
    <row r="599" spans="1:41">
      <c r="A599">
        <v>598</v>
      </c>
      <c r="B599" s="42">
        <v>45956</v>
      </c>
      <c r="C599" t="str">
        <v>HINJEWADI</v>
      </c>
      <c r="D599" t="str">
        <v>SLK1</v>
      </c>
      <c r="E599" t="str">
        <v>SHADOWFAX TECHNOLOGIES PRIVATE LIMITED</v>
      </c>
      <c r="F599" t="str">
        <v>MH14LX6360</v>
      </c>
      <c r="G599" t="str">
        <v>ACE</v>
      </c>
      <c r="H599" t="str">
        <v>CNG</v>
      </c>
      <c r="I599">
        <v>4</v>
      </c>
      <c r="J599">
        <v>8</v>
      </c>
      <c r="K599">
        <v>25000</v>
      </c>
      <c r="L599">
        <v>1000</v>
      </c>
      <c r="M599">
        <v>55</v>
      </c>
      <c r="N599">
        <v>31</v>
      </c>
      <c r="O599" t="str">
        <v>PUN01 NC Cluster 208</v>
      </c>
      <c r="P599">
        <v>0</v>
      </c>
      <c r="Q599">
        <v>0.12083333333333333</v>
      </c>
      <c r="R599">
        <v>0.1454398148148148</v>
      </c>
      <c r="S599">
        <v>39611</v>
      </c>
      <c r="T599">
        <v>0.30660879629629628</v>
      </c>
      <c r="U599">
        <v>0.30675925925925923</v>
      </c>
      <c r="V599">
        <v>39635</v>
      </c>
      <c r="W599">
        <v>22</v>
      </c>
      <c r="X599">
        <v>0</v>
      </c>
      <c r="Y599">
        <v>22</v>
      </c>
      <c r="Z599">
        <v>24</v>
      </c>
      <c r="AA599">
        <v>24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806.45</v>
      </c>
      <c r="AK599">
        <v>0</v>
      </c>
      <c r="AL599">
        <v>806.45</v>
      </c>
      <c r="AM599">
        <v>0</v>
      </c>
      <c r="AN599">
        <v>0</v>
      </c>
      <c r="AO599">
        <v>0</v>
      </c>
    </row>
    <row r="600" spans="1:41">
      <c r="A600">
        <v>599</v>
      </c>
      <c r="B600" s="42">
        <v>45956</v>
      </c>
      <c r="C600" t="str">
        <v>HINJEWADI</v>
      </c>
      <c r="D600" t="str">
        <v>SLK1</v>
      </c>
      <c r="E600" t="str">
        <v>SHADOWFAX TECHNOLOGIES PRIVATE LIMITED</v>
      </c>
      <c r="F600" t="str">
        <v>MH14MH6374</v>
      </c>
      <c r="G600" t="str">
        <v>ACE</v>
      </c>
      <c r="H600" t="str">
        <v>CNG</v>
      </c>
      <c r="I600">
        <v>4</v>
      </c>
      <c r="J600">
        <v>8</v>
      </c>
      <c r="K600">
        <v>25000</v>
      </c>
      <c r="L600">
        <v>1000</v>
      </c>
      <c r="M600">
        <v>55</v>
      </c>
      <c r="N600">
        <v>31</v>
      </c>
      <c r="O600" t="str">
        <v>PUN01 NC Cluster 201</v>
      </c>
      <c r="P600">
        <v>0</v>
      </c>
      <c r="Q600">
        <v>4.7222222222222221E-2</v>
      </c>
      <c r="R600">
        <v>0.13915509259259259</v>
      </c>
      <c r="S600">
        <v>8372</v>
      </c>
      <c r="T600">
        <v>0.33581018518518518</v>
      </c>
      <c r="U600">
        <v>0.33587962962962964</v>
      </c>
      <c r="V600">
        <v>8406</v>
      </c>
      <c r="W600">
        <v>27</v>
      </c>
      <c r="X600">
        <v>27</v>
      </c>
      <c r="Y600">
        <v>0</v>
      </c>
      <c r="Z600">
        <v>34</v>
      </c>
      <c r="AA600">
        <v>34</v>
      </c>
      <c r="AB600">
        <v>0</v>
      </c>
      <c r="AC600">
        <v>0</v>
      </c>
      <c r="AD600">
        <v>1</v>
      </c>
      <c r="AE600">
        <v>150</v>
      </c>
      <c r="AF600">
        <v>0</v>
      </c>
      <c r="AG600">
        <v>0</v>
      </c>
      <c r="AH600">
        <v>0</v>
      </c>
      <c r="AI600">
        <v>0</v>
      </c>
      <c r="AJ600">
        <v>956.45</v>
      </c>
      <c r="AK600">
        <v>0</v>
      </c>
      <c r="AL600">
        <v>956.45</v>
      </c>
      <c r="AM600">
        <v>0</v>
      </c>
      <c r="AN600">
        <v>0</v>
      </c>
      <c r="AO600">
        <v>0</v>
      </c>
    </row>
    <row r="601" spans="1:41">
      <c r="A601">
        <v>600</v>
      </c>
      <c r="B601" s="42">
        <v>45956</v>
      </c>
      <c r="C601" t="str">
        <v>HINJEWADI</v>
      </c>
      <c r="D601" t="str">
        <v>SLK1</v>
      </c>
      <c r="E601" t="str">
        <v>SHADOWFAX TECHNOLOGIES PRIVATE LIMITED</v>
      </c>
      <c r="F601" t="str">
        <v>MH14MH8276</v>
      </c>
      <c r="G601" t="str">
        <v>ACE</v>
      </c>
      <c r="H601" t="str">
        <v>CNG</v>
      </c>
      <c r="I601">
        <v>4</v>
      </c>
      <c r="J601">
        <v>8</v>
      </c>
      <c r="K601">
        <v>25000</v>
      </c>
      <c r="L601">
        <v>1000</v>
      </c>
      <c r="M601">
        <v>55</v>
      </c>
      <c r="N601">
        <v>31</v>
      </c>
      <c r="O601" t="str">
        <v>PUN01 NC Cluster 38</v>
      </c>
      <c r="P601">
        <v>0</v>
      </c>
      <c r="Q601">
        <v>4.6527777777777779E-2</v>
      </c>
      <c r="R601">
        <v>0.13999999999999999</v>
      </c>
      <c r="S601">
        <v>6134</v>
      </c>
      <c r="T601">
        <v>0.3049189814814815</v>
      </c>
      <c r="U601">
        <v>0.30502314814814818</v>
      </c>
      <c r="V601">
        <v>6147</v>
      </c>
      <c r="W601">
        <v>30</v>
      </c>
      <c r="X601">
        <v>35</v>
      </c>
      <c r="Y601">
        <v>-5</v>
      </c>
      <c r="Z601">
        <v>13</v>
      </c>
      <c r="AA601">
        <v>13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806.45</v>
      </c>
      <c r="AK601">
        <v>0</v>
      </c>
      <c r="AL601">
        <v>806.45</v>
      </c>
      <c r="AM601">
        <v>0</v>
      </c>
      <c r="AN601">
        <v>0</v>
      </c>
      <c r="AO601">
        <v>0</v>
      </c>
    </row>
    <row r="602" spans="1:41">
      <c r="A602">
        <v>601</v>
      </c>
      <c r="B602" s="42">
        <v>45956</v>
      </c>
      <c r="C602" t="str">
        <v>HINJEWADI</v>
      </c>
      <c r="D602" t="str">
        <v>SLK1</v>
      </c>
      <c r="E602" t="str">
        <v>SHADOWFAX TECHNOLOGIES PRIVATE LIMITED</v>
      </c>
      <c r="F602" t="str">
        <v>MH20GC8804</v>
      </c>
      <c r="G602" t="str">
        <v>ACE</v>
      </c>
      <c r="H602" t="str">
        <v>CNG</v>
      </c>
      <c r="I602">
        <v>4</v>
      </c>
      <c r="J602">
        <v>8</v>
      </c>
      <c r="K602">
        <v>25000</v>
      </c>
      <c r="L602">
        <v>1000</v>
      </c>
      <c r="M602">
        <v>55</v>
      </c>
      <c r="N602">
        <v>31</v>
      </c>
      <c r="O602" t="str">
        <v>PUN01 NC Cluster 37</v>
      </c>
      <c r="P602">
        <v>0</v>
      </c>
      <c r="Q602">
        <v>0.1111111111111111</v>
      </c>
      <c r="R602">
        <v>0.14324074074074075</v>
      </c>
      <c r="S602">
        <v>42232</v>
      </c>
      <c r="T602">
        <v>0.30267361111111107</v>
      </c>
      <c r="U602">
        <v>0.30305555555555558</v>
      </c>
      <c r="V602">
        <v>42245</v>
      </c>
      <c r="W602">
        <v>10</v>
      </c>
      <c r="X602">
        <v>27</v>
      </c>
      <c r="Y602">
        <v>-17</v>
      </c>
      <c r="Z602">
        <v>13</v>
      </c>
      <c r="AA602">
        <v>13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806.45</v>
      </c>
      <c r="AK602">
        <v>0</v>
      </c>
      <c r="AL602">
        <v>806.45</v>
      </c>
      <c r="AM602">
        <v>0</v>
      </c>
      <c r="AN602">
        <v>0</v>
      </c>
      <c r="AO602">
        <v>0</v>
      </c>
    </row>
    <row r="603" spans="1:41">
      <c r="A603">
        <v>602</v>
      </c>
      <c r="B603" s="42">
        <v>45956</v>
      </c>
      <c r="C603" t="str">
        <v>HINJEWADI</v>
      </c>
      <c r="D603" t="str">
        <v>SLK1</v>
      </c>
      <c r="E603" t="str">
        <v>SHADOWFAX TECHNOLOGIES PRIVATE LIMITED</v>
      </c>
      <c r="F603" t="str">
        <v>MH12YQ2365</v>
      </c>
      <c r="G603" t="str">
        <v>BOLERO</v>
      </c>
      <c r="H603" t="str">
        <v>DIESEL</v>
      </c>
      <c r="I603">
        <v>4</v>
      </c>
      <c r="J603">
        <v>10</v>
      </c>
      <c r="K603">
        <v>29000</v>
      </c>
      <c r="L603">
        <v>1000</v>
      </c>
      <c r="M603">
        <v>55</v>
      </c>
      <c r="N603">
        <v>31</v>
      </c>
      <c r="O603" t="str">
        <v>PUN01 NC Cluster 1</v>
      </c>
      <c r="P603">
        <v>0</v>
      </c>
      <c r="Q603">
        <v>0.12291666666666667</v>
      </c>
      <c r="R603">
        <v>0.33320601851851855</v>
      </c>
      <c r="S603">
        <v>124</v>
      </c>
      <c r="T603">
        <v>0.33333333333333331</v>
      </c>
      <c r="U603">
        <v>0.33340277777777777</v>
      </c>
      <c r="V603">
        <v>124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935.48</v>
      </c>
      <c r="AK603">
        <v>0</v>
      </c>
      <c r="AL603">
        <v>935.48</v>
      </c>
      <c r="AM603">
        <v>0</v>
      </c>
      <c r="AN603">
        <v>0</v>
      </c>
      <c r="AO603">
        <v>0</v>
      </c>
    </row>
    <row r="604" spans="1:41">
      <c r="A604">
        <v>603</v>
      </c>
      <c r="B604" s="42">
        <v>45956</v>
      </c>
      <c r="C604" t="str">
        <v>HINJEWADI</v>
      </c>
      <c r="D604" t="str">
        <v>SLK1</v>
      </c>
      <c r="E604" t="str">
        <v>SHADOWFAX TECHNOLOGIES PRIVATE LIMITED</v>
      </c>
      <c r="F604" t="str">
        <v>MH14LL4513</v>
      </c>
      <c r="G604" t="str">
        <v>BOLERO</v>
      </c>
      <c r="H604" t="str">
        <v>DIESEL</v>
      </c>
      <c r="I604">
        <v>4</v>
      </c>
      <c r="J604">
        <v>10</v>
      </c>
      <c r="K604">
        <v>29000</v>
      </c>
      <c r="L604">
        <v>1000</v>
      </c>
      <c r="M604">
        <v>55</v>
      </c>
      <c r="N604">
        <v>31</v>
      </c>
      <c r="O604" t="str">
        <v>PUN01 NC Cluster 72</v>
      </c>
      <c r="P604">
        <v>0</v>
      </c>
      <c r="Q604">
        <v>0.1111111111111111</v>
      </c>
      <c r="R604">
        <v>0.14305555555555557</v>
      </c>
      <c r="S604">
        <v>33213</v>
      </c>
      <c r="T604">
        <v>0.33545138888888887</v>
      </c>
      <c r="U604">
        <v>0.33557870370370368</v>
      </c>
      <c r="V604">
        <v>33230</v>
      </c>
      <c r="W604">
        <v>35</v>
      </c>
      <c r="X604">
        <v>36</v>
      </c>
      <c r="Y604">
        <v>-1</v>
      </c>
      <c r="Z604">
        <v>17</v>
      </c>
      <c r="AA604">
        <v>17</v>
      </c>
      <c r="AB604">
        <v>0</v>
      </c>
      <c r="AC604">
        <v>0</v>
      </c>
      <c r="AD604">
        <v>1</v>
      </c>
      <c r="AE604">
        <v>150</v>
      </c>
      <c r="AF604">
        <v>0</v>
      </c>
      <c r="AG604">
        <v>0</v>
      </c>
      <c r="AH604">
        <v>0</v>
      </c>
      <c r="AI604">
        <v>0</v>
      </c>
      <c r="AJ604">
        <v>1085.48</v>
      </c>
      <c r="AK604">
        <v>0</v>
      </c>
      <c r="AL604">
        <v>1085.48</v>
      </c>
      <c r="AM604">
        <v>0</v>
      </c>
      <c r="AN604">
        <v>0</v>
      </c>
      <c r="AO604">
        <v>0</v>
      </c>
    </row>
    <row r="605" spans="1:41">
      <c r="A605">
        <v>604</v>
      </c>
      <c r="B605" s="42">
        <v>45956</v>
      </c>
      <c r="C605" t="str">
        <v>HINJEWADI</v>
      </c>
      <c r="D605" t="str">
        <v>SLK1</v>
      </c>
      <c r="E605" t="str">
        <v>SHADOWFAX TECHNOLOGIES PRIVATE LIMITED</v>
      </c>
      <c r="F605" t="str">
        <v>MH14LX4839</v>
      </c>
      <c r="G605" t="str">
        <v>BOLERO</v>
      </c>
      <c r="H605" t="str">
        <v>DIESEL</v>
      </c>
      <c r="I605">
        <v>4</v>
      </c>
      <c r="J605">
        <v>10</v>
      </c>
      <c r="K605">
        <v>29000</v>
      </c>
      <c r="L605">
        <v>1000</v>
      </c>
      <c r="M605">
        <v>55</v>
      </c>
      <c r="N605">
        <v>31</v>
      </c>
      <c r="O605" t="str">
        <v>PUN01 NC Cluster 114</v>
      </c>
      <c r="P605">
        <v>0</v>
      </c>
      <c r="Q605">
        <v>7.6388888888888895E-2</v>
      </c>
      <c r="R605">
        <v>0.13503472222222221</v>
      </c>
      <c r="S605">
        <v>39843</v>
      </c>
      <c r="T605">
        <v>0.31776620370370373</v>
      </c>
      <c r="U605">
        <v>0.31784722222222223</v>
      </c>
      <c r="V605">
        <v>39879</v>
      </c>
      <c r="W605">
        <v>50</v>
      </c>
      <c r="X605">
        <v>50</v>
      </c>
      <c r="Y605">
        <v>0</v>
      </c>
      <c r="Z605">
        <v>36</v>
      </c>
      <c r="AA605">
        <v>36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935.48</v>
      </c>
      <c r="AK605">
        <v>0</v>
      </c>
      <c r="AL605">
        <v>935.48</v>
      </c>
      <c r="AM605">
        <v>0</v>
      </c>
      <c r="AN605">
        <v>0</v>
      </c>
      <c r="AO605">
        <v>0</v>
      </c>
    </row>
    <row r="606" spans="1:41">
      <c r="A606">
        <v>605</v>
      </c>
      <c r="B606" s="42">
        <v>45956</v>
      </c>
      <c r="C606" t="str">
        <v>HINJEWADI</v>
      </c>
      <c r="D606" t="str">
        <v>SLK1</v>
      </c>
      <c r="E606" t="str">
        <v>SHADOWFAX TECHNOLOGIES PRIVATE LIMITED</v>
      </c>
      <c r="F606" t="str">
        <v>MH14MH7322</v>
      </c>
      <c r="G606" t="str">
        <v>BOLERO</v>
      </c>
      <c r="H606" t="str">
        <v>DIESEL</v>
      </c>
      <c r="I606">
        <v>4</v>
      </c>
      <c r="J606">
        <v>10</v>
      </c>
      <c r="K606">
        <v>29000</v>
      </c>
      <c r="L606">
        <v>1000</v>
      </c>
      <c r="M606">
        <v>55</v>
      </c>
      <c r="N606">
        <v>31</v>
      </c>
      <c r="O606" t="str">
        <v>PUN01 NC Cluster 142</v>
      </c>
      <c r="P606">
        <v>0</v>
      </c>
      <c r="Q606">
        <v>0.10069444444444443</v>
      </c>
      <c r="R606">
        <v>0.14097222222222222</v>
      </c>
      <c r="S606">
        <v>3748</v>
      </c>
      <c r="T606">
        <v>0.29072916666666665</v>
      </c>
      <c r="U606">
        <v>0.29097222222222224</v>
      </c>
      <c r="V606">
        <v>3775</v>
      </c>
      <c r="W606">
        <v>53</v>
      </c>
      <c r="X606">
        <v>53</v>
      </c>
      <c r="Y606">
        <v>0</v>
      </c>
      <c r="Z606">
        <v>27</v>
      </c>
      <c r="AA606">
        <v>27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935.48</v>
      </c>
      <c r="AK606">
        <v>0</v>
      </c>
      <c r="AL606">
        <v>935.48</v>
      </c>
      <c r="AM606">
        <v>0</v>
      </c>
      <c r="AN606">
        <v>0</v>
      </c>
      <c r="AO606">
        <v>0</v>
      </c>
    </row>
    <row r="607" spans="1:41">
      <c r="A607">
        <v>606</v>
      </c>
      <c r="B607" s="42">
        <v>45956</v>
      </c>
      <c r="C607" t="str">
        <v>HINJEWADI</v>
      </c>
      <c r="D607" t="str">
        <v>SLK1</v>
      </c>
      <c r="E607" t="str">
        <v>SHADOWFAX TECHNOLOGIES PRIVATE LIMITED</v>
      </c>
      <c r="F607" t="str">
        <v>MH16CD7321</v>
      </c>
      <c r="G607" t="str">
        <v>BOLERO</v>
      </c>
      <c r="H607" t="str">
        <v>DIESEL</v>
      </c>
      <c r="I607">
        <v>4</v>
      </c>
      <c r="J607">
        <v>10</v>
      </c>
      <c r="K607">
        <v>29000</v>
      </c>
      <c r="L607">
        <v>1000</v>
      </c>
      <c r="M607">
        <v>55</v>
      </c>
      <c r="N607">
        <v>31</v>
      </c>
      <c r="O607" t="str">
        <v>PUN01 NC Cluster 135</v>
      </c>
      <c r="P607">
        <v>0</v>
      </c>
      <c r="Q607">
        <v>9.4444444444444442E-2</v>
      </c>
      <c r="R607">
        <v>0.14388888888888887</v>
      </c>
      <c r="S607">
        <v>139770</v>
      </c>
      <c r="T607">
        <v>0.3183449074074074</v>
      </c>
      <c r="U607">
        <v>0.31847222222222221</v>
      </c>
      <c r="V607">
        <v>139801</v>
      </c>
      <c r="W607">
        <v>35</v>
      </c>
      <c r="X607">
        <v>77</v>
      </c>
      <c r="Y607">
        <v>-42</v>
      </c>
      <c r="Z607">
        <v>31</v>
      </c>
      <c r="AA607">
        <v>31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935.48</v>
      </c>
      <c r="AK607">
        <v>0</v>
      </c>
      <c r="AL607">
        <v>935.48</v>
      </c>
      <c r="AM607">
        <v>0</v>
      </c>
      <c r="AN607">
        <v>0</v>
      </c>
      <c r="AO607">
        <v>0</v>
      </c>
    </row>
    <row r="608" spans="1:41">
      <c r="A608">
        <v>607</v>
      </c>
      <c r="B608" s="42">
        <v>45957</v>
      </c>
      <c r="C608" t="str">
        <v>HINJEWADI</v>
      </c>
      <c r="D608" t="str">
        <v>SLK1</v>
      </c>
      <c r="E608" t="str">
        <v>SHADOWFAX TECHNOLOGIES PRIVATE LIMITED</v>
      </c>
      <c r="F608" t="str">
        <v>MH03AH8989</v>
      </c>
      <c r="G608" t="str">
        <v>ACE</v>
      </c>
      <c r="H608" t="str">
        <v>CNG</v>
      </c>
      <c r="I608">
        <v>4</v>
      </c>
      <c r="J608">
        <v>8</v>
      </c>
      <c r="K608">
        <v>25000</v>
      </c>
      <c r="L608">
        <v>1000</v>
      </c>
      <c r="M608">
        <v>55</v>
      </c>
      <c r="N608">
        <v>31</v>
      </c>
      <c r="O608" t="str">
        <v>PUN01 NC Cluster 1</v>
      </c>
      <c r="P608">
        <v>0</v>
      </c>
      <c r="Q608">
        <v>5.0694444444444452E-2</v>
      </c>
      <c r="R608">
        <v>0.15197916666666667</v>
      </c>
      <c r="S608">
        <v>58297</v>
      </c>
      <c r="T608">
        <v>0.31114583333333334</v>
      </c>
      <c r="U608">
        <v>0.31155092592592593</v>
      </c>
      <c r="V608">
        <v>58304</v>
      </c>
      <c r="W608">
        <v>34</v>
      </c>
      <c r="X608">
        <v>40</v>
      </c>
      <c r="Y608">
        <v>-6</v>
      </c>
      <c r="Z608">
        <v>7</v>
      </c>
      <c r="AA608">
        <v>7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806.45</v>
      </c>
      <c r="AK608">
        <v>0</v>
      </c>
      <c r="AL608">
        <v>806.45</v>
      </c>
      <c r="AM608">
        <v>0</v>
      </c>
      <c r="AN608">
        <v>0</v>
      </c>
      <c r="AO608">
        <v>0</v>
      </c>
    </row>
    <row r="609" spans="1:41">
      <c r="A609">
        <v>608</v>
      </c>
      <c r="B609" s="42">
        <v>45957</v>
      </c>
      <c r="C609" t="str">
        <v>HINJEWADI</v>
      </c>
      <c r="D609" t="str">
        <v>SLK1</v>
      </c>
      <c r="E609" t="str">
        <v>SHADOWFAX TECHNOLOGIES PRIVATE LIMITED</v>
      </c>
      <c r="F609" t="str">
        <v>MH12UM3063</v>
      </c>
      <c r="G609" t="str">
        <v>ACE</v>
      </c>
      <c r="H609" t="str">
        <v>CNG</v>
      </c>
      <c r="I609">
        <v>6</v>
      </c>
      <c r="J609">
        <v>8</v>
      </c>
      <c r="K609">
        <v>33000</v>
      </c>
      <c r="L609">
        <v>2000</v>
      </c>
      <c r="M609">
        <v>55</v>
      </c>
      <c r="N609">
        <v>31</v>
      </c>
      <c r="O609" t="str">
        <v>PUN01 NC Cluster 229</v>
      </c>
      <c r="P609">
        <v>0</v>
      </c>
      <c r="Q609">
        <v>4.7916666666666663E-2</v>
      </c>
      <c r="R609">
        <v>0.1587847222222222</v>
      </c>
      <c r="S609">
        <v>101837</v>
      </c>
      <c r="T609">
        <v>0.32057870370370373</v>
      </c>
      <c r="U609">
        <v>0.32089120370370372</v>
      </c>
      <c r="V609">
        <v>101881</v>
      </c>
      <c r="W609">
        <v>29</v>
      </c>
      <c r="X609">
        <v>34</v>
      </c>
      <c r="Y609">
        <v>-5</v>
      </c>
      <c r="Z609">
        <v>44</v>
      </c>
      <c r="AA609">
        <v>44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1064.52</v>
      </c>
      <c r="AK609">
        <v>0</v>
      </c>
      <c r="AL609">
        <v>1064.52</v>
      </c>
      <c r="AM609">
        <v>0</v>
      </c>
      <c r="AN609">
        <v>0</v>
      </c>
      <c r="AO609">
        <v>0</v>
      </c>
    </row>
    <row r="610" spans="1:41">
      <c r="A610">
        <v>609</v>
      </c>
      <c r="B610" s="42">
        <v>45957</v>
      </c>
      <c r="C610" t="str">
        <v>HINJEWADI</v>
      </c>
      <c r="D610" t="str">
        <v>SLK1</v>
      </c>
      <c r="E610" t="str">
        <v>SHADOWFAX TECHNOLOGIES PRIVATE LIMITED</v>
      </c>
      <c r="F610" t="str">
        <v>MH12VF3782</v>
      </c>
      <c r="G610" t="str">
        <v>ACE</v>
      </c>
      <c r="H610" t="str">
        <v>CNG</v>
      </c>
      <c r="I610">
        <v>4</v>
      </c>
      <c r="J610">
        <v>8</v>
      </c>
      <c r="K610">
        <v>25000</v>
      </c>
      <c r="L610">
        <v>1000</v>
      </c>
      <c r="M610">
        <v>55</v>
      </c>
      <c r="N610">
        <v>31</v>
      </c>
      <c r="O610" t="str">
        <v>PUN01 NC Cluster 59</v>
      </c>
      <c r="P610">
        <v>0</v>
      </c>
      <c r="Q610">
        <v>0.11527777777777777</v>
      </c>
      <c r="R610">
        <v>0.15449074074074073</v>
      </c>
      <c r="S610">
        <v>84394</v>
      </c>
      <c r="T610">
        <v>0.30628472222222219</v>
      </c>
      <c r="U610">
        <v>0.30637731481481484</v>
      </c>
      <c r="V610">
        <v>84413</v>
      </c>
      <c r="W610">
        <v>20</v>
      </c>
      <c r="X610">
        <v>22</v>
      </c>
      <c r="Y610">
        <v>-2</v>
      </c>
      <c r="Z610">
        <v>19</v>
      </c>
      <c r="AA610">
        <v>19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806.45</v>
      </c>
      <c r="AK610">
        <v>0</v>
      </c>
      <c r="AL610">
        <v>806.45</v>
      </c>
      <c r="AM610">
        <v>0</v>
      </c>
      <c r="AN610">
        <v>0</v>
      </c>
      <c r="AO610">
        <v>0</v>
      </c>
    </row>
    <row r="611" spans="1:41">
      <c r="A611">
        <v>610</v>
      </c>
      <c r="B611" s="42">
        <v>45957</v>
      </c>
      <c r="C611" t="str">
        <v>HINJEWADI</v>
      </c>
      <c r="D611" t="str">
        <v>SLK1</v>
      </c>
      <c r="E611" t="str">
        <v>SHADOWFAX TECHNOLOGIES PRIVATE LIMITED</v>
      </c>
      <c r="F611" t="str">
        <v>MH12WX6236</v>
      </c>
      <c r="G611" t="str">
        <v>ACE</v>
      </c>
      <c r="H611" t="str">
        <v>CNG</v>
      </c>
      <c r="I611">
        <v>4</v>
      </c>
      <c r="J611">
        <v>8</v>
      </c>
      <c r="K611">
        <v>25000</v>
      </c>
      <c r="L611">
        <v>1000</v>
      </c>
      <c r="M611">
        <v>55</v>
      </c>
      <c r="N611">
        <v>31</v>
      </c>
      <c r="O611" t="str">
        <v>PUN01 NC Cluster 139</v>
      </c>
      <c r="P611">
        <v>0</v>
      </c>
      <c r="Q611">
        <v>4.8611111111111112E-2</v>
      </c>
      <c r="R611">
        <v>0.14954861111111112</v>
      </c>
      <c r="S611">
        <v>39326</v>
      </c>
      <c r="T611">
        <v>0.30219907407407409</v>
      </c>
      <c r="U611">
        <v>0.32719907407407406</v>
      </c>
      <c r="V611">
        <v>39356</v>
      </c>
      <c r="W611">
        <v>20</v>
      </c>
      <c r="X611">
        <v>55</v>
      </c>
      <c r="Y611">
        <v>-35</v>
      </c>
      <c r="Z611">
        <v>30</v>
      </c>
      <c r="AA611">
        <v>30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806.45</v>
      </c>
      <c r="AK611">
        <v>0</v>
      </c>
      <c r="AL611">
        <v>806.45</v>
      </c>
      <c r="AM611">
        <v>0</v>
      </c>
      <c r="AN611">
        <v>0</v>
      </c>
      <c r="AO611">
        <v>0</v>
      </c>
    </row>
    <row r="612" spans="1:41">
      <c r="A612">
        <v>611</v>
      </c>
      <c r="B612" s="42">
        <v>45957</v>
      </c>
      <c r="C612" t="str">
        <v>HINJEWADI</v>
      </c>
      <c r="D612" t="str">
        <v>SLK1</v>
      </c>
      <c r="E612" t="str">
        <v>SHADOWFAX TECHNOLOGIES PRIVATE LIMITED</v>
      </c>
      <c r="F612" t="str">
        <v>MH12XM2801</v>
      </c>
      <c r="G612" t="str">
        <v>ACE</v>
      </c>
      <c r="H612" t="str">
        <v>CNG</v>
      </c>
      <c r="I612">
        <v>4</v>
      </c>
      <c r="J612">
        <v>8</v>
      </c>
      <c r="K612">
        <v>25000</v>
      </c>
      <c r="L612">
        <v>1000</v>
      </c>
      <c r="M612">
        <v>55</v>
      </c>
      <c r="N612">
        <v>31</v>
      </c>
      <c r="O612" t="str">
        <v>PUN01 NC Cluster 114</v>
      </c>
      <c r="P612">
        <v>0</v>
      </c>
      <c r="Q612">
        <v>0.11805555555555557</v>
      </c>
      <c r="R612">
        <v>0.16289351851851852</v>
      </c>
      <c r="S612">
        <v>13049</v>
      </c>
      <c r="T612">
        <v>0.38289351851851849</v>
      </c>
      <c r="U612">
        <v>0.38297453703703704</v>
      </c>
      <c r="V612">
        <v>13072</v>
      </c>
      <c r="W612">
        <v>0</v>
      </c>
      <c r="X612">
        <v>0</v>
      </c>
      <c r="Y612">
        <v>0</v>
      </c>
      <c r="Z612">
        <v>23</v>
      </c>
      <c r="AA612">
        <v>23</v>
      </c>
      <c r="AB612">
        <v>0</v>
      </c>
      <c r="AC612">
        <v>0</v>
      </c>
      <c r="AD612">
        <v>2</v>
      </c>
      <c r="AE612">
        <v>300</v>
      </c>
      <c r="AF612">
        <v>0</v>
      </c>
      <c r="AG612">
        <v>0</v>
      </c>
      <c r="AH612">
        <v>0</v>
      </c>
      <c r="AI612">
        <v>0</v>
      </c>
      <c r="AJ612">
        <v>1106.45</v>
      </c>
      <c r="AK612">
        <v>0</v>
      </c>
      <c r="AL612">
        <v>1106.45</v>
      </c>
      <c r="AM612">
        <v>0</v>
      </c>
      <c r="AN612">
        <v>0</v>
      </c>
      <c r="AO612">
        <v>0</v>
      </c>
    </row>
    <row r="613" spans="1:41">
      <c r="A613">
        <v>612</v>
      </c>
      <c r="B613" s="42">
        <v>45957</v>
      </c>
      <c r="C613" t="str">
        <v>HINJEWADI</v>
      </c>
      <c r="D613" t="str">
        <v>SLK1</v>
      </c>
      <c r="E613" t="str">
        <v>SHADOWFAX TECHNOLOGIES PRIVATE LIMITED</v>
      </c>
      <c r="F613" t="str">
        <v>MH14CP4610</v>
      </c>
      <c r="G613" t="str">
        <v>ACE</v>
      </c>
      <c r="H613" t="str">
        <v>CNG</v>
      </c>
      <c r="I613">
        <v>4</v>
      </c>
      <c r="J613">
        <v>8</v>
      </c>
      <c r="K613">
        <v>25000</v>
      </c>
      <c r="L613">
        <v>1000</v>
      </c>
      <c r="M613">
        <v>55</v>
      </c>
      <c r="N613">
        <v>31</v>
      </c>
      <c r="O613" t="str">
        <v>PUN01 NC Cluster 87</v>
      </c>
      <c r="P613">
        <v>0</v>
      </c>
      <c r="Q613">
        <v>8.9583333333333334E-2</v>
      </c>
      <c r="R613">
        <v>0.15246527777777777</v>
      </c>
      <c r="S613">
        <v>145574</v>
      </c>
      <c r="T613">
        <v>0.31504629629629627</v>
      </c>
      <c r="U613">
        <v>0.31519675925925927</v>
      </c>
      <c r="V613">
        <v>145591</v>
      </c>
      <c r="W613">
        <v>28</v>
      </c>
      <c r="X613">
        <v>28</v>
      </c>
      <c r="Y613">
        <v>0</v>
      </c>
      <c r="Z613">
        <v>17</v>
      </c>
      <c r="AA613">
        <v>17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806.45</v>
      </c>
      <c r="AK613">
        <v>0</v>
      </c>
      <c r="AL613">
        <v>806.45</v>
      </c>
      <c r="AM613">
        <v>0</v>
      </c>
      <c r="AN613">
        <v>0</v>
      </c>
      <c r="AO613">
        <v>0</v>
      </c>
    </row>
    <row r="614" spans="1:41">
      <c r="A614">
        <v>613</v>
      </c>
      <c r="B614" s="42">
        <v>45957</v>
      </c>
      <c r="C614" t="str">
        <v>HINJEWADI</v>
      </c>
      <c r="D614" t="str">
        <v>SLK1</v>
      </c>
      <c r="E614" t="str">
        <v>SHADOWFAX TECHNOLOGIES PRIVATE LIMITED</v>
      </c>
      <c r="F614" t="str">
        <v>MH14EM3160</v>
      </c>
      <c r="G614" t="str">
        <v>ACE</v>
      </c>
      <c r="H614" t="str">
        <v>CNG</v>
      </c>
      <c r="I614">
        <v>4</v>
      </c>
      <c r="J614">
        <v>8</v>
      </c>
      <c r="K614">
        <v>25000</v>
      </c>
      <c r="L614">
        <v>1000</v>
      </c>
      <c r="M614">
        <v>55</v>
      </c>
      <c r="N614">
        <v>31</v>
      </c>
      <c r="O614" t="str">
        <v>PUN01 NC Cluster 13</v>
      </c>
      <c r="P614">
        <v>0</v>
      </c>
      <c r="Q614">
        <v>4.9305555555555554E-2</v>
      </c>
      <c r="R614">
        <v>0.16130787037037037</v>
      </c>
      <c r="S614">
        <v>166162</v>
      </c>
      <c r="T614">
        <v>0.33866898148148145</v>
      </c>
      <c r="U614">
        <v>0.33875000000000005</v>
      </c>
      <c r="V614">
        <v>166182</v>
      </c>
      <c r="W614">
        <v>30</v>
      </c>
      <c r="X614">
        <v>39</v>
      </c>
      <c r="Y614">
        <v>-9</v>
      </c>
      <c r="Z614">
        <v>20</v>
      </c>
      <c r="AA614">
        <v>20</v>
      </c>
      <c r="AB614">
        <v>0</v>
      </c>
      <c r="AC614">
        <v>0</v>
      </c>
      <c r="AD614">
        <v>1</v>
      </c>
      <c r="AE614">
        <v>150</v>
      </c>
      <c r="AF614">
        <v>0</v>
      </c>
      <c r="AG614">
        <v>0</v>
      </c>
      <c r="AH614">
        <v>0</v>
      </c>
      <c r="AI614">
        <v>0</v>
      </c>
      <c r="AJ614">
        <v>956.45</v>
      </c>
      <c r="AK614">
        <v>0</v>
      </c>
      <c r="AL614">
        <v>956.45</v>
      </c>
      <c r="AM614">
        <v>0</v>
      </c>
      <c r="AN614">
        <v>0</v>
      </c>
      <c r="AO614">
        <v>0</v>
      </c>
    </row>
    <row r="615" spans="1:41">
      <c r="A615">
        <v>614</v>
      </c>
      <c r="B615" s="42">
        <v>45957</v>
      </c>
      <c r="C615" t="str">
        <v>HINJEWADI</v>
      </c>
      <c r="D615" t="str">
        <v>SLK1</v>
      </c>
      <c r="E615" t="str">
        <v>SHADOWFAX TECHNOLOGIES PRIVATE LIMITED</v>
      </c>
      <c r="F615" t="str">
        <v>MH14JL3308</v>
      </c>
      <c r="G615" t="str">
        <v>ACE</v>
      </c>
      <c r="H615" t="str">
        <v>CNG</v>
      </c>
      <c r="I615">
        <v>4</v>
      </c>
      <c r="J615">
        <v>8</v>
      </c>
      <c r="K615">
        <v>25000</v>
      </c>
      <c r="L615">
        <v>1000</v>
      </c>
      <c r="M615">
        <v>55</v>
      </c>
      <c r="N615">
        <v>31</v>
      </c>
      <c r="O615" t="str">
        <v>PUN01 NC Cluster 19</v>
      </c>
      <c r="P615">
        <v>0</v>
      </c>
      <c r="Q615">
        <v>7.7083333333333337E-2</v>
      </c>
      <c r="R615">
        <v>0.15349537037037037</v>
      </c>
      <c r="S615">
        <v>116766</v>
      </c>
      <c r="T615">
        <v>0.33884259259259258</v>
      </c>
      <c r="U615">
        <v>0.33899305555555559</v>
      </c>
      <c r="V615">
        <v>116792</v>
      </c>
      <c r="W615">
        <v>22</v>
      </c>
      <c r="X615">
        <v>61</v>
      </c>
      <c r="Y615">
        <v>-39</v>
      </c>
      <c r="Z615">
        <v>26</v>
      </c>
      <c r="AA615">
        <v>26</v>
      </c>
      <c r="AB615">
        <v>0</v>
      </c>
      <c r="AC615">
        <v>0</v>
      </c>
      <c r="AD615">
        <v>1</v>
      </c>
      <c r="AE615">
        <v>150</v>
      </c>
      <c r="AF615">
        <v>0</v>
      </c>
      <c r="AG615">
        <v>0</v>
      </c>
      <c r="AH615">
        <v>0</v>
      </c>
      <c r="AI615">
        <v>0</v>
      </c>
      <c r="AJ615">
        <v>956.45</v>
      </c>
      <c r="AK615">
        <v>0</v>
      </c>
      <c r="AL615">
        <v>956.45</v>
      </c>
      <c r="AM615">
        <v>0</v>
      </c>
      <c r="AN615">
        <v>0</v>
      </c>
      <c r="AO615">
        <v>0</v>
      </c>
    </row>
    <row r="616" spans="1:41">
      <c r="A616">
        <v>615</v>
      </c>
      <c r="B616" s="42">
        <v>45957</v>
      </c>
      <c r="C616" t="str">
        <v>HINJEWADI</v>
      </c>
      <c r="D616" t="str">
        <v>SLK1</v>
      </c>
      <c r="E616" t="str">
        <v>SHADOWFAX TECHNOLOGIES PRIVATE LIMITED</v>
      </c>
      <c r="F616" t="str">
        <v>MH14KA0766</v>
      </c>
      <c r="G616" t="str">
        <v>ACE</v>
      </c>
      <c r="H616" t="str">
        <v>CNG</v>
      </c>
      <c r="I616">
        <v>4</v>
      </c>
      <c r="J616">
        <v>8</v>
      </c>
      <c r="K616">
        <v>25000</v>
      </c>
      <c r="L616">
        <v>1000</v>
      </c>
      <c r="M616">
        <v>55</v>
      </c>
      <c r="N616">
        <v>31</v>
      </c>
      <c r="O616" t="str">
        <v>PUN01 NC Cluster 10</v>
      </c>
      <c r="P616">
        <v>0</v>
      </c>
      <c r="Q616">
        <v>6.1111111111111116E-2</v>
      </c>
      <c r="R616">
        <v>0.1592824074074074</v>
      </c>
      <c r="S616">
        <v>146293</v>
      </c>
      <c r="T616">
        <v>0.33795138888888893</v>
      </c>
      <c r="U616">
        <v>0.33827546296296296</v>
      </c>
      <c r="V616">
        <v>146316</v>
      </c>
      <c r="W616">
        <v>30</v>
      </c>
      <c r="X616">
        <v>40</v>
      </c>
      <c r="Y616">
        <v>-10</v>
      </c>
      <c r="Z616">
        <v>23</v>
      </c>
      <c r="AA616">
        <v>23</v>
      </c>
      <c r="AB616">
        <v>0</v>
      </c>
      <c r="AC616">
        <v>0</v>
      </c>
      <c r="AD616">
        <v>1</v>
      </c>
      <c r="AE616">
        <v>150</v>
      </c>
      <c r="AF616">
        <v>0</v>
      </c>
      <c r="AG616">
        <v>0</v>
      </c>
      <c r="AH616">
        <v>0</v>
      </c>
      <c r="AI616">
        <v>0</v>
      </c>
      <c r="AJ616">
        <v>956.45</v>
      </c>
      <c r="AK616">
        <v>0</v>
      </c>
      <c r="AL616">
        <v>956.45</v>
      </c>
      <c r="AM616">
        <v>0</v>
      </c>
      <c r="AN616">
        <v>0</v>
      </c>
      <c r="AO616">
        <v>0</v>
      </c>
    </row>
    <row r="617" spans="1:41">
      <c r="A617">
        <v>616</v>
      </c>
      <c r="B617" s="42">
        <v>45957</v>
      </c>
      <c r="C617" t="str">
        <v>HINJEWADI</v>
      </c>
      <c r="D617" t="str">
        <v>SLK1</v>
      </c>
      <c r="E617" t="str">
        <v>SHADOWFAX TECHNOLOGIES PRIVATE LIMITED</v>
      </c>
      <c r="F617" t="str">
        <v>MH14KA1228</v>
      </c>
      <c r="G617" t="str">
        <v>ACE</v>
      </c>
      <c r="H617" t="str">
        <v>CNG</v>
      </c>
      <c r="I617">
        <v>4</v>
      </c>
      <c r="J617">
        <v>8</v>
      </c>
      <c r="K617">
        <v>25000</v>
      </c>
      <c r="L617">
        <v>1000</v>
      </c>
      <c r="M617">
        <v>55</v>
      </c>
      <c r="N617">
        <v>31</v>
      </c>
      <c r="O617" t="str">
        <v>PUN01 NC Cluster 1</v>
      </c>
      <c r="P617">
        <v>0</v>
      </c>
      <c r="Q617">
        <v>0.12291666666666667</v>
      </c>
      <c r="R617">
        <v>0.33099537037037036</v>
      </c>
      <c r="S617">
        <v>160131</v>
      </c>
      <c r="T617">
        <v>0.33113425925925927</v>
      </c>
      <c r="U617">
        <v>0.33123842592592595</v>
      </c>
      <c r="V617">
        <v>160131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806.45</v>
      </c>
      <c r="AK617">
        <v>0</v>
      </c>
      <c r="AL617">
        <v>806.45</v>
      </c>
      <c r="AM617">
        <v>0</v>
      </c>
      <c r="AN617">
        <v>0</v>
      </c>
      <c r="AO617">
        <v>0</v>
      </c>
    </row>
    <row r="618" spans="1:41">
      <c r="A618">
        <v>617</v>
      </c>
      <c r="B618" s="42">
        <v>45957</v>
      </c>
      <c r="C618" t="str">
        <v>HINJEWADI</v>
      </c>
      <c r="D618" t="str">
        <v>SLK1</v>
      </c>
      <c r="E618" t="str">
        <v>SHADOWFAX TECHNOLOGIES PRIVATE LIMITED</v>
      </c>
      <c r="F618" t="str">
        <v>MH14KA1873</v>
      </c>
      <c r="G618" t="str">
        <v>ACE</v>
      </c>
      <c r="H618" t="str">
        <v>CNG</v>
      </c>
      <c r="I618">
        <v>4</v>
      </c>
      <c r="J618">
        <v>8</v>
      </c>
      <c r="K618">
        <v>25000</v>
      </c>
      <c r="L618">
        <v>1000</v>
      </c>
      <c r="M618">
        <v>55</v>
      </c>
      <c r="N618">
        <v>31</v>
      </c>
      <c r="O618" t="str">
        <v>PUN01 NC Cluster 38</v>
      </c>
      <c r="P618">
        <v>0</v>
      </c>
      <c r="Q618">
        <v>5.2083333333333336E-2</v>
      </c>
      <c r="R618">
        <v>0.15159722222222222</v>
      </c>
      <c r="S618">
        <v>114940</v>
      </c>
      <c r="T618">
        <v>0.32523148148148145</v>
      </c>
      <c r="U618">
        <v>0.32534722222222223</v>
      </c>
      <c r="V618">
        <v>114956</v>
      </c>
      <c r="W618">
        <v>40</v>
      </c>
      <c r="X618">
        <v>42</v>
      </c>
      <c r="Y618">
        <v>-2</v>
      </c>
      <c r="Z618">
        <v>16</v>
      </c>
      <c r="AA618">
        <v>16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806.45</v>
      </c>
      <c r="AK618">
        <v>0</v>
      </c>
      <c r="AL618">
        <v>806.45</v>
      </c>
      <c r="AM618">
        <v>0</v>
      </c>
      <c r="AN618">
        <v>0</v>
      </c>
      <c r="AO618">
        <v>0</v>
      </c>
    </row>
    <row r="619" spans="1:41">
      <c r="A619">
        <v>618</v>
      </c>
      <c r="B619" s="42">
        <v>45957</v>
      </c>
      <c r="C619" t="str">
        <v>HINJEWADI</v>
      </c>
      <c r="D619" t="str">
        <v>SLK1</v>
      </c>
      <c r="E619" t="str">
        <v>SHADOWFAX TECHNOLOGIES PRIVATE LIMITED</v>
      </c>
      <c r="F619" t="str">
        <v>MH14KA2871</v>
      </c>
      <c r="G619" t="str">
        <v>ACE</v>
      </c>
      <c r="H619" t="str">
        <v>CNG</v>
      </c>
      <c r="I619">
        <v>4</v>
      </c>
      <c r="J619">
        <v>8</v>
      </c>
      <c r="K619">
        <v>25000</v>
      </c>
      <c r="L619">
        <v>1000</v>
      </c>
      <c r="M619">
        <v>55</v>
      </c>
      <c r="N619">
        <v>31</v>
      </c>
      <c r="O619" t="str">
        <v>PUN01 NC Cluster 131</v>
      </c>
      <c r="P619">
        <v>0</v>
      </c>
      <c r="Q619">
        <v>6.9444444444444434E-2</v>
      </c>
      <c r="R619">
        <v>0.16179398148148147</v>
      </c>
      <c r="S619">
        <v>79355</v>
      </c>
      <c r="T619">
        <v>0.30868055555555557</v>
      </c>
      <c r="U619">
        <v>0.30880787037037039</v>
      </c>
      <c r="V619">
        <v>79381</v>
      </c>
      <c r="W619">
        <v>42</v>
      </c>
      <c r="X619">
        <v>41</v>
      </c>
      <c r="Y619">
        <v>1</v>
      </c>
      <c r="Z619">
        <v>26</v>
      </c>
      <c r="AA619">
        <v>26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806.45</v>
      </c>
      <c r="AK619">
        <v>0</v>
      </c>
      <c r="AL619">
        <v>806.45</v>
      </c>
      <c r="AM619">
        <v>0</v>
      </c>
      <c r="AN619">
        <v>0</v>
      </c>
      <c r="AO619">
        <v>0</v>
      </c>
    </row>
    <row r="620" spans="1:41">
      <c r="A620">
        <v>619</v>
      </c>
      <c r="B620" s="42">
        <v>45957</v>
      </c>
      <c r="C620" t="str">
        <v>HINJEWADI</v>
      </c>
      <c r="D620" t="str">
        <v>SLK1</v>
      </c>
      <c r="E620" t="str">
        <v>SHADOWFAX TECHNOLOGIES PRIVATE LIMITED</v>
      </c>
      <c r="F620" t="str">
        <v>MH14KA6513</v>
      </c>
      <c r="G620" t="str">
        <v>ACE</v>
      </c>
      <c r="H620" t="str">
        <v>CNG</v>
      </c>
      <c r="I620">
        <v>6</v>
      </c>
      <c r="J620">
        <v>8</v>
      </c>
      <c r="K620">
        <v>33000</v>
      </c>
      <c r="L620">
        <v>2000</v>
      </c>
      <c r="M620">
        <v>55</v>
      </c>
      <c r="N620">
        <v>31</v>
      </c>
      <c r="O620" t="str">
        <v>PUN01 NC Cluster 299</v>
      </c>
      <c r="P620">
        <v>0</v>
      </c>
      <c r="Q620">
        <v>4.8611111111111112E-2</v>
      </c>
      <c r="R620">
        <v>0.15947916666666667</v>
      </c>
      <c r="S620">
        <v>48883</v>
      </c>
      <c r="T620">
        <v>0.36479166666666668</v>
      </c>
      <c r="U620">
        <v>0.36488425925925921</v>
      </c>
      <c r="V620">
        <v>48939</v>
      </c>
      <c r="W620">
        <v>23</v>
      </c>
      <c r="X620">
        <v>25</v>
      </c>
      <c r="Y620">
        <v>-2</v>
      </c>
      <c r="Z620">
        <v>56</v>
      </c>
      <c r="AA620">
        <v>56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1064.52</v>
      </c>
      <c r="AK620">
        <v>0</v>
      </c>
      <c r="AL620">
        <v>1064.52</v>
      </c>
      <c r="AM620">
        <v>0</v>
      </c>
      <c r="AN620">
        <v>0</v>
      </c>
      <c r="AO620">
        <v>0</v>
      </c>
    </row>
    <row r="621" spans="1:41">
      <c r="A621">
        <v>620</v>
      </c>
      <c r="B621" s="42">
        <v>45957</v>
      </c>
      <c r="C621" t="str">
        <v>HINJEWADI</v>
      </c>
      <c r="D621" t="str">
        <v>SLK1</v>
      </c>
      <c r="E621" t="str">
        <v>SHADOWFAX TECHNOLOGIES PRIVATE LIMITED</v>
      </c>
      <c r="F621" t="str">
        <v>MH14KQ0279</v>
      </c>
      <c r="G621" t="str">
        <v>ACE</v>
      </c>
      <c r="H621" t="str">
        <v>CNG</v>
      </c>
      <c r="I621">
        <v>4</v>
      </c>
      <c r="J621">
        <v>8</v>
      </c>
      <c r="K621">
        <v>25000</v>
      </c>
      <c r="L621">
        <v>1000</v>
      </c>
      <c r="M621">
        <v>55</v>
      </c>
      <c r="N621">
        <v>31</v>
      </c>
      <c r="O621" t="str">
        <v>PUN01 NC Cluster 201</v>
      </c>
      <c r="P621">
        <v>0</v>
      </c>
      <c r="Q621">
        <v>0.1013888888888889</v>
      </c>
      <c r="R621">
        <v>0.15741898148148148</v>
      </c>
      <c r="S621">
        <v>119065</v>
      </c>
      <c r="T621">
        <v>0.33194444444444443</v>
      </c>
      <c r="U621">
        <v>0.33202546296296293</v>
      </c>
      <c r="V621">
        <v>119090</v>
      </c>
      <c r="W621">
        <v>32</v>
      </c>
      <c r="X621">
        <v>32</v>
      </c>
      <c r="Y621">
        <v>0</v>
      </c>
      <c r="Z621">
        <v>25</v>
      </c>
      <c r="AA621">
        <v>25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806.45</v>
      </c>
      <c r="AK621">
        <v>0</v>
      </c>
      <c r="AL621">
        <v>806.45</v>
      </c>
      <c r="AM621">
        <v>0</v>
      </c>
      <c r="AN621">
        <v>0</v>
      </c>
      <c r="AO621">
        <v>0</v>
      </c>
    </row>
    <row r="622" spans="1:41">
      <c r="A622">
        <v>621</v>
      </c>
      <c r="B622" s="42">
        <v>45957</v>
      </c>
      <c r="C622" t="str">
        <v>HINJEWADI</v>
      </c>
      <c r="D622" t="str">
        <v>SLK1</v>
      </c>
      <c r="E622" t="str">
        <v>SHADOWFAX TECHNOLOGIES PRIVATE LIMITED</v>
      </c>
      <c r="F622" t="str">
        <v>MH14LB4598</v>
      </c>
      <c r="G622" t="str">
        <v>ACE</v>
      </c>
      <c r="H622" t="str">
        <v>CNG</v>
      </c>
      <c r="I622">
        <v>4</v>
      </c>
      <c r="J622">
        <v>8</v>
      </c>
      <c r="K622">
        <v>25000</v>
      </c>
      <c r="L622">
        <v>1000</v>
      </c>
      <c r="M622">
        <v>55</v>
      </c>
      <c r="N622">
        <v>31</v>
      </c>
      <c r="O622" t="str">
        <v>PUN01 NC Cluster 93</v>
      </c>
      <c r="P622">
        <v>0</v>
      </c>
      <c r="Q622">
        <v>5.9027777777777783E-2</v>
      </c>
      <c r="R622">
        <v>0.16113425925925925</v>
      </c>
      <c r="S622">
        <v>66611</v>
      </c>
      <c r="T622">
        <v>0.35604166666666665</v>
      </c>
      <c r="U622">
        <v>0.35634259259259254</v>
      </c>
      <c r="V622">
        <v>66662</v>
      </c>
      <c r="W622">
        <v>0</v>
      </c>
      <c r="X622">
        <v>27</v>
      </c>
      <c r="Y622">
        <v>-27</v>
      </c>
      <c r="Z622">
        <v>51</v>
      </c>
      <c r="AA622">
        <v>51</v>
      </c>
      <c r="AB622">
        <v>0</v>
      </c>
      <c r="AC622">
        <v>0</v>
      </c>
      <c r="AD622">
        <v>1</v>
      </c>
      <c r="AE622">
        <v>150</v>
      </c>
      <c r="AF622">
        <v>0</v>
      </c>
      <c r="AG622">
        <v>0</v>
      </c>
      <c r="AH622">
        <v>0</v>
      </c>
      <c r="AI622">
        <v>0</v>
      </c>
      <c r="AJ622">
        <v>956.45</v>
      </c>
      <c r="AK622">
        <v>0</v>
      </c>
      <c r="AL622">
        <v>956.45</v>
      </c>
      <c r="AM622">
        <v>0</v>
      </c>
      <c r="AN622">
        <v>0</v>
      </c>
      <c r="AO622">
        <v>0</v>
      </c>
    </row>
    <row r="623" spans="1:41">
      <c r="A623">
        <v>622</v>
      </c>
      <c r="B623" s="42">
        <v>45957</v>
      </c>
      <c r="C623" t="str">
        <v>HINJEWADI</v>
      </c>
      <c r="D623" t="str">
        <v>SLK1</v>
      </c>
      <c r="E623" t="str">
        <v>SHADOWFAX TECHNOLOGIES PRIVATE LIMITED</v>
      </c>
      <c r="F623" t="str">
        <v>MH14LB5906</v>
      </c>
      <c r="G623" t="str">
        <v>ACE</v>
      </c>
      <c r="H623" t="str">
        <v>CNG</v>
      </c>
      <c r="I623">
        <v>4</v>
      </c>
      <c r="J623">
        <v>8</v>
      </c>
      <c r="K623">
        <v>25000</v>
      </c>
      <c r="L623">
        <v>1000</v>
      </c>
      <c r="M623">
        <v>55</v>
      </c>
      <c r="N623">
        <v>31</v>
      </c>
      <c r="O623" t="str">
        <v>PUN01 NC Cluster 8</v>
      </c>
      <c r="P623">
        <v>0</v>
      </c>
      <c r="Q623">
        <v>4.8611111111111112E-2</v>
      </c>
      <c r="R623">
        <v>0.1504398148148148</v>
      </c>
      <c r="S623">
        <v>45462</v>
      </c>
      <c r="T623">
        <v>0.3147685185185185</v>
      </c>
      <c r="U623">
        <v>0.31489583333333332</v>
      </c>
      <c r="V623">
        <v>45477</v>
      </c>
      <c r="W623">
        <v>66</v>
      </c>
      <c r="X623">
        <v>66</v>
      </c>
      <c r="Y623">
        <v>0</v>
      </c>
      <c r="Z623">
        <v>15</v>
      </c>
      <c r="AA623">
        <v>15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806.45</v>
      </c>
      <c r="AK623">
        <v>0</v>
      </c>
      <c r="AL623">
        <v>806.45</v>
      </c>
      <c r="AM623">
        <v>0</v>
      </c>
      <c r="AN623">
        <v>0</v>
      </c>
      <c r="AO623">
        <v>0</v>
      </c>
    </row>
    <row r="624" spans="1:41">
      <c r="A624">
        <v>623</v>
      </c>
      <c r="B624" s="42">
        <v>45957</v>
      </c>
      <c r="C624" t="str">
        <v>HINJEWADI</v>
      </c>
      <c r="D624" t="str">
        <v>SLK1</v>
      </c>
      <c r="E624" t="str">
        <v>SHADOWFAX TECHNOLOGIES PRIVATE LIMITED</v>
      </c>
      <c r="F624" t="str">
        <v>MH14LB6751</v>
      </c>
      <c r="G624" t="str">
        <v>ACE</v>
      </c>
      <c r="H624" t="str">
        <v>CNG</v>
      </c>
      <c r="I624">
        <v>4</v>
      </c>
      <c r="J624">
        <v>8</v>
      </c>
      <c r="K624">
        <v>25000</v>
      </c>
      <c r="L624">
        <v>1000</v>
      </c>
      <c r="M624">
        <v>55</v>
      </c>
      <c r="N624">
        <v>31</v>
      </c>
      <c r="O624" t="str">
        <v>PUN01 NC Cluster 36</v>
      </c>
      <c r="P624">
        <v>0</v>
      </c>
      <c r="Q624">
        <v>5.347222222222222E-2</v>
      </c>
      <c r="R624">
        <v>0.15224537037037036</v>
      </c>
      <c r="S624">
        <v>85739</v>
      </c>
      <c r="T624">
        <v>0.31385416666666666</v>
      </c>
      <c r="U624">
        <v>0.31393518518518521</v>
      </c>
      <c r="V624">
        <v>85756</v>
      </c>
      <c r="W624">
        <v>32</v>
      </c>
      <c r="X624">
        <v>31</v>
      </c>
      <c r="Y624">
        <v>1</v>
      </c>
      <c r="Z624">
        <v>17</v>
      </c>
      <c r="AA624">
        <v>17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806.45</v>
      </c>
      <c r="AK624">
        <v>0</v>
      </c>
      <c r="AL624">
        <v>806.45</v>
      </c>
      <c r="AM624">
        <v>0</v>
      </c>
      <c r="AN624">
        <v>0</v>
      </c>
      <c r="AO624">
        <v>0</v>
      </c>
    </row>
    <row r="625" spans="1:41">
      <c r="A625">
        <v>624</v>
      </c>
      <c r="B625" s="42">
        <v>45957</v>
      </c>
      <c r="C625" t="str">
        <v>HINJEWADI</v>
      </c>
      <c r="D625" t="str">
        <v>SLK1</v>
      </c>
      <c r="E625" t="str">
        <v>SHADOWFAX TECHNOLOGIES PRIVATE LIMITED</v>
      </c>
      <c r="F625" t="str">
        <v>MH14LX6360</v>
      </c>
      <c r="G625" t="str">
        <v>ACE</v>
      </c>
      <c r="H625" t="str">
        <v>CNG</v>
      </c>
      <c r="I625">
        <v>4</v>
      </c>
      <c r="J625">
        <v>8</v>
      </c>
      <c r="K625">
        <v>25000</v>
      </c>
      <c r="L625">
        <v>1000</v>
      </c>
      <c r="M625">
        <v>55</v>
      </c>
      <c r="N625">
        <v>31</v>
      </c>
      <c r="O625" t="str">
        <v>PUN01 NC Cluster 37</v>
      </c>
      <c r="P625">
        <v>0</v>
      </c>
      <c r="Q625">
        <v>5.2777777777777778E-2</v>
      </c>
      <c r="R625">
        <v>0.15175925925925926</v>
      </c>
      <c r="S625">
        <v>39650</v>
      </c>
      <c r="T625">
        <v>0.31275462962962963</v>
      </c>
      <c r="U625">
        <v>0.32854166666666668</v>
      </c>
      <c r="V625">
        <v>39664</v>
      </c>
      <c r="W625">
        <v>40</v>
      </c>
      <c r="X625">
        <v>30</v>
      </c>
      <c r="Y625">
        <v>10</v>
      </c>
      <c r="Z625">
        <v>14</v>
      </c>
      <c r="AA625">
        <v>14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806.45</v>
      </c>
      <c r="AK625">
        <v>0</v>
      </c>
      <c r="AL625">
        <v>806.45</v>
      </c>
      <c r="AM625">
        <v>0</v>
      </c>
      <c r="AN625">
        <v>0</v>
      </c>
      <c r="AO625">
        <v>0</v>
      </c>
    </row>
    <row r="626" spans="1:41">
      <c r="A626">
        <v>625</v>
      </c>
      <c r="B626" s="42">
        <v>45957</v>
      </c>
      <c r="C626" t="str">
        <v>HINJEWADI</v>
      </c>
      <c r="D626" t="str">
        <v>SLK1</v>
      </c>
      <c r="E626" t="str">
        <v>SHADOWFAX TECHNOLOGIES PRIVATE LIMITED</v>
      </c>
      <c r="F626" t="str">
        <v>MH14MH6374</v>
      </c>
      <c r="G626" t="str">
        <v>ACE</v>
      </c>
      <c r="H626" t="str">
        <v>CNG</v>
      </c>
      <c r="I626">
        <v>4</v>
      </c>
      <c r="J626">
        <v>8</v>
      </c>
      <c r="K626">
        <v>25000</v>
      </c>
      <c r="L626">
        <v>1000</v>
      </c>
      <c r="M626">
        <v>55</v>
      </c>
      <c r="N626">
        <v>31</v>
      </c>
      <c r="O626" t="str">
        <v>PUN01 NC Cluster 60</v>
      </c>
      <c r="P626">
        <v>0</v>
      </c>
      <c r="Q626">
        <v>8.9583333333333334E-2</v>
      </c>
      <c r="R626">
        <v>0.15722222222222224</v>
      </c>
      <c r="S626">
        <v>8531</v>
      </c>
      <c r="T626">
        <v>0.31336805555555552</v>
      </c>
      <c r="U626">
        <v>0.3134837962962963</v>
      </c>
      <c r="V626">
        <v>8559</v>
      </c>
      <c r="W626">
        <v>50</v>
      </c>
      <c r="X626">
        <v>21</v>
      </c>
      <c r="Y626">
        <v>29</v>
      </c>
      <c r="Z626">
        <v>28</v>
      </c>
      <c r="AA626">
        <v>28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806.45</v>
      </c>
      <c r="AK626">
        <v>0</v>
      </c>
      <c r="AL626">
        <v>806.45</v>
      </c>
      <c r="AM626">
        <v>0</v>
      </c>
      <c r="AN626">
        <v>0</v>
      </c>
      <c r="AO626">
        <v>0</v>
      </c>
    </row>
    <row r="627" spans="1:41">
      <c r="A627">
        <v>626</v>
      </c>
      <c r="B627" s="42">
        <v>45957</v>
      </c>
      <c r="C627" t="str">
        <v>HINJEWADI</v>
      </c>
      <c r="D627" t="str">
        <v>SLK1</v>
      </c>
      <c r="E627" t="str">
        <v>SHADOWFAX TECHNOLOGIES PRIVATE LIMITED</v>
      </c>
      <c r="F627" t="str">
        <v>MH14MH8276</v>
      </c>
      <c r="G627" t="str">
        <v>ACE</v>
      </c>
      <c r="H627" t="str">
        <v>CNG</v>
      </c>
      <c r="I627">
        <v>4</v>
      </c>
      <c r="J627">
        <v>8</v>
      </c>
      <c r="K627">
        <v>25000</v>
      </c>
      <c r="L627">
        <v>1000</v>
      </c>
      <c r="M627">
        <v>55</v>
      </c>
      <c r="N627">
        <v>31</v>
      </c>
      <c r="O627" t="str">
        <v>PUN01 NC Cluster 40</v>
      </c>
      <c r="P627">
        <v>0</v>
      </c>
      <c r="Q627">
        <v>0.10694444444444444</v>
      </c>
      <c r="R627">
        <v>0.15313657407407408</v>
      </c>
      <c r="S627">
        <v>6276</v>
      </c>
      <c r="T627">
        <v>0.30660879629629628</v>
      </c>
      <c r="U627">
        <v>0.3067361111111111</v>
      </c>
      <c r="V627">
        <v>6289</v>
      </c>
      <c r="W627">
        <v>39</v>
      </c>
      <c r="X627">
        <v>44</v>
      </c>
      <c r="Y627">
        <v>-5</v>
      </c>
      <c r="Z627">
        <v>13</v>
      </c>
      <c r="AA627">
        <v>13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806.45</v>
      </c>
      <c r="AK627">
        <v>0</v>
      </c>
      <c r="AL627">
        <v>806.45</v>
      </c>
      <c r="AM627">
        <v>0</v>
      </c>
      <c r="AN627">
        <v>0</v>
      </c>
      <c r="AO627">
        <v>0</v>
      </c>
    </row>
    <row r="628" spans="1:41">
      <c r="A628">
        <v>627</v>
      </c>
      <c r="B628" s="42">
        <v>45957</v>
      </c>
      <c r="C628" t="str">
        <v>HINJEWADI</v>
      </c>
      <c r="D628" t="str">
        <v>SLK1</v>
      </c>
      <c r="E628" t="str">
        <v>SHADOWFAX TECHNOLOGIES PRIVATE LIMITED</v>
      </c>
      <c r="F628" t="str">
        <v>MH20GC8804</v>
      </c>
      <c r="G628" t="str">
        <v>ACE</v>
      </c>
      <c r="H628" t="str">
        <v>CNG</v>
      </c>
      <c r="I628">
        <v>4</v>
      </c>
      <c r="J628">
        <v>8</v>
      </c>
      <c r="K628">
        <v>25000</v>
      </c>
      <c r="L628">
        <v>1000</v>
      </c>
      <c r="M628">
        <v>55</v>
      </c>
      <c r="N628">
        <v>31</v>
      </c>
      <c r="O628" t="str">
        <v>PUN01 NC Cluster 26</v>
      </c>
      <c r="P628">
        <v>0</v>
      </c>
      <c r="Q628">
        <v>0.11527777777777777</v>
      </c>
      <c r="R628">
        <v>0.15706018518518519</v>
      </c>
      <c r="S628">
        <v>42272</v>
      </c>
      <c r="T628">
        <v>0.31312499999999999</v>
      </c>
      <c r="U628">
        <v>0.31321759259259258</v>
      </c>
      <c r="V628">
        <v>42302</v>
      </c>
      <c r="W628">
        <v>40</v>
      </c>
      <c r="X628">
        <v>28</v>
      </c>
      <c r="Y628">
        <v>12</v>
      </c>
      <c r="Z628">
        <v>30</v>
      </c>
      <c r="AA628">
        <v>30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806.45</v>
      </c>
      <c r="AK628">
        <v>0</v>
      </c>
      <c r="AL628">
        <v>806.45</v>
      </c>
      <c r="AM628">
        <v>0</v>
      </c>
      <c r="AN628">
        <v>0</v>
      </c>
      <c r="AO628">
        <v>0</v>
      </c>
    </row>
    <row r="629" spans="1:41">
      <c r="A629">
        <v>628</v>
      </c>
      <c r="B629" s="42">
        <v>45957</v>
      </c>
      <c r="C629" t="str">
        <v>HINJEWADI</v>
      </c>
      <c r="D629" t="str">
        <v>SLK1</v>
      </c>
      <c r="E629" t="str">
        <v>SHADOWFAX TECHNOLOGIES PRIVATE LIMITED</v>
      </c>
      <c r="F629" t="str">
        <v>MH14LL4513</v>
      </c>
      <c r="G629" t="str">
        <v>BOLERO</v>
      </c>
      <c r="H629" t="str">
        <v>DIESEL</v>
      </c>
      <c r="I629">
        <v>4</v>
      </c>
      <c r="J629">
        <v>10</v>
      </c>
      <c r="K629">
        <v>29000</v>
      </c>
      <c r="L629">
        <v>1000</v>
      </c>
      <c r="M629">
        <v>55</v>
      </c>
      <c r="N629">
        <v>31</v>
      </c>
      <c r="O629" t="str">
        <v>PUN01 NC Cluster 73</v>
      </c>
      <c r="P629">
        <v>0</v>
      </c>
      <c r="Q629">
        <v>0.11319444444444444</v>
      </c>
      <c r="R629">
        <v>0.15332175925925925</v>
      </c>
      <c r="S629">
        <v>32240</v>
      </c>
      <c r="T629">
        <v>0</v>
      </c>
      <c r="U629">
        <v>0</v>
      </c>
      <c r="V629">
        <v>32240</v>
      </c>
      <c r="W629">
        <v>0</v>
      </c>
      <c r="X629">
        <v>43</v>
      </c>
      <c r="Y629">
        <v>-43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935.48</v>
      </c>
      <c r="AK629">
        <v>0</v>
      </c>
      <c r="AL629">
        <v>935.48</v>
      </c>
      <c r="AM629">
        <v>0</v>
      </c>
      <c r="AN629">
        <v>0</v>
      </c>
      <c r="AO629">
        <v>0</v>
      </c>
    </row>
    <row r="630" spans="1:41">
      <c r="A630">
        <v>629</v>
      </c>
      <c r="B630" s="42">
        <v>45957</v>
      </c>
      <c r="C630" t="str">
        <v>HINJEWADI</v>
      </c>
      <c r="D630" t="str">
        <v>SLK1</v>
      </c>
      <c r="E630" t="str">
        <v>SHADOWFAX TECHNOLOGIES PRIVATE LIMITED</v>
      </c>
      <c r="F630" t="str">
        <v>MH14LX4839</v>
      </c>
      <c r="G630" t="str">
        <v>BOLERO</v>
      </c>
      <c r="H630" t="str">
        <v>DIESEL</v>
      </c>
      <c r="I630">
        <v>4</v>
      </c>
      <c r="J630">
        <v>10</v>
      </c>
      <c r="K630">
        <v>29000</v>
      </c>
      <c r="L630">
        <v>1000</v>
      </c>
      <c r="M630">
        <v>55</v>
      </c>
      <c r="N630">
        <v>31</v>
      </c>
      <c r="O630" t="str">
        <v>PUN01 NC Cluster 125</v>
      </c>
      <c r="P630">
        <v>0</v>
      </c>
      <c r="Q630">
        <v>7.6388888888888895E-2</v>
      </c>
      <c r="R630">
        <v>0.15434027777777778</v>
      </c>
      <c r="S630">
        <v>39946</v>
      </c>
      <c r="T630">
        <v>0.35961805555555554</v>
      </c>
      <c r="U630">
        <v>0.36001157407407408</v>
      </c>
      <c r="V630">
        <v>39974</v>
      </c>
      <c r="W630">
        <v>30</v>
      </c>
      <c r="X630">
        <v>36</v>
      </c>
      <c r="Y630">
        <v>-6</v>
      </c>
      <c r="Z630">
        <v>28</v>
      </c>
      <c r="AA630">
        <v>28</v>
      </c>
      <c r="AB630">
        <v>0</v>
      </c>
      <c r="AC630">
        <v>0</v>
      </c>
      <c r="AD630">
        <v>1</v>
      </c>
      <c r="AE630">
        <v>150</v>
      </c>
      <c r="AF630">
        <v>0</v>
      </c>
      <c r="AG630">
        <v>0</v>
      </c>
      <c r="AH630">
        <v>0</v>
      </c>
      <c r="AI630">
        <v>0</v>
      </c>
      <c r="AJ630">
        <v>1085.48</v>
      </c>
      <c r="AK630">
        <v>0</v>
      </c>
      <c r="AL630">
        <v>1085.48</v>
      </c>
      <c r="AM630">
        <v>0</v>
      </c>
      <c r="AN630">
        <v>0</v>
      </c>
      <c r="AO630">
        <v>0</v>
      </c>
    </row>
    <row r="631" spans="1:41">
      <c r="A631">
        <v>630</v>
      </c>
      <c r="B631" s="42">
        <v>45957</v>
      </c>
      <c r="C631" t="str">
        <v>HINJEWADI</v>
      </c>
      <c r="D631" t="str">
        <v>SLK1</v>
      </c>
      <c r="E631" t="str">
        <v>SHADOWFAX TECHNOLOGIES PRIVATE LIMITED</v>
      </c>
      <c r="F631" t="str">
        <v>MH14MH7322</v>
      </c>
      <c r="G631" t="str">
        <v>BOLERO</v>
      </c>
      <c r="H631" t="str">
        <v>DIESEL</v>
      </c>
      <c r="I631">
        <v>4</v>
      </c>
      <c r="J631">
        <v>10</v>
      </c>
      <c r="K631">
        <v>29000</v>
      </c>
      <c r="L631">
        <v>1000</v>
      </c>
      <c r="M631">
        <v>55</v>
      </c>
      <c r="N631">
        <v>31</v>
      </c>
      <c r="O631" t="str">
        <v>PUN01 NC Cluster 97</v>
      </c>
      <c r="P631">
        <v>0</v>
      </c>
      <c r="Q631">
        <v>0.11180555555555556</v>
      </c>
      <c r="R631">
        <v>0.15349537037037037</v>
      </c>
      <c r="S631">
        <v>3980</v>
      </c>
      <c r="T631">
        <v>0.30127314814814815</v>
      </c>
      <c r="U631">
        <v>0.30144675925925929</v>
      </c>
      <c r="V631">
        <v>4008</v>
      </c>
      <c r="W631">
        <v>43</v>
      </c>
      <c r="X631">
        <v>48</v>
      </c>
      <c r="Y631">
        <v>-5</v>
      </c>
      <c r="Z631">
        <v>28</v>
      </c>
      <c r="AA631">
        <v>28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935.48</v>
      </c>
      <c r="AK631">
        <v>0</v>
      </c>
      <c r="AL631">
        <v>935.48</v>
      </c>
      <c r="AM631">
        <v>0</v>
      </c>
      <c r="AN631">
        <v>0</v>
      </c>
      <c r="AO631">
        <v>0</v>
      </c>
    </row>
    <row r="632" spans="1:41">
      <c r="A632">
        <v>631</v>
      </c>
      <c r="B632" s="42">
        <v>45957</v>
      </c>
      <c r="C632" t="str">
        <v>HINJEWADI</v>
      </c>
      <c r="D632" t="str">
        <v>SLK1</v>
      </c>
      <c r="E632" t="str">
        <v>SHADOWFAX TECHNOLOGIES PRIVATE LIMITED</v>
      </c>
      <c r="F632" t="str">
        <v>MH16CD7321</v>
      </c>
      <c r="G632" t="str">
        <v>BOLERO</v>
      </c>
      <c r="H632" t="str">
        <v>DIESEL</v>
      </c>
      <c r="I632">
        <v>4</v>
      </c>
      <c r="J632">
        <v>10</v>
      </c>
      <c r="K632">
        <v>29000</v>
      </c>
      <c r="L632">
        <v>1000</v>
      </c>
      <c r="M632">
        <v>55</v>
      </c>
      <c r="N632">
        <v>31</v>
      </c>
      <c r="O632" t="str">
        <v>PUN01 NC Cluster 135</v>
      </c>
      <c r="P632">
        <v>0</v>
      </c>
      <c r="Q632">
        <v>8.6111111111111124E-2</v>
      </c>
      <c r="R632">
        <v>0.16081018518518519</v>
      </c>
      <c r="S632">
        <v>139830</v>
      </c>
      <c r="T632">
        <v>0.32502314814814814</v>
      </c>
      <c r="U632">
        <v>0.32512731481481483</v>
      </c>
      <c r="V632">
        <v>139861</v>
      </c>
      <c r="W632">
        <v>40</v>
      </c>
      <c r="X632">
        <v>40</v>
      </c>
      <c r="Y632">
        <v>0</v>
      </c>
      <c r="Z632">
        <v>31</v>
      </c>
      <c r="AA632">
        <v>31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935.48</v>
      </c>
      <c r="AK632">
        <v>0</v>
      </c>
      <c r="AL632">
        <v>935.48</v>
      </c>
      <c r="AM632">
        <v>0</v>
      </c>
      <c r="AN632">
        <v>0</v>
      </c>
      <c r="AO632">
        <v>0</v>
      </c>
    </row>
    <row r="633" spans="1:41">
      <c r="A633">
        <v>632</v>
      </c>
      <c r="B633" s="42">
        <v>45958</v>
      </c>
      <c r="C633" t="str">
        <v>HINJEWADI</v>
      </c>
      <c r="D633" t="str">
        <v>SLK1</v>
      </c>
      <c r="E633" t="str">
        <v>SHADOWFAX TECHNOLOGIES PRIVATE LIMITED</v>
      </c>
      <c r="F633" t="str">
        <v>MH03AH8989</v>
      </c>
      <c r="G633" t="str">
        <v>ACE</v>
      </c>
      <c r="H633" t="str">
        <v>CNG</v>
      </c>
      <c r="I633">
        <v>4</v>
      </c>
      <c r="J633">
        <v>8</v>
      </c>
      <c r="K633">
        <v>25000</v>
      </c>
      <c r="L633">
        <v>1000</v>
      </c>
      <c r="M633">
        <v>55</v>
      </c>
      <c r="N633">
        <v>31</v>
      </c>
      <c r="O633" t="str">
        <v>PUN01 NC Cluster 1</v>
      </c>
      <c r="P633">
        <v>0</v>
      </c>
      <c r="Q633">
        <v>5.0694444444444452E-2</v>
      </c>
      <c r="R633">
        <v>0.16077546296296297</v>
      </c>
      <c r="S633">
        <v>58336</v>
      </c>
      <c r="T633">
        <v>0.27232638888888888</v>
      </c>
      <c r="U633">
        <v>0.27250000000000002</v>
      </c>
      <c r="V633">
        <v>58353</v>
      </c>
      <c r="W633">
        <v>30</v>
      </c>
      <c r="X633">
        <v>35</v>
      </c>
      <c r="Y633">
        <v>-5</v>
      </c>
      <c r="Z633">
        <v>17</v>
      </c>
      <c r="AA633">
        <v>17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806.45</v>
      </c>
      <c r="AK633">
        <v>0</v>
      </c>
      <c r="AL633">
        <v>806.45</v>
      </c>
      <c r="AM633">
        <v>0</v>
      </c>
      <c r="AN633">
        <v>0</v>
      </c>
      <c r="AO633">
        <v>0</v>
      </c>
    </row>
    <row r="634" spans="1:41">
      <c r="A634">
        <v>633</v>
      </c>
      <c r="B634" s="42">
        <v>45958</v>
      </c>
      <c r="C634" t="str">
        <v>HINJEWADI</v>
      </c>
      <c r="D634" t="str">
        <v>SLK1</v>
      </c>
      <c r="E634" t="str">
        <v>SHADOWFAX TECHNOLOGIES PRIVATE LIMITED</v>
      </c>
      <c r="F634" t="str">
        <v>MH12UM3063</v>
      </c>
      <c r="G634" t="str">
        <v>ACE</v>
      </c>
      <c r="H634" t="str">
        <v>CNG</v>
      </c>
      <c r="I634">
        <v>6</v>
      </c>
      <c r="J634">
        <v>8</v>
      </c>
      <c r="K634">
        <v>33000</v>
      </c>
      <c r="L634">
        <v>2000</v>
      </c>
      <c r="M634">
        <v>55</v>
      </c>
      <c r="N634">
        <v>31</v>
      </c>
      <c r="O634" t="str">
        <v>PUN01 NC Cluster 230</v>
      </c>
      <c r="P634">
        <v>0</v>
      </c>
      <c r="Q634">
        <v>4.7916666666666663E-2</v>
      </c>
      <c r="R634">
        <v>0.17324074074074072</v>
      </c>
      <c r="S634">
        <v>101972</v>
      </c>
      <c r="T634">
        <v>0.32245370370370369</v>
      </c>
      <c r="U634">
        <v>0.32253472222222224</v>
      </c>
      <c r="V634">
        <v>102020</v>
      </c>
      <c r="W634">
        <v>30</v>
      </c>
      <c r="X634">
        <v>51</v>
      </c>
      <c r="Y634">
        <v>-21</v>
      </c>
      <c r="Z634">
        <v>48</v>
      </c>
      <c r="AA634">
        <v>48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1064.52</v>
      </c>
      <c r="AK634">
        <v>0</v>
      </c>
      <c r="AL634">
        <v>1064.52</v>
      </c>
      <c r="AM634">
        <v>0</v>
      </c>
      <c r="AN634">
        <v>0</v>
      </c>
      <c r="AO634">
        <v>0</v>
      </c>
    </row>
    <row r="635" spans="1:41">
      <c r="A635">
        <v>634</v>
      </c>
      <c r="B635" s="42">
        <v>45958</v>
      </c>
      <c r="C635" t="str">
        <v>HINJEWADI</v>
      </c>
      <c r="D635" t="str">
        <v>SLK1</v>
      </c>
      <c r="E635" t="str">
        <v>SHADOWFAX TECHNOLOGIES PRIVATE LIMITED</v>
      </c>
      <c r="F635" t="str">
        <v>MH12VF3782</v>
      </c>
      <c r="G635" t="str">
        <v>ACE</v>
      </c>
      <c r="H635" t="str">
        <v>CNG</v>
      </c>
      <c r="I635">
        <v>4</v>
      </c>
      <c r="J635">
        <v>8</v>
      </c>
      <c r="K635">
        <v>25000</v>
      </c>
      <c r="L635">
        <v>1000</v>
      </c>
      <c r="M635">
        <v>55</v>
      </c>
      <c r="N635">
        <v>31</v>
      </c>
      <c r="O635" t="str">
        <v>PUN01 NC Cluster 100</v>
      </c>
      <c r="P635">
        <v>0</v>
      </c>
      <c r="Q635">
        <v>0.11875000000000001</v>
      </c>
      <c r="R635">
        <v>0.17179398148148148</v>
      </c>
      <c r="S635">
        <v>84434</v>
      </c>
      <c r="T635">
        <v>0.30728009259259259</v>
      </c>
      <c r="U635">
        <v>0.30743055555555554</v>
      </c>
      <c r="V635">
        <v>84452</v>
      </c>
      <c r="W635">
        <v>40</v>
      </c>
      <c r="X635">
        <v>23</v>
      </c>
      <c r="Y635">
        <v>17</v>
      </c>
      <c r="Z635">
        <v>18</v>
      </c>
      <c r="AA635">
        <v>18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806.45</v>
      </c>
      <c r="AK635">
        <v>0</v>
      </c>
      <c r="AL635">
        <v>806.45</v>
      </c>
      <c r="AM635">
        <v>0</v>
      </c>
      <c r="AN635">
        <v>0</v>
      </c>
      <c r="AO635">
        <v>0</v>
      </c>
    </row>
    <row r="636" spans="1:41">
      <c r="A636">
        <v>635</v>
      </c>
      <c r="B636" s="42">
        <v>45958</v>
      </c>
      <c r="C636" t="str">
        <v>HINJEWADI</v>
      </c>
      <c r="D636" t="str">
        <v>SLK1</v>
      </c>
      <c r="E636" t="str">
        <v>SHADOWFAX TECHNOLOGIES PRIVATE LIMITED</v>
      </c>
      <c r="F636" t="str">
        <v>MH12WX6236</v>
      </c>
      <c r="G636" t="str">
        <v>ACE</v>
      </c>
      <c r="H636" t="str">
        <v>CNG</v>
      </c>
      <c r="I636">
        <v>4</v>
      </c>
      <c r="J636">
        <v>8</v>
      </c>
      <c r="K636">
        <v>25000</v>
      </c>
      <c r="L636">
        <v>1000</v>
      </c>
      <c r="M636">
        <v>55</v>
      </c>
      <c r="N636">
        <v>31</v>
      </c>
      <c r="O636" t="str">
        <v>PUN01 NC Cluster 140</v>
      </c>
      <c r="P636">
        <v>0</v>
      </c>
      <c r="Q636">
        <v>4.9305555555555554E-2</v>
      </c>
      <c r="R636">
        <v>0.16288194444444445</v>
      </c>
      <c r="S636">
        <v>39467</v>
      </c>
      <c r="T636">
        <v>0.37964120370370374</v>
      </c>
      <c r="U636">
        <v>0.37982638888888887</v>
      </c>
      <c r="V636">
        <v>39493</v>
      </c>
      <c r="W636">
        <v>35</v>
      </c>
      <c r="X636">
        <v>52</v>
      </c>
      <c r="Y636">
        <v>-17</v>
      </c>
      <c r="Z636">
        <v>26</v>
      </c>
      <c r="AA636">
        <v>26</v>
      </c>
      <c r="AB636">
        <v>0</v>
      </c>
      <c r="AC636">
        <v>0</v>
      </c>
      <c r="AD636">
        <v>2</v>
      </c>
      <c r="AE636">
        <v>300</v>
      </c>
      <c r="AF636">
        <v>0</v>
      </c>
      <c r="AG636">
        <v>0</v>
      </c>
      <c r="AH636">
        <v>0</v>
      </c>
      <c r="AI636">
        <v>0</v>
      </c>
      <c r="AJ636">
        <v>1106.45</v>
      </c>
      <c r="AK636">
        <v>0</v>
      </c>
      <c r="AL636">
        <v>1106.45</v>
      </c>
      <c r="AM636">
        <v>0</v>
      </c>
      <c r="AN636">
        <v>0</v>
      </c>
      <c r="AO636">
        <v>0</v>
      </c>
    </row>
    <row r="637" spans="1:41">
      <c r="A637">
        <v>636</v>
      </c>
      <c r="B637" s="42">
        <v>45958</v>
      </c>
      <c r="C637" t="str">
        <v>HINJEWADI</v>
      </c>
      <c r="D637" t="str">
        <v>SLK1</v>
      </c>
      <c r="E637" t="str">
        <v>SHADOWFAX TECHNOLOGIES PRIVATE LIMITED</v>
      </c>
      <c r="F637" t="str">
        <v>MH12XM2801</v>
      </c>
      <c r="G637" t="str">
        <v>ACE</v>
      </c>
      <c r="H637" t="str">
        <v>CNG</v>
      </c>
      <c r="I637">
        <v>4</v>
      </c>
      <c r="J637">
        <v>8</v>
      </c>
      <c r="K637">
        <v>25000</v>
      </c>
      <c r="L637">
        <v>1000</v>
      </c>
      <c r="M637">
        <v>55</v>
      </c>
      <c r="N637">
        <v>31</v>
      </c>
      <c r="O637" t="str">
        <v>PUN01 NC Cluster 37</v>
      </c>
      <c r="P637">
        <v>0</v>
      </c>
      <c r="Q637">
        <v>0.11805555555555557</v>
      </c>
      <c r="R637">
        <v>0.16594907407407408</v>
      </c>
      <c r="S637">
        <v>13169</v>
      </c>
      <c r="T637">
        <v>0.31539351851851855</v>
      </c>
      <c r="U637">
        <v>0.31550925925925927</v>
      </c>
      <c r="V637">
        <v>13189</v>
      </c>
      <c r="W637">
        <v>26</v>
      </c>
      <c r="X637">
        <v>23</v>
      </c>
      <c r="Y637">
        <v>3</v>
      </c>
      <c r="Z637">
        <v>20</v>
      </c>
      <c r="AA637">
        <v>20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806.45</v>
      </c>
      <c r="AK637">
        <v>0</v>
      </c>
      <c r="AL637">
        <v>806.45</v>
      </c>
      <c r="AM637">
        <v>0</v>
      </c>
      <c r="AN637">
        <v>0</v>
      </c>
      <c r="AO637">
        <v>0</v>
      </c>
    </row>
    <row r="638" spans="1:41">
      <c r="A638">
        <v>637</v>
      </c>
      <c r="B638" s="42">
        <v>45958</v>
      </c>
      <c r="C638" t="str">
        <v>HINJEWADI</v>
      </c>
      <c r="D638" t="str">
        <v>SLK1</v>
      </c>
      <c r="E638" t="str">
        <v>SHADOWFAX TECHNOLOGIES PRIVATE LIMITED</v>
      </c>
      <c r="F638" t="str">
        <v>MH14CP4610</v>
      </c>
      <c r="G638" t="str">
        <v>ACE</v>
      </c>
      <c r="H638" t="str">
        <v>CNG</v>
      </c>
      <c r="I638">
        <v>4</v>
      </c>
      <c r="J638">
        <v>8</v>
      </c>
      <c r="K638">
        <v>25000</v>
      </c>
      <c r="L638">
        <v>1000</v>
      </c>
      <c r="M638">
        <v>55</v>
      </c>
      <c r="N638">
        <v>31</v>
      </c>
      <c r="O638" t="str">
        <v>PUN01 NC Cluster 87</v>
      </c>
      <c r="P638">
        <v>0</v>
      </c>
      <c r="Q638">
        <v>8.6805555555555566E-2</v>
      </c>
      <c r="R638">
        <v>0.16569444444444445</v>
      </c>
      <c r="S638">
        <v>145595</v>
      </c>
      <c r="T638">
        <v>0.29643518518518519</v>
      </c>
      <c r="U638">
        <v>0.29719907407407409</v>
      </c>
      <c r="V638">
        <v>145612</v>
      </c>
      <c r="W638">
        <v>29</v>
      </c>
      <c r="X638">
        <v>29</v>
      </c>
      <c r="Y638">
        <v>0</v>
      </c>
      <c r="Z638">
        <v>17</v>
      </c>
      <c r="AA638">
        <v>17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806.45</v>
      </c>
      <c r="AK638">
        <v>0</v>
      </c>
      <c r="AL638">
        <v>806.45</v>
      </c>
      <c r="AM638">
        <v>0</v>
      </c>
      <c r="AN638">
        <v>0</v>
      </c>
      <c r="AO638">
        <v>0</v>
      </c>
    </row>
    <row r="639" spans="1:41">
      <c r="A639">
        <v>638</v>
      </c>
      <c r="B639" s="42">
        <v>45958</v>
      </c>
      <c r="C639" t="str">
        <v>HINJEWADI</v>
      </c>
      <c r="D639" t="str">
        <v>SLK1</v>
      </c>
      <c r="E639" t="str">
        <v>SHADOWFAX TECHNOLOGIES PRIVATE LIMITED</v>
      </c>
      <c r="F639" t="str">
        <v>MH14EM3160</v>
      </c>
      <c r="G639" t="str">
        <v>ACE</v>
      </c>
      <c r="H639" t="str">
        <v>CNG</v>
      </c>
      <c r="I639">
        <v>4</v>
      </c>
      <c r="J639">
        <v>8</v>
      </c>
      <c r="K639">
        <v>25000</v>
      </c>
      <c r="L639">
        <v>1000</v>
      </c>
      <c r="M639">
        <v>55</v>
      </c>
      <c r="N639">
        <v>31</v>
      </c>
      <c r="O639" t="str">
        <v>PUN01 NC Cluster 13</v>
      </c>
      <c r="P639">
        <v>0</v>
      </c>
      <c r="Q639">
        <v>5.486111111111111E-2</v>
      </c>
      <c r="R639">
        <v>0.17445601851851852</v>
      </c>
      <c r="S639">
        <v>166286</v>
      </c>
      <c r="T639">
        <v>0.34589120370370369</v>
      </c>
      <c r="U639">
        <v>0.34600694444444446</v>
      </c>
      <c r="V639">
        <v>166307</v>
      </c>
      <c r="W639">
        <v>40</v>
      </c>
      <c r="X639">
        <v>40</v>
      </c>
      <c r="Y639">
        <v>0</v>
      </c>
      <c r="Z639">
        <v>21</v>
      </c>
      <c r="AA639">
        <v>21</v>
      </c>
      <c r="AB639">
        <v>0</v>
      </c>
      <c r="AC639">
        <v>0</v>
      </c>
      <c r="AD639">
        <v>1</v>
      </c>
      <c r="AE639">
        <v>150</v>
      </c>
      <c r="AF639">
        <v>0</v>
      </c>
      <c r="AG639">
        <v>0</v>
      </c>
      <c r="AH639">
        <v>0</v>
      </c>
      <c r="AI639">
        <v>0</v>
      </c>
      <c r="AJ639">
        <v>956.45</v>
      </c>
      <c r="AK639">
        <v>0</v>
      </c>
      <c r="AL639">
        <v>956.45</v>
      </c>
      <c r="AM639">
        <v>0</v>
      </c>
      <c r="AN639">
        <v>0</v>
      </c>
      <c r="AO639">
        <v>0</v>
      </c>
    </row>
    <row r="640" spans="1:41">
      <c r="A640">
        <v>639</v>
      </c>
      <c r="B640" s="42">
        <v>45958</v>
      </c>
      <c r="C640" t="str">
        <v>HINJEWADI</v>
      </c>
      <c r="D640" t="str">
        <v>SLK1</v>
      </c>
      <c r="E640" t="str">
        <v>SHADOWFAX TECHNOLOGIES PRIVATE LIMITED</v>
      </c>
      <c r="F640" t="str">
        <v>MH14JL3308</v>
      </c>
      <c r="G640" t="str">
        <v>ACE</v>
      </c>
      <c r="H640" t="str">
        <v>CNG</v>
      </c>
      <c r="I640">
        <v>4</v>
      </c>
      <c r="J640">
        <v>8</v>
      </c>
      <c r="K640">
        <v>25000</v>
      </c>
      <c r="L640">
        <v>1000</v>
      </c>
      <c r="M640">
        <v>55</v>
      </c>
      <c r="N640">
        <v>31</v>
      </c>
      <c r="O640" t="str">
        <v>PUN01 NC Cluster 12A</v>
      </c>
      <c r="P640">
        <v>0</v>
      </c>
      <c r="Q640">
        <v>4.8611111111111112E-2</v>
      </c>
      <c r="R640">
        <v>0.17622685185185186</v>
      </c>
      <c r="S640">
        <v>116911</v>
      </c>
      <c r="T640">
        <v>0.34487268518518516</v>
      </c>
      <c r="U640">
        <v>0.3450462962962963</v>
      </c>
      <c r="V640">
        <v>116933</v>
      </c>
      <c r="W640">
        <v>63</v>
      </c>
      <c r="X640">
        <v>63</v>
      </c>
      <c r="Y640">
        <v>0</v>
      </c>
      <c r="Z640">
        <v>22</v>
      </c>
      <c r="AA640">
        <v>22</v>
      </c>
      <c r="AB640">
        <v>0</v>
      </c>
      <c r="AC640">
        <v>0</v>
      </c>
      <c r="AD640">
        <v>1</v>
      </c>
      <c r="AE640">
        <v>150</v>
      </c>
      <c r="AF640">
        <v>0</v>
      </c>
      <c r="AG640">
        <v>0</v>
      </c>
      <c r="AH640">
        <v>0</v>
      </c>
      <c r="AI640">
        <v>0</v>
      </c>
      <c r="AJ640">
        <v>956.45</v>
      </c>
      <c r="AK640">
        <v>0</v>
      </c>
      <c r="AL640">
        <v>956.45</v>
      </c>
      <c r="AM640">
        <v>0</v>
      </c>
      <c r="AN640">
        <v>0</v>
      </c>
      <c r="AO640">
        <v>0</v>
      </c>
    </row>
    <row r="641" spans="1:41">
      <c r="A641">
        <v>640</v>
      </c>
      <c r="B641" s="42">
        <v>45958</v>
      </c>
      <c r="C641" t="str">
        <v>HINJEWADI</v>
      </c>
      <c r="D641" t="str">
        <v>SLK1</v>
      </c>
      <c r="E641" t="str">
        <v>SHADOWFAX TECHNOLOGIES PRIVATE LIMITED</v>
      </c>
      <c r="F641" t="str">
        <v>MH14KA0766</v>
      </c>
      <c r="G641" t="str">
        <v>ACE</v>
      </c>
      <c r="H641" t="str">
        <v>CNG</v>
      </c>
      <c r="I641">
        <v>4</v>
      </c>
      <c r="J641">
        <v>8</v>
      </c>
      <c r="K641">
        <v>25000</v>
      </c>
      <c r="L641">
        <v>1000</v>
      </c>
      <c r="M641">
        <v>55</v>
      </c>
      <c r="N641">
        <v>31</v>
      </c>
      <c r="O641" t="str">
        <v>PUN01 NC Cluster 10</v>
      </c>
      <c r="P641">
        <v>0</v>
      </c>
      <c r="Q641">
        <v>4.9305555555555554E-2</v>
      </c>
      <c r="R641">
        <v>0.17601851851851849</v>
      </c>
      <c r="S641">
        <v>146479</v>
      </c>
      <c r="T641">
        <v>0.34521990740740738</v>
      </c>
      <c r="U641">
        <v>0.34532407407407412</v>
      </c>
      <c r="V641">
        <v>146503</v>
      </c>
      <c r="W641">
        <v>54</v>
      </c>
      <c r="X641">
        <v>54</v>
      </c>
      <c r="Y641">
        <v>0</v>
      </c>
      <c r="Z641">
        <v>24</v>
      </c>
      <c r="AA641">
        <v>24</v>
      </c>
      <c r="AB641">
        <v>0</v>
      </c>
      <c r="AC641">
        <v>0</v>
      </c>
      <c r="AD641">
        <v>1</v>
      </c>
      <c r="AE641">
        <v>150</v>
      </c>
      <c r="AF641">
        <v>0</v>
      </c>
      <c r="AG641">
        <v>0</v>
      </c>
      <c r="AH641">
        <v>0</v>
      </c>
      <c r="AI641">
        <v>0</v>
      </c>
      <c r="AJ641">
        <v>956.45</v>
      </c>
      <c r="AK641">
        <v>0</v>
      </c>
      <c r="AL641">
        <v>956.45</v>
      </c>
      <c r="AM641">
        <v>0</v>
      </c>
      <c r="AN641">
        <v>0</v>
      </c>
      <c r="AO641">
        <v>0</v>
      </c>
    </row>
    <row r="642" spans="1:41">
      <c r="A642">
        <v>641</v>
      </c>
      <c r="B642" s="42">
        <v>45958</v>
      </c>
      <c r="C642" t="str">
        <v>HINJEWADI</v>
      </c>
      <c r="D642" t="str">
        <v>SLK1</v>
      </c>
      <c r="E642" t="str">
        <v>SHADOWFAX TECHNOLOGIES PRIVATE LIMITED</v>
      </c>
      <c r="F642" t="str">
        <v>MH14KA1228</v>
      </c>
      <c r="G642" t="str">
        <v>ACE</v>
      </c>
      <c r="H642" t="str">
        <v>CNG</v>
      </c>
      <c r="I642">
        <v>4</v>
      </c>
      <c r="J642">
        <v>8</v>
      </c>
      <c r="K642">
        <v>25000</v>
      </c>
      <c r="L642">
        <v>1000</v>
      </c>
      <c r="M642">
        <v>55</v>
      </c>
      <c r="N642">
        <v>31</v>
      </c>
      <c r="O642" t="str">
        <v>PUN01 NC Cluster 97</v>
      </c>
      <c r="P642">
        <v>0</v>
      </c>
      <c r="Q642">
        <v>0.11666666666666665</v>
      </c>
      <c r="R642">
        <v>0.17270833333333332</v>
      </c>
      <c r="S642">
        <v>160237</v>
      </c>
      <c r="T642">
        <v>0.3800115740740741</v>
      </c>
      <c r="U642">
        <v>0.38040509259259259</v>
      </c>
      <c r="V642">
        <v>160268</v>
      </c>
      <c r="W642">
        <v>25</v>
      </c>
      <c r="X642">
        <v>30</v>
      </c>
      <c r="Y642">
        <v>-5</v>
      </c>
      <c r="Z642">
        <v>31</v>
      </c>
      <c r="AA642">
        <v>31</v>
      </c>
      <c r="AB642">
        <v>0</v>
      </c>
      <c r="AC642">
        <v>0</v>
      </c>
      <c r="AD642">
        <v>2</v>
      </c>
      <c r="AE642">
        <v>300</v>
      </c>
      <c r="AF642">
        <v>0</v>
      </c>
      <c r="AG642">
        <v>0</v>
      </c>
      <c r="AH642">
        <v>0</v>
      </c>
      <c r="AI642">
        <v>0</v>
      </c>
      <c r="AJ642">
        <v>1106.45</v>
      </c>
      <c r="AK642">
        <v>0</v>
      </c>
      <c r="AL642">
        <v>1106.45</v>
      </c>
      <c r="AM642">
        <v>0</v>
      </c>
      <c r="AN642">
        <v>0</v>
      </c>
      <c r="AO642">
        <v>0</v>
      </c>
    </row>
    <row r="643" spans="1:41">
      <c r="A643">
        <v>642</v>
      </c>
      <c r="B643" s="42">
        <v>45958</v>
      </c>
      <c r="C643" t="str">
        <v>HINJEWADI</v>
      </c>
      <c r="D643" t="str">
        <v>SLK1</v>
      </c>
      <c r="E643" t="str">
        <v>SHADOWFAX TECHNOLOGIES PRIVATE LIMITED</v>
      </c>
      <c r="F643" t="str">
        <v>MH14KA1873</v>
      </c>
      <c r="G643" t="str">
        <v>ACE</v>
      </c>
      <c r="H643" t="str">
        <v>CNG</v>
      </c>
      <c r="I643">
        <v>4</v>
      </c>
      <c r="J643">
        <v>8</v>
      </c>
      <c r="K643">
        <v>25000</v>
      </c>
      <c r="L643">
        <v>1000</v>
      </c>
      <c r="M643">
        <v>55</v>
      </c>
      <c r="N643">
        <v>31</v>
      </c>
      <c r="O643" t="str">
        <v>PUN01 NC Cluster 40</v>
      </c>
      <c r="P643">
        <v>0</v>
      </c>
      <c r="Q643">
        <v>7.4999999999999997E-2</v>
      </c>
      <c r="R643">
        <v>0.16616898148148149</v>
      </c>
      <c r="S643">
        <v>114976</v>
      </c>
      <c r="T643">
        <v>0.33042824074074073</v>
      </c>
      <c r="U643">
        <v>0.33238425925925924</v>
      </c>
      <c r="V643">
        <v>114997</v>
      </c>
      <c r="W643">
        <v>49</v>
      </c>
      <c r="X643">
        <v>49</v>
      </c>
      <c r="Y643">
        <v>0</v>
      </c>
      <c r="Z643">
        <v>21</v>
      </c>
      <c r="AA643">
        <v>21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806.45</v>
      </c>
      <c r="AK643">
        <v>0</v>
      </c>
      <c r="AL643">
        <v>806.45</v>
      </c>
      <c r="AM643">
        <v>0</v>
      </c>
      <c r="AN643">
        <v>0</v>
      </c>
      <c r="AO643">
        <v>0</v>
      </c>
    </row>
    <row r="644" spans="1:41">
      <c r="A644">
        <v>643</v>
      </c>
      <c r="B644" s="42">
        <v>45958</v>
      </c>
      <c r="C644" t="str">
        <v>HINJEWADI</v>
      </c>
      <c r="D644" t="str">
        <v>SLK1</v>
      </c>
      <c r="E644" t="str">
        <v>SHADOWFAX TECHNOLOGIES PRIVATE LIMITED</v>
      </c>
      <c r="F644" t="str">
        <v>MH14KA2871</v>
      </c>
      <c r="G644" t="str">
        <v>ACE</v>
      </c>
      <c r="H644" t="str">
        <v>CNG</v>
      </c>
      <c r="I644">
        <v>4</v>
      </c>
      <c r="J644">
        <v>8</v>
      </c>
      <c r="K644">
        <v>25000</v>
      </c>
      <c r="L644">
        <v>1000</v>
      </c>
      <c r="M644">
        <v>55</v>
      </c>
      <c r="N644">
        <v>31</v>
      </c>
      <c r="O644" t="str">
        <v>PUN01 NC Cluster 113</v>
      </c>
      <c r="P644">
        <v>0</v>
      </c>
      <c r="Q644">
        <v>0.13194444444444445</v>
      </c>
      <c r="R644">
        <v>0.17246527777777776</v>
      </c>
      <c r="S644">
        <v>79431</v>
      </c>
      <c r="T644">
        <v>0.3185763888888889</v>
      </c>
      <c r="U644">
        <v>0.31875000000000003</v>
      </c>
      <c r="V644">
        <v>79454</v>
      </c>
      <c r="W644">
        <v>30</v>
      </c>
      <c r="X644">
        <v>59</v>
      </c>
      <c r="Y644">
        <v>-29</v>
      </c>
      <c r="Z644">
        <v>23</v>
      </c>
      <c r="AA644">
        <v>23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806.45</v>
      </c>
      <c r="AK644">
        <v>0</v>
      </c>
      <c r="AL644">
        <v>806.45</v>
      </c>
      <c r="AM644">
        <v>0</v>
      </c>
      <c r="AN644">
        <v>0</v>
      </c>
      <c r="AO644">
        <v>0</v>
      </c>
    </row>
    <row r="645" spans="1:41">
      <c r="A645">
        <v>644</v>
      </c>
      <c r="B645" s="42">
        <v>45958</v>
      </c>
      <c r="C645" t="str">
        <v>HINJEWADI</v>
      </c>
      <c r="D645" t="str">
        <v>SLK1</v>
      </c>
      <c r="E645" t="str">
        <v>SHADOWFAX TECHNOLOGIES PRIVATE LIMITED</v>
      </c>
      <c r="F645" t="str">
        <v>MH14KA6513</v>
      </c>
      <c r="G645" t="str">
        <v>ACE</v>
      </c>
      <c r="H645" t="str">
        <v>CNG</v>
      </c>
      <c r="I645">
        <v>6</v>
      </c>
      <c r="J645">
        <v>8</v>
      </c>
      <c r="K645">
        <v>33000</v>
      </c>
      <c r="L645">
        <v>2000</v>
      </c>
      <c r="M645">
        <v>55</v>
      </c>
      <c r="N645">
        <v>31</v>
      </c>
      <c r="O645" t="str">
        <v>PUN01 NC Cluster 299</v>
      </c>
      <c r="P645">
        <v>0</v>
      </c>
      <c r="Q645">
        <v>0.1125</v>
      </c>
      <c r="R645">
        <v>0.17712962962962964</v>
      </c>
      <c r="S645">
        <v>48957</v>
      </c>
      <c r="T645">
        <v>0.35681712962962964</v>
      </c>
      <c r="U645">
        <v>0.35692129629629626</v>
      </c>
      <c r="V645">
        <v>49012</v>
      </c>
      <c r="W645">
        <v>40</v>
      </c>
      <c r="X645">
        <v>25</v>
      </c>
      <c r="Y645">
        <v>15</v>
      </c>
      <c r="Z645">
        <v>55</v>
      </c>
      <c r="AA645">
        <v>55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1064.52</v>
      </c>
      <c r="AK645">
        <v>0</v>
      </c>
      <c r="AL645">
        <v>1064.52</v>
      </c>
      <c r="AM645">
        <v>0</v>
      </c>
      <c r="AN645">
        <v>0</v>
      </c>
      <c r="AO645">
        <v>0</v>
      </c>
    </row>
    <row r="646" spans="1:41">
      <c r="A646">
        <v>645</v>
      </c>
      <c r="B646" s="42">
        <v>45958</v>
      </c>
      <c r="C646" t="str">
        <v>HINJEWADI</v>
      </c>
      <c r="D646" t="str">
        <v>SLK1</v>
      </c>
      <c r="E646" t="str">
        <v>SHADOWFAX TECHNOLOGIES PRIVATE LIMITED</v>
      </c>
      <c r="F646" t="str">
        <v>MH14KQ0279</v>
      </c>
      <c r="G646" t="str">
        <v>ACE</v>
      </c>
      <c r="H646" t="str">
        <v>CNG</v>
      </c>
      <c r="I646">
        <v>4</v>
      </c>
      <c r="J646">
        <v>8</v>
      </c>
      <c r="K646">
        <v>25000</v>
      </c>
      <c r="L646">
        <v>1000</v>
      </c>
      <c r="M646">
        <v>55</v>
      </c>
      <c r="N646">
        <v>31</v>
      </c>
      <c r="O646" t="str">
        <v>PUN01 NC Cluster 199</v>
      </c>
      <c r="P646">
        <v>0</v>
      </c>
      <c r="Q646">
        <v>0.12916666666666668</v>
      </c>
      <c r="R646">
        <v>0.16539351851851852</v>
      </c>
      <c r="S646">
        <v>119141</v>
      </c>
      <c r="T646">
        <v>0.36275462962962962</v>
      </c>
      <c r="U646">
        <v>0.36292824074074076</v>
      </c>
      <c r="V646">
        <v>119168</v>
      </c>
      <c r="W646">
        <v>40</v>
      </c>
      <c r="X646">
        <v>15</v>
      </c>
      <c r="Y646">
        <v>25</v>
      </c>
      <c r="Z646">
        <v>27</v>
      </c>
      <c r="AA646">
        <v>27</v>
      </c>
      <c r="AB646">
        <v>0</v>
      </c>
      <c r="AC646">
        <v>0</v>
      </c>
      <c r="AD646">
        <v>1</v>
      </c>
      <c r="AE646">
        <v>150</v>
      </c>
      <c r="AF646">
        <v>0</v>
      </c>
      <c r="AG646">
        <v>0</v>
      </c>
      <c r="AH646">
        <v>0</v>
      </c>
      <c r="AI646">
        <v>0</v>
      </c>
      <c r="AJ646">
        <v>956.45</v>
      </c>
      <c r="AK646">
        <v>0</v>
      </c>
      <c r="AL646">
        <v>956.45</v>
      </c>
      <c r="AM646">
        <v>0</v>
      </c>
      <c r="AN646">
        <v>0</v>
      </c>
      <c r="AO646">
        <v>0</v>
      </c>
    </row>
    <row r="647" spans="1:41">
      <c r="A647">
        <v>646</v>
      </c>
      <c r="B647" s="42">
        <v>45958</v>
      </c>
      <c r="C647" t="str">
        <v>HINJEWADI</v>
      </c>
      <c r="D647" t="str">
        <v>SLK1</v>
      </c>
      <c r="E647" t="str">
        <v>SHADOWFAX TECHNOLOGIES PRIVATE LIMITED</v>
      </c>
      <c r="F647" t="str">
        <v>MH14LB4598</v>
      </c>
      <c r="G647" t="str">
        <v>ACE</v>
      </c>
      <c r="H647" t="str">
        <v>CNG</v>
      </c>
      <c r="I647">
        <v>4</v>
      </c>
      <c r="J647">
        <v>8</v>
      </c>
      <c r="K647">
        <v>25000</v>
      </c>
      <c r="L647">
        <v>1000</v>
      </c>
      <c r="M647">
        <v>55</v>
      </c>
      <c r="N647">
        <v>31</v>
      </c>
      <c r="O647" t="str">
        <v>PUN01 NC Cluster 92</v>
      </c>
      <c r="P647">
        <v>0</v>
      </c>
      <c r="Q647">
        <v>4.9305555555555554E-2</v>
      </c>
      <c r="R647">
        <v>0.17480324074074075</v>
      </c>
      <c r="S647">
        <v>66652</v>
      </c>
      <c r="T647">
        <v>0.34721064814814812</v>
      </c>
      <c r="U647">
        <v>0.34743055555555552</v>
      </c>
      <c r="V647">
        <v>66662</v>
      </c>
      <c r="W647">
        <v>29</v>
      </c>
      <c r="X647">
        <v>29</v>
      </c>
      <c r="Y647">
        <v>0</v>
      </c>
      <c r="Z647">
        <v>10</v>
      </c>
      <c r="AA647">
        <v>10</v>
      </c>
      <c r="AB647">
        <v>0</v>
      </c>
      <c r="AC647">
        <v>0</v>
      </c>
      <c r="AD647">
        <v>1</v>
      </c>
      <c r="AE647">
        <v>150</v>
      </c>
      <c r="AF647">
        <v>0</v>
      </c>
      <c r="AG647">
        <v>0</v>
      </c>
      <c r="AH647">
        <v>0</v>
      </c>
      <c r="AI647">
        <v>0</v>
      </c>
      <c r="AJ647">
        <v>956.45</v>
      </c>
      <c r="AK647">
        <v>0</v>
      </c>
      <c r="AL647">
        <v>956.45</v>
      </c>
      <c r="AM647">
        <v>0</v>
      </c>
      <c r="AN647">
        <v>0</v>
      </c>
      <c r="AO647">
        <v>0</v>
      </c>
    </row>
    <row r="648" spans="1:41">
      <c r="A648">
        <v>647</v>
      </c>
      <c r="B648" s="42">
        <v>45958</v>
      </c>
      <c r="C648" t="str">
        <v>HINJEWADI</v>
      </c>
      <c r="D648" t="str">
        <v>SLK1</v>
      </c>
      <c r="E648" t="str">
        <v>SHADOWFAX TECHNOLOGIES PRIVATE LIMITED</v>
      </c>
      <c r="F648" t="str">
        <v>MH14LB5906</v>
      </c>
      <c r="G648" t="str">
        <v>ACE</v>
      </c>
      <c r="H648" t="str">
        <v>CNG</v>
      </c>
      <c r="I648">
        <v>4</v>
      </c>
      <c r="J648">
        <v>8</v>
      </c>
      <c r="K648">
        <v>25000</v>
      </c>
      <c r="L648">
        <v>1000</v>
      </c>
      <c r="M648">
        <v>55</v>
      </c>
      <c r="N648">
        <v>31</v>
      </c>
      <c r="O648" t="str">
        <v>PUN01 NC Cluster 2</v>
      </c>
      <c r="P648">
        <v>0</v>
      </c>
      <c r="Q648">
        <v>7.7777777777777779E-2</v>
      </c>
      <c r="R648">
        <v>0.16380787037037037</v>
      </c>
      <c r="S648">
        <v>45560</v>
      </c>
      <c r="T648">
        <v>0.27270833333333333</v>
      </c>
      <c r="U648">
        <v>0.27331018518518518</v>
      </c>
      <c r="V648">
        <v>45572</v>
      </c>
      <c r="W648">
        <v>46</v>
      </c>
      <c r="X648">
        <v>53</v>
      </c>
      <c r="Y648">
        <v>-7</v>
      </c>
      <c r="Z648">
        <v>12</v>
      </c>
      <c r="AA648">
        <v>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806.45</v>
      </c>
      <c r="AK648">
        <v>0</v>
      </c>
      <c r="AL648">
        <v>806.45</v>
      </c>
      <c r="AM648">
        <v>0</v>
      </c>
      <c r="AN648">
        <v>0</v>
      </c>
      <c r="AO648">
        <v>0</v>
      </c>
    </row>
    <row r="649" spans="1:41">
      <c r="A649">
        <v>648</v>
      </c>
      <c r="B649" s="42">
        <v>45958</v>
      </c>
      <c r="C649" t="str">
        <v>HINJEWADI</v>
      </c>
      <c r="D649" t="str">
        <v>SLK1</v>
      </c>
      <c r="E649" t="str">
        <v>SHADOWFAX TECHNOLOGIES PRIVATE LIMITED</v>
      </c>
      <c r="F649" t="str">
        <v>MH14LB6751</v>
      </c>
      <c r="G649" t="str">
        <v>ACE</v>
      </c>
      <c r="H649" t="str">
        <v>CNG</v>
      </c>
      <c r="I649">
        <v>4</v>
      </c>
      <c r="J649">
        <v>8</v>
      </c>
      <c r="K649">
        <v>25000</v>
      </c>
      <c r="L649">
        <v>1000</v>
      </c>
      <c r="M649">
        <v>55</v>
      </c>
      <c r="N649">
        <v>31</v>
      </c>
      <c r="O649" t="str">
        <v>PUN01 NC Cluster 36</v>
      </c>
      <c r="P649">
        <v>0</v>
      </c>
      <c r="Q649">
        <v>5.1388888888888894E-2</v>
      </c>
      <c r="R649">
        <v>0.17833333333333334</v>
      </c>
      <c r="S649">
        <v>85858</v>
      </c>
      <c r="T649">
        <v>0.31724537037037037</v>
      </c>
      <c r="U649">
        <v>0.31736111111111115</v>
      </c>
      <c r="V649">
        <v>85875</v>
      </c>
      <c r="W649">
        <v>22</v>
      </c>
      <c r="X649">
        <v>37</v>
      </c>
      <c r="Y649">
        <v>-15</v>
      </c>
      <c r="Z649">
        <v>17</v>
      </c>
      <c r="AA649">
        <v>17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806.45</v>
      </c>
      <c r="AK649">
        <v>0</v>
      </c>
      <c r="AL649">
        <v>806.45</v>
      </c>
      <c r="AM649">
        <v>0</v>
      </c>
      <c r="AN649">
        <v>0</v>
      </c>
      <c r="AO649">
        <v>0</v>
      </c>
    </row>
    <row r="650" spans="1:41">
      <c r="A650">
        <v>649</v>
      </c>
      <c r="B650" s="42">
        <v>45958</v>
      </c>
      <c r="C650" t="str">
        <v>HINJEWADI</v>
      </c>
      <c r="D650" t="str">
        <v>SLK1</v>
      </c>
      <c r="E650" t="str">
        <v>SHADOWFAX TECHNOLOGIES PRIVATE LIMITED</v>
      </c>
      <c r="F650" t="str">
        <v>MH14LL5974</v>
      </c>
      <c r="G650" t="str">
        <v>ACE</v>
      </c>
      <c r="H650" t="str">
        <v>CNG</v>
      </c>
      <c r="I650">
        <v>4</v>
      </c>
      <c r="J650">
        <v>8</v>
      </c>
      <c r="K650">
        <v>25000</v>
      </c>
      <c r="L650">
        <v>1000</v>
      </c>
      <c r="M650">
        <v>55</v>
      </c>
      <c r="N650">
        <v>31</v>
      </c>
      <c r="O650" t="str">
        <v>PUN01 NC Cluster 132</v>
      </c>
      <c r="P650">
        <v>0</v>
      </c>
      <c r="Q650">
        <v>9.2361111111111116E-2</v>
      </c>
      <c r="R650">
        <v>0.16958333333333334</v>
      </c>
      <c r="S650">
        <v>37776</v>
      </c>
      <c r="T650">
        <v>0.30237268518518517</v>
      </c>
      <c r="U650">
        <v>0.30252314814814812</v>
      </c>
      <c r="V650">
        <v>37801</v>
      </c>
      <c r="W650">
        <v>38</v>
      </c>
      <c r="X650">
        <v>36</v>
      </c>
      <c r="Y650">
        <v>2</v>
      </c>
      <c r="Z650">
        <v>25</v>
      </c>
      <c r="AA650">
        <v>25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806.45</v>
      </c>
      <c r="AK650">
        <v>0</v>
      </c>
      <c r="AL650">
        <v>806.45</v>
      </c>
      <c r="AM650">
        <v>0</v>
      </c>
      <c r="AN650">
        <v>0</v>
      </c>
      <c r="AO650">
        <v>0</v>
      </c>
    </row>
    <row r="651" spans="1:41">
      <c r="A651">
        <v>650</v>
      </c>
      <c r="B651" s="42">
        <v>45958</v>
      </c>
      <c r="C651" t="str">
        <v>HINJEWADI</v>
      </c>
      <c r="D651" t="str">
        <v>SLK1</v>
      </c>
      <c r="E651" t="str">
        <v>SHADOWFAX TECHNOLOGIES PRIVATE LIMITED</v>
      </c>
      <c r="F651" t="str">
        <v>MH14LX6360</v>
      </c>
      <c r="G651" t="str">
        <v>ACE</v>
      </c>
      <c r="H651" t="str">
        <v>CNG</v>
      </c>
      <c r="I651">
        <v>4</v>
      </c>
      <c r="J651">
        <v>8</v>
      </c>
      <c r="K651">
        <v>25000</v>
      </c>
      <c r="L651">
        <v>1000</v>
      </c>
      <c r="M651">
        <v>55</v>
      </c>
      <c r="N651">
        <v>31</v>
      </c>
      <c r="O651" t="str">
        <v>PUN01 NC Cluster 41</v>
      </c>
      <c r="P651">
        <v>0</v>
      </c>
      <c r="Q651">
        <v>5.2083333333333336E-2</v>
      </c>
      <c r="R651">
        <v>0.17803240740740742</v>
      </c>
      <c r="S651">
        <v>39840</v>
      </c>
      <c r="T651">
        <v>0.30166666666666669</v>
      </c>
      <c r="U651">
        <v>0.30180555555555555</v>
      </c>
      <c r="V651">
        <v>39856</v>
      </c>
      <c r="W651">
        <v>44</v>
      </c>
      <c r="X651">
        <v>44</v>
      </c>
      <c r="Y651">
        <v>0</v>
      </c>
      <c r="Z651">
        <v>16</v>
      </c>
      <c r="AA651">
        <v>16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806.45</v>
      </c>
      <c r="AK651">
        <v>0</v>
      </c>
      <c r="AL651">
        <v>806.45</v>
      </c>
      <c r="AM651">
        <v>0</v>
      </c>
      <c r="AN651">
        <v>0</v>
      </c>
      <c r="AO651">
        <v>0</v>
      </c>
    </row>
    <row r="652" spans="1:41">
      <c r="A652">
        <v>651</v>
      </c>
      <c r="B652" s="42">
        <v>45958</v>
      </c>
      <c r="C652" t="str">
        <v>HINJEWADI</v>
      </c>
      <c r="D652" t="str">
        <v>SLK1</v>
      </c>
      <c r="E652" t="str">
        <v>SHADOWFAX TECHNOLOGIES PRIVATE LIMITED</v>
      </c>
      <c r="F652" t="str">
        <v>MH14MH6374</v>
      </c>
      <c r="G652" t="str">
        <v>ACE</v>
      </c>
      <c r="H652" t="str">
        <v>CNG</v>
      </c>
      <c r="I652">
        <v>4</v>
      </c>
      <c r="J652">
        <v>8</v>
      </c>
      <c r="K652">
        <v>25000</v>
      </c>
      <c r="L652">
        <v>1000</v>
      </c>
      <c r="M652">
        <v>55</v>
      </c>
      <c r="N652">
        <v>31</v>
      </c>
      <c r="O652" t="str">
        <v>PUN01 NC Cluster 201</v>
      </c>
      <c r="P652">
        <v>0</v>
      </c>
      <c r="Q652">
        <v>5.2777777777777778E-2</v>
      </c>
      <c r="R652">
        <v>0.16424768518518518</v>
      </c>
      <c r="S652">
        <v>8703</v>
      </c>
      <c r="T652">
        <v>0.33362268518518517</v>
      </c>
      <c r="U652">
        <v>0.33370370370370367</v>
      </c>
      <c r="V652">
        <v>8736</v>
      </c>
      <c r="W652">
        <v>44</v>
      </c>
      <c r="X652">
        <v>33</v>
      </c>
      <c r="Y652">
        <v>11</v>
      </c>
      <c r="Z652">
        <v>33</v>
      </c>
      <c r="AA652">
        <v>33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806.45</v>
      </c>
      <c r="AK652">
        <v>0</v>
      </c>
      <c r="AL652">
        <v>806.45</v>
      </c>
      <c r="AM652">
        <v>0</v>
      </c>
      <c r="AN652">
        <v>0</v>
      </c>
      <c r="AO652">
        <v>0</v>
      </c>
    </row>
    <row r="653" spans="1:41">
      <c r="A653">
        <v>652</v>
      </c>
      <c r="B653" s="42">
        <v>45958</v>
      </c>
      <c r="C653" t="str">
        <v>HINJEWADI</v>
      </c>
      <c r="D653" t="str">
        <v>SLK1</v>
      </c>
      <c r="E653" t="str">
        <v>SHADOWFAX TECHNOLOGIES PRIVATE LIMITED</v>
      </c>
      <c r="F653" t="str">
        <v>MH14MH8276</v>
      </c>
      <c r="G653" t="str">
        <v>ACE</v>
      </c>
      <c r="H653" t="str">
        <v>CNG</v>
      </c>
      <c r="I653">
        <v>4</v>
      </c>
      <c r="J653">
        <v>8</v>
      </c>
      <c r="K653">
        <v>25000</v>
      </c>
      <c r="L653">
        <v>1000</v>
      </c>
      <c r="M653">
        <v>55</v>
      </c>
      <c r="N653">
        <v>31</v>
      </c>
      <c r="O653" t="str">
        <v>PUN01 NC Cluster 39</v>
      </c>
      <c r="P653">
        <v>0</v>
      </c>
      <c r="Q653">
        <v>5.1388888888888894E-2</v>
      </c>
      <c r="R653">
        <v>0.16447916666666665</v>
      </c>
      <c r="S653">
        <v>6410</v>
      </c>
      <c r="T653">
        <v>0.32268518518518519</v>
      </c>
      <c r="U653">
        <v>0.32276620370370374</v>
      </c>
      <c r="V653">
        <v>6428</v>
      </c>
      <c r="W653">
        <v>35</v>
      </c>
      <c r="X653">
        <v>47</v>
      </c>
      <c r="Y653">
        <v>-12</v>
      </c>
      <c r="Z653">
        <v>18</v>
      </c>
      <c r="AA653">
        <v>18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806.45</v>
      </c>
      <c r="AK653">
        <v>0</v>
      </c>
      <c r="AL653">
        <v>806.45</v>
      </c>
      <c r="AM653">
        <v>0</v>
      </c>
      <c r="AN653">
        <v>0</v>
      </c>
      <c r="AO653">
        <v>0</v>
      </c>
    </row>
    <row r="654" spans="1:41">
      <c r="A654">
        <v>653</v>
      </c>
      <c r="B654" s="42">
        <v>45958</v>
      </c>
      <c r="C654" t="str">
        <v>HINJEWADI</v>
      </c>
      <c r="D654" t="str">
        <v>SLK1</v>
      </c>
      <c r="E654" t="str">
        <v>SHADOWFAX TECHNOLOGIES PRIVATE LIMITED</v>
      </c>
      <c r="F654" t="str">
        <v>MH20GC8804</v>
      </c>
      <c r="G654" t="str">
        <v>ACE</v>
      </c>
      <c r="H654" t="str">
        <v>CNG</v>
      </c>
      <c r="I654">
        <v>4</v>
      </c>
      <c r="J654">
        <v>8</v>
      </c>
      <c r="K654">
        <v>25000</v>
      </c>
      <c r="L654">
        <v>1000</v>
      </c>
      <c r="M654">
        <v>55</v>
      </c>
      <c r="N654">
        <v>31</v>
      </c>
      <c r="O654" t="str">
        <v>PUN01 NC Cluster 26</v>
      </c>
      <c r="P654">
        <v>0</v>
      </c>
      <c r="Q654">
        <v>0.11666666666666665</v>
      </c>
      <c r="R654">
        <v>0.17195601851851852</v>
      </c>
      <c r="S654">
        <v>42379</v>
      </c>
      <c r="T654">
        <v>0.32502314814814814</v>
      </c>
      <c r="U654">
        <v>0.32510416666666669</v>
      </c>
      <c r="V654">
        <v>42404</v>
      </c>
      <c r="W654">
        <v>40</v>
      </c>
      <c r="X654">
        <v>32</v>
      </c>
      <c r="Y654">
        <v>8</v>
      </c>
      <c r="Z654">
        <v>25</v>
      </c>
      <c r="AA654">
        <v>25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806.45</v>
      </c>
      <c r="AK654">
        <v>0</v>
      </c>
      <c r="AL654">
        <v>806.45</v>
      </c>
      <c r="AM654">
        <v>0</v>
      </c>
      <c r="AN654">
        <v>0</v>
      </c>
      <c r="AO654">
        <v>0</v>
      </c>
    </row>
    <row r="655" spans="1:41">
      <c r="A655">
        <v>654</v>
      </c>
      <c r="B655" s="42">
        <v>45958</v>
      </c>
      <c r="C655" t="str">
        <v>HINJEWADI</v>
      </c>
      <c r="D655" t="str">
        <v>SLK1</v>
      </c>
      <c r="E655" t="str">
        <v>SHADOWFAX TECHNOLOGIES PRIVATE LIMITED</v>
      </c>
      <c r="F655" t="str">
        <v>MH12YQ2365</v>
      </c>
      <c r="G655" t="str">
        <v>BOLERO</v>
      </c>
      <c r="H655" t="str">
        <v>DIESEL</v>
      </c>
      <c r="I655">
        <v>4</v>
      </c>
      <c r="J655">
        <v>10</v>
      </c>
      <c r="K655">
        <v>29000</v>
      </c>
      <c r="L655">
        <v>1000</v>
      </c>
      <c r="M655">
        <v>55</v>
      </c>
      <c r="N655">
        <v>31</v>
      </c>
      <c r="O655" t="str">
        <v>PUN01 NC Cluster 74</v>
      </c>
      <c r="P655">
        <v>0</v>
      </c>
      <c r="Q655">
        <v>0.11944444444444445</v>
      </c>
      <c r="R655">
        <v>0.16609953703703703</v>
      </c>
      <c r="S655">
        <v>171</v>
      </c>
      <c r="T655">
        <v>0.34958333333333336</v>
      </c>
      <c r="U655">
        <v>0.34973379629629631</v>
      </c>
      <c r="V655">
        <v>192</v>
      </c>
      <c r="W655">
        <v>43</v>
      </c>
      <c r="X655">
        <v>42</v>
      </c>
      <c r="Y655">
        <v>1</v>
      </c>
      <c r="Z655">
        <v>21</v>
      </c>
      <c r="AA655">
        <v>21</v>
      </c>
      <c r="AB655">
        <v>0</v>
      </c>
      <c r="AC655">
        <v>0</v>
      </c>
      <c r="AD655">
        <v>1</v>
      </c>
      <c r="AE655">
        <v>150</v>
      </c>
      <c r="AF655">
        <v>0</v>
      </c>
      <c r="AG655">
        <v>0</v>
      </c>
      <c r="AH655">
        <v>0</v>
      </c>
      <c r="AI655">
        <v>0</v>
      </c>
      <c r="AJ655">
        <v>1085.48</v>
      </c>
      <c r="AK655">
        <v>0</v>
      </c>
      <c r="AL655">
        <v>1085.48</v>
      </c>
      <c r="AM655">
        <v>0</v>
      </c>
      <c r="AN655">
        <v>0</v>
      </c>
      <c r="AO655">
        <v>0</v>
      </c>
    </row>
    <row r="656" spans="1:41">
      <c r="A656">
        <v>655</v>
      </c>
      <c r="B656" s="42">
        <v>45958</v>
      </c>
      <c r="C656" t="str">
        <v>HINJEWADI</v>
      </c>
      <c r="D656" t="str">
        <v>SLK1</v>
      </c>
      <c r="E656" t="str">
        <v>SHADOWFAX TECHNOLOGIES PRIVATE LIMITED</v>
      </c>
      <c r="F656" t="str">
        <v>MH14LL4513</v>
      </c>
      <c r="G656" t="str">
        <v>BOLERO</v>
      </c>
      <c r="H656" t="str">
        <v>DIESEL</v>
      </c>
      <c r="I656">
        <v>4</v>
      </c>
      <c r="J656">
        <v>10</v>
      </c>
      <c r="K656">
        <v>29000</v>
      </c>
      <c r="L656">
        <v>1000</v>
      </c>
      <c r="M656">
        <v>55</v>
      </c>
      <c r="N656">
        <v>31</v>
      </c>
      <c r="O656" t="str">
        <v>PUN01 NC Cluster 72</v>
      </c>
      <c r="P656">
        <v>0</v>
      </c>
      <c r="Q656">
        <v>0.12222222222222223</v>
      </c>
      <c r="R656">
        <v>0.16638888888888889</v>
      </c>
      <c r="S656">
        <v>33257</v>
      </c>
      <c r="T656">
        <v>0</v>
      </c>
      <c r="U656">
        <v>0</v>
      </c>
      <c r="V656">
        <v>33257</v>
      </c>
      <c r="W656">
        <v>0</v>
      </c>
      <c r="X656">
        <v>52</v>
      </c>
      <c r="Y656">
        <v>-52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935.48</v>
      </c>
      <c r="AK656">
        <v>0</v>
      </c>
      <c r="AL656">
        <v>935.48</v>
      </c>
      <c r="AM656">
        <v>0</v>
      </c>
      <c r="AN656">
        <v>0</v>
      </c>
      <c r="AO656">
        <v>0</v>
      </c>
    </row>
    <row r="657" spans="1:41">
      <c r="A657">
        <v>656</v>
      </c>
      <c r="B657" s="42">
        <v>45958</v>
      </c>
      <c r="C657" t="str">
        <v>HINJEWADI</v>
      </c>
      <c r="D657" t="str">
        <v>SLK1</v>
      </c>
      <c r="E657" t="str">
        <v>SHADOWFAX TECHNOLOGIES PRIVATE LIMITED</v>
      </c>
      <c r="F657" t="str">
        <v>MH14LX4839</v>
      </c>
      <c r="G657" t="str">
        <v>BOLERO</v>
      </c>
      <c r="H657" t="str">
        <v>DIESEL</v>
      </c>
      <c r="I657">
        <v>4</v>
      </c>
      <c r="J657">
        <v>10</v>
      </c>
      <c r="K657">
        <v>29000</v>
      </c>
      <c r="L657">
        <v>1000</v>
      </c>
      <c r="M657">
        <v>55</v>
      </c>
      <c r="N657">
        <v>31</v>
      </c>
      <c r="O657" t="str">
        <v>PUN01 NC Cluster 136</v>
      </c>
      <c r="P657">
        <v>0</v>
      </c>
      <c r="Q657">
        <v>6.0416666666666667E-2</v>
      </c>
      <c r="R657">
        <v>0.16869212962962962</v>
      </c>
      <c r="S657">
        <v>40044</v>
      </c>
      <c r="T657">
        <v>0.30714120370370374</v>
      </c>
      <c r="U657">
        <v>0.30790509259259258</v>
      </c>
      <c r="V657">
        <v>40076</v>
      </c>
      <c r="W657">
        <v>40</v>
      </c>
      <c r="X657">
        <v>59</v>
      </c>
      <c r="Y657">
        <v>-19</v>
      </c>
      <c r="Z657">
        <v>32</v>
      </c>
      <c r="AA657">
        <v>32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935.48</v>
      </c>
      <c r="AK657">
        <v>0</v>
      </c>
      <c r="AL657">
        <v>935.48</v>
      </c>
      <c r="AM657">
        <v>0</v>
      </c>
      <c r="AN657">
        <v>0</v>
      </c>
      <c r="AO657">
        <v>0</v>
      </c>
    </row>
    <row r="658" spans="1:41">
      <c r="A658">
        <v>657</v>
      </c>
      <c r="B658" s="42">
        <v>45958</v>
      </c>
      <c r="C658" t="str">
        <v>HINJEWADI</v>
      </c>
      <c r="D658" t="str">
        <v>SLK1</v>
      </c>
      <c r="E658" t="str">
        <v>SHADOWFAX TECHNOLOGIES PRIVATE LIMITED</v>
      </c>
      <c r="F658" t="str">
        <v>MH14MH7322</v>
      </c>
      <c r="G658" t="str">
        <v>BOLERO</v>
      </c>
      <c r="H658" t="str">
        <v>DIESEL</v>
      </c>
      <c r="I658">
        <v>4</v>
      </c>
      <c r="J658">
        <v>10</v>
      </c>
      <c r="K658">
        <v>29000</v>
      </c>
      <c r="L658">
        <v>1000</v>
      </c>
      <c r="M658">
        <v>55</v>
      </c>
      <c r="N658">
        <v>31</v>
      </c>
      <c r="O658" t="str">
        <v>PUN01 NC Cluster 182</v>
      </c>
      <c r="P658">
        <v>0</v>
      </c>
      <c r="Q658">
        <v>0.11180555555555556</v>
      </c>
      <c r="R658">
        <v>0.17148148148148148</v>
      </c>
      <c r="S658">
        <v>4035</v>
      </c>
      <c r="T658">
        <v>0.30700231481481483</v>
      </c>
      <c r="U658">
        <v>0.31072916666666667</v>
      </c>
      <c r="V658">
        <v>4080</v>
      </c>
      <c r="W658">
        <v>24</v>
      </c>
      <c r="X658">
        <v>77</v>
      </c>
      <c r="Y658">
        <v>-53</v>
      </c>
      <c r="Z658">
        <v>45</v>
      </c>
      <c r="AA658">
        <v>45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935.48</v>
      </c>
      <c r="AK658">
        <v>0</v>
      </c>
      <c r="AL658">
        <v>935.48</v>
      </c>
      <c r="AM658">
        <v>0</v>
      </c>
      <c r="AN658">
        <v>0</v>
      </c>
      <c r="AO658">
        <v>0</v>
      </c>
    </row>
    <row r="659" spans="1:41">
      <c r="A659">
        <v>658</v>
      </c>
      <c r="B659" s="42">
        <v>45958</v>
      </c>
      <c r="C659" t="str">
        <v>HINJEWADI</v>
      </c>
      <c r="D659" t="str">
        <v>SLK1</v>
      </c>
      <c r="E659" t="str">
        <v>SHADOWFAX TECHNOLOGIES PRIVATE LIMITED</v>
      </c>
      <c r="F659" t="str">
        <v>MH16CD7321</v>
      </c>
      <c r="G659" t="str">
        <v>BOLERO</v>
      </c>
      <c r="H659" t="str">
        <v>DIESEL</v>
      </c>
      <c r="I659">
        <v>4</v>
      </c>
      <c r="J659">
        <v>10</v>
      </c>
      <c r="K659">
        <v>29000</v>
      </c>
      <c r="L659">
        <v>1000</v>
      </c>
      <c r="M659">
        <v>55</v>
      </c>
      <c r="N659">
        <v>31</v>
      </c>
      <c r="O659" t="str">
        <v>PUN01 NC Cluster 130</v>
      </c>
      <c r="P659">
        <v>0</v>
      </c>
      <c r="Q659">
        <v>8.9583333333333334E-2</v>
      </c>
      <c r="R659">
        <v>0.1700925925925926</v>
      </c>
      <c r="S659">
        <v>139897</v>
      </c>
      <c r="T659">
        <v>0.31018518518518517</v>
      </c>
      <c r="U659">
        <v>0.3103009259259259</v>
      </c>
      <c r="V659">
        <v>139927</v>
      </c>
      <c r="W659">
        <v>24</v>
      </c>
      <c r="X659">
        <v>46</v>
      </c>
      <c r="Y659">
        <v>-22</v>
      </c>
      <c r="Z659">
        <v>30</v>
      </c>
      <c r="AA659">
        <v>30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935.48</v>
      </c>
      <c r="AK659">
        <v>0</v>
      </c>
      <c r="AL659">
        <v>935.48</v>
      </c>
      <c r="AM659">
        <v>0</v>
      </c>
      <c r="AN659">
        <v>0</v>
      </c>
      <c r="AO659">
        <v>0</v>
      </c>
    </row>
    <row r="660" spans="1:41">
      <c r="A660">
        <v>659</v>
      </c>
      <c r="B660" s="42">
        <v>45959</v>
      </c>
      <c r="C660" t="str">
        <v>HINJEWADI</v>
      </c>
      <c r="D660" t="str">
        <v>SLK1</v>
      </c>
      <c r="E660" t="str">
        <v>SHADOWFAX TECHNOLOGIES PRIVATE LIMITED</v>
      </c>
      <c r="F660" t="str">
        <v>MH03AH8989</v>
      </c>
      <c r="G660" t="str">
        <v>ACE</v>
      </c>
      <c r="H660" t="str">
        <v>CNG</v>
      </c>
      <c r="I660">
        <v>4</v>
      </c>
      <c r="J660">
        <v>8</v>
      </c>
      <c r="K660">
        <v>25000</v>
      </c>
      <c r="L660">
        <v>1000</v>
      </c>
      <c r="M660">
        <v>55</v>
      </c>
      <c r="N660">
        <v>31</v>
      </c>
      <c r="O660" t="str">
        <v>PUN01 NC Cluster 1</v>
      </c>
      <c r="P660">
        <v>0</v>
      </c>
      <c r="Q660">
        <v>4.5138888888888888E-2</v>
      </c>
      <c r="R660">
        <v>0.16853009259259258</v>
      </c>
      <c r="S660">
        <v>58369</v>
      </c>
      <c r="T660">
        <v>0.29351851851851851</v>
      </c>
      <c r="U660">
        <v>0.2936111111111111</v>
      </c>
      <c r="V660">
        <v>58376</v>
      </c>
      <c r="W660">
        <v>37</v>
      </c>
      <c r="X660">
        <v>37</v>
      </c>
      <c r="Y660">
        <v>0</v>
      </c>
      <c r="Z660">
        <v>7</v>
      </c>
      <c r="AA660">
        <v>7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806.45</v>
      </c>
      <c r="AK660">
        <v>0</v>
      </c>
      <c r="AL660">
        <v>806.45</v>
      </c>
      <c r="AM660">
        <v>0</v>
      </c>
      <c r="AN660">
        <v>0</v>
      </c>
      <c r="AO660">
        <v>0</v>
      </c>
    </row>
    <row r="661" spans="1:41">
      <c r="A661">
        <v>660</v>
      </c>
      <c r="B661" s="42">
        <v>45959</v>
      </c>
      <c r="C661" t="str">
        <v>HINJEWADI</v>
      </c>
      <c r="D661" t="str">
        <v>SLK1</v>
      </c>
      <c r="E661" t="str">
        <v>SHADOWFAX TECHNOLOGIES PRIVATE LIMITED</v>
      </c>
      <c r="F661" t="str">
        <v>MH12UM3063</v>
      </c>
      <c r="G661" t="str">
        <v>ACE</v>
      </c>
      <c r="H661" t="str">
        <v>CNG</v>
      </c>
      <c r="I661">
        <v>6</v>
      </c>
      <c r="J661">
        <v>8</v>
      </c>
      <c r="K661">
        <v>33000</v>
      </c>
      <c r="L661">
        <v>2000</v>
      </c>
      <c r="M661">
        <v>55</v>
      </c>
      <c r="N661">
        <v>31</v>
      </c>
      <c r="O661" t="str">
        <v>PUN01 NC Cluster 230</v>
      </c>
      <c r="P661">
        <v>0</v>
      </c>
      <c r="Q661">
        <v>7.2222222222222229E-2</v>
      </c>
      <c r="R661">
        <v>0.15734953703703705</v>
      </c>
      <c r="S661">
        <v>102129</v>
      </c>
      <c r="T661">
        <v>0.33390046296296294</v>
      </c>
      <c r="U661">
        <v>0.33690972222222221</v>
      </c>
      <c r="V661">
        <v>102182</v>
      </c>
      <c r="W661">
        <v>25</v>
      </c>
      <c r="X661">
        <v>65</v>
      </c>
      <c r="Y661">
        <v>-40</v>
      </c>
      <c r="Z661">
        <v>53</v>
      </c>
      <c r="AA661">
        <v>53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1064.52</v>
      </c>
      <c r="AK661">
        <v>0</v>
      </c>
      <c r="AL661">
        <v>1064.52</v>
      </c>
      <c r="AM661">
        <v>0</v>
      </c>
      <c r="AN661">
        <v>0</v>
      </c>
      <c r="AO661">
        <v>0</v>
      </c>
    </row>
    <row r="662" spans="1:41">
      <c r="A662">
        <v>661</v>
      </c>
      <c r="B662" s="42">
        <v>45959</v>
      </c>
      <c r="C662" t="str">
        <v>HINJEWADI</v>
      </c>
      <c r="D662" t="str">
        <v>SLK1</v>
      </c>
      <c r="E662" t="str">
        <v>SHADOWFAX TECHNOLOGIES PRIVATE LIMITED</v>
      </c>
      <c r="F662" t="str">
        <v>MH12VF3782</v>
      </c>
      <c r="G662" t="str">
        <v>ACE</v>
      </c>
      <c r="H662" t="str">
        <v>CNG</v>
      </c>
      <c r="I662">
        <v>4</v>
      </c>
      <c r="J662">
        <v>8</v>
      </c>
      <c r="K662">
        <v>25000</v>
      </c>
      <c r="L662">
        <v>1000</v>
      </c>
      <c r="M662">
        <v>55</v>
      </c>
      <c r="N662">
        <v>31</v>
      </c>
      <c r="O662" t="str">
        <v>PUN01 NC Cluster 1</v>
      </c>
      <c r="P662">
        <v>0</v>
      </c>
      <c r="Q662">
        <v>0.12152777777777778</v>
      </c>
      <c r="R662">
        <v>0.30561342592592594</v>
      </c>
      <c r="S662">
        <v>84551</v>
      </c>
      <c r="T662">
        <v>0.30579861111111112</v>
      </c>
      <c r="U662">
        <v>0.30607638888888888</v>
      </c>
      <c r="V662">
        <v>84582</v>
      </c>
      <c r="W662">
        <v>0</v>
      </c>
      <c r="X662">
        <v>0</v>
      </c>
      <c r="Y662">
        <v>0</v>
      </c>
      <c r="Z662">
        <v>31</v>
      </c>
      <c r="AA662">
        <v>31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806.45</v>
      </c>
      <c r="AK662">
        <v>0</v>
      </c>
      <c r="AL662">
        <v>806.45</v>
      </c>
      <c r="AM662">
        <v>0</v>
      </c>
      <c r="AN662">
        <v>0</v>
      </c>
      <c r="AO662">
        <v>0</v>
      </c>
    </row>
    <row r="663" spans="1:41">
      <c r="A663">
        <v>662</v>
      </c>
      <c r="B663" s="42">
        <v>45959</v>
      </c>
      <c r="C663" t="str">
        <v>HINJEWADI</v>
      </c>
      <c r="D663" t="str">
        <v>SLK1</v>
      </c>
      <c r="E663" t="str">
        <v>SHADOWFAX TECHNOLOGIES PRIVATE LIMITED</v>
      </c>
      <c r="F663" t="str">
        <v>MH12WX6236</v>
      </c>
      <c r="G663" t="str">
        <v>ACE</v>
      </c>
      <c r="H663" t="str">
        <v>CNG</v>
      </c>
      <c r="I663">
        <v>4</v>
      </c>
      <c r="J663">
        <v>8</v>
      </c>
      <c r="K663">
        <v>25000</v>
      </c>
      <c r="L663">
        <v>1000</v>
      </c>
      <c r="M663">
        <v>55</v>
      </c>
      <c r="N663">
        <v>31</v>
      </c>
      <c r="O663" t="str">
        <v>PUN01 NC Cluster 2</v>
      </c>
      <c r="P663">
        <v>0</v>
      </c>
      <c r="Q663">
        <v>4.7916666666666663E-2</v>
      </c>
      <c r="R663">
        <v>0.1595486111111111</v>
      </c>
      <c r="S663">
        <v>39605</v>
      </c>
      <c r="T663">
        <v>0.2940740740740741</v>
      </c>
      <c r="U663">
        <v>0.29694444444444446</v>
      </c>
      <c r="V663">
        <v>39633</v>
      </c>
      <c r="W663">
        <v>55</v>
      </c>
      <c r="X663">
        <v>51</v>
      </c>
      <c r="Y663">
        <v>4</v>
      </c>
      <c r="Z663">
        <v>28</v>
      </c>
      <c r="AA663">
        <v>28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806.45</v>
      </c>
      <c r="AK663">
        <v>0</v>
      </c>
      <c r="AL663">
        <v>806.45</v>
      </c>
      <c r="AM663">
        <v>0</v>
      </c>
      <c r="AN663">
        <v>0</v>
      </c>
      <c r="AO663">
        <v>0</v>
      </c>
    </row>
    <row r="664" spans="1:41">
      <c r="A664">
        <v>663</v>
      </c>
      <c r="B664" s="42">
        <v>45959</v>
      </c>
      <c r="C664" t="str">
        <v>HINJEWADI</v>
      </c>
      <c r="D664" t="str">
        <v>SLK1</v>
      </c>
      <c r="E664" t="str">
        <v>SHADOWFAX TECHNOLOGIES PRIVATE LIMITED</v>
      </c>
      <c r="F664" t="str">
        <v>MH12XM2801</v>
      </c>
      <c r="G664" t="str">
        <v>ACE</v>
      </c>
      <c r="H664" t="str">
        <v>CNG</v>
      </c>
      <c r="I664">
        <v>4</v>
      </c>
      <c r="J664">
        <v>8</v>
      </c>
      <c r="K664">
        <v>25000</v>
      </c>
      <c r="L664">
        <v>1000</v>
      </c>
      <c r="M664">
        <v>55</v>
      </c>
      <c r="N664">
        <v>31</v>
      </c>
      <c r="O664" t="str">
        <v>PUN01 NC Cluster 37</v>
      </c>
      <c r="P664">
        <v>0</v>
      </c>
      <c r="Q664">
        <v>0.11805555555555557</v>
      </c>
      <c r="R664">
        <v>0.17076388888888891</v>
      </c>
      <c r="S664">
        <v>13220</v>
      </c>
      <c r="T664">
        <v>0.32631944444444444</v>
      </c>
      <c r="U664">
        <v>0.33185185185185184</v>
      </c>
      <c r="V664">
        <v>13237</v>
      </c>
      <c r="W664">
        <v>24</v>
      </c>
      <c r="X664">
        <v>35</v>
      </c>
      <c r="Y664">
        <v>-11</v>
      </c>
      <c r="Z664">
        <v>17</v>
      </c>
      <c r="AA664">
        <v>17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806.45</v>
      </c>
      <c r="AK664">
        <v>0</v>
      </c>
      <c r="AL664">
        <v>806.45</v>
      </c>
      <c r="AM664">
        <v>0</v>
      </c>
      <c r="AN664">
        <v>0</v>
      </c>
      <c r="AO664">
        <v>0</v>
      </c>
    </row>
    <row r="665" spans="1:41">
      <c r="A665">
        <v>664</v>
      </c>
      <c r="B665" s="42">
        <v>45959</v>
      </c>
      <c r="C665" t="str">
        <v>HINJEWADI</v>
      </c>
      <c r="D665" t="str">
        <v>SLK1</v>
      </c>
      <c r="E665" t="str">
        <v>SHADOWFAX TECHNOLOGIES PRIVATE LIMITED</v>
      </c>
      <c r="F665" t="str">
        <v>MH14CP4610</v>
      </c>
      <c r="G665" t="str">
        <v>ACE</v>
      </c>
      <c r="H665" t="str">
        <v>CNG</v>
      </c>
      <c r="I665">
        <v>4</v>
      </c>
      <c r="J665">
        <v>8</v>
      </c>
      <c r="K665">
        <v>25000</v>
      </c>
      <c r="L665">
        <v>1000</v>
      </c>
      <c r="M665">
        <v>55</v>
      </c>
      <c r="N665">
        <v>31</v>
      </c>
      <c r="O665" t="str">
        <v>PUN01 NC Cluster 87</v>
      </c>
      <c r="P665">
        <v>0</v>
      </c>
      <c r="Q665">
        <v>8.819444444444445E-2</v>
      </c>
      <c r="R665">
        <v>0.16886574074074076</v>
      </c>
      <c r="S665">
        <v>145617</v>
      </c>
      <c r="T665">
        <v>0.2928472222222222</v>
      </c>
      <c r="U665">
        <v>0.29296296296296298</v>
      </c>
      <c r="V665">
        <v>145633</v>
      </c>
      <c r="W665">
        <v>30</v>
      </c>
      <c r="X665">
        <v>30</v>
      </c>
      <c r="Y665">
        <v>0</v>
      </c>
      <c r="Z665">
        <v>16</v>
      </c>
      <c r="AA665">
        <v>16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806.45</v>
      </c>
      <c r="AK665">
        <v>0</v>
      </c>
      <c r="AL665">
        <v>806.45</v>
      </c>
      <c r="AM665">
        <v>0</v>
      </c>
      <c r="AN665">
        <v>0</v>
      </c>
      <c r="AO665">
        <v>0</v>
      </c>
    </row>
    <row r="666" spans="1:41">
      <c r="A666">
        <v>665</v>
      </c>
      <c r="B666" s="42">
        <v>45959</v>
      </c>
      <c r="C666" t="str">
        <v>HINJEWADI</v>
      </c>
      <c r="D666" t="str">
        <v>SLK1</v>
      </c>
      <c r="E666" t="str">
        <v>SHADOWFAX TECHNOLOGIES PRIVATE LIMITED</v>
      </c>
      <c r="F666" t="str">
        <v>MH14EM3160</v>
      </c>
      <c r="G666" t="str">
        <v>ACE</v>
      </c>
      <c r="H666" t="str">
        <v>CNG</v>
      </c>
      <c r="I666">
        <v>4</v>
      </c>
      <c r="J666">
        <v>8</v>
      </c>
      <c r="K666">
        <v>25000</v>
      </c>
      <c r="L666">
        <v>1000</v>
      </c>
      <c r="M666">
        <v>55</v>
      </c>
      <c r="N666">
        <v>31</v>
      </c>
      <c r="O666" t="str">
        <v>PUN01 NC Cluster 13</v>
      </c>
      <c r="P666">
        <v>0</v>
      </c>
      <c r="Q666">
        <v>4.3055555555555562E-2</v>
      </c>
      <c r="R666">
        <v>0.16098379629629631</v>
      </c>
      <c r="S666">
        <v>166408</v>
      </c>
      <c r="T666">
        <v>0.33528935185185182</v>
      </c>
      <c r="U666">
        <v>0.33569444444444446</v>
      </c>
      <c r="V666">
        <v>166427</v>
      </c>
      <c r="W666">
        <v>50</v>
      </c>
      <c r="X666">
        <v>34</v>
      </c>
      <c r="Y666">
        <v>16</v>
      </c>
      <c r="Z666">
        <v>19</v>
      </c>
      <c r="AA666">
        <v>19</v>
      </c>
      <c r="AB666">
        <v>0</v>
      </c>
      <c r="AC666">
        <v>0</v>
      </c>
      <c r="AD666">
        <v>1</v>
      </c>
      <c r="AE666">
        <v>150</v>
      </c>
      <c r="AF666">
        <v>0</v>
      </c>
      <c r="AG666">
        <v>0</v>
      </c>
      <c r="AH666">
        <v>0</v>
      </c>
      <c r="AI666">
        <v>0</v>
      </c>
      <c r="AJ666">
        <v>956.45</v>
      </c>
      <c r="AK666">
        <v>0</v>
      </c>
      <c r="AL666">
        <v>956.45</v>
      </c>
      <c r="AM666">
        <v>0</v>
      </c>
      <c r="AN666">
        <v>0</v>
      </c>
      <c r="AO666">
        <v>0</v>
      </c>
    </row>
    <row r="667" spans="1:41">
      <c r="A667">
        <v>666</v>
      </c>
      <c r="B667" s="42">
        <v>45959</v>
      </c>
      <c r="C667" t="str">
        <v>HINJEWADI</v>
      </c>
      <c r="D667" t="str">
        <v>SLK1</v>
      </c>
      <c r="E667" t="str">
        <v>SHADOWFAX TECHNOLOGIES PRIVATE LIMITED</v>
      </c>
      <c r="F667" t="str">
        <v>MH14JL3308</v>
      </c>
      <c r="G667" t="str">
        <v>ACE</v>
      </c>
      <c r="H667" t="str">
        <v>CNG</v>
      </c>
      <c r="I667">
        <v>4</v>
      </c>
      <c r="J667">
        <v>8</v>
      </c>
      <c r="K667">
        <v>25000</v>
      </c>
      <c r="L667">
        <v>1000</v>
      </c>
      <c r="M667">
        <v>55</v>
      </c>
      <c r="N667">
        <v>31</v>
      </c>
      <c r="O667" t="str">
        <v>PUN01 NC Cluster 19</v>
      </c>
      <c r="P667">
        <v>0</v>
      </c>
      <c r="Q667">
        <v>4.3055555555555562E-2</v>
      </c>
      <c r="R667">
        <v>0.16045138888888888</v>
      </c>
      <c r="S667">
        <v>117027</v>
      </c>
      <c r="T667">
        <v>0.33894675925925927</v>
      </c>
      <c r="U667">
        <v>0.33908564814814812</v>
      </c>
      <c r="V667">
        <v>117047</v>
      </c>
      <c r="W667">
        <v>60</v>
      </c>
      <c r="X667">
        <v>60</v>
      </c>
      <c r="Y667">
        <v>0</v>
      </c>
      <c r="Z667">
        <v>20</v>
      </c>
      <c r="AA667">
        <v>20</v>
      </c>
      <c r="AB667">
        <v>0</v>
      </c>
      <c r="AC667">
        <v>0</v>
      </c>
      <c r="AD667">
        <v>1</v>
      </c>
      <c r="AE667">
        <v>150</v>
      </c>
      <c r="AF667">
        <v>0</v>
      </c>
      <c r="AG667">
        <v>0</v>
      </c>
      <c r="AH667">
        <v>0</v>
      </c>
      <c r="AI667">
        <v>0</v>
      </c>
      <c r="AJ667">
        <v>956.45</v>
      </c>
      <c r="AK667">
        <v>0</v>
      </c>
      <c r="AL667">
        <v>956.45</v>
      </c>
      <c r="AM667">
        <v>0</v>
      </c>
      <c r="AN667">
        <v>0</v>
      </c>
      <c r="AO667">
        <v>0</v>
      </c>
    </row>
    <row r="668" spans="1:41">
      <c r="A668">
        <v>667</v>
      </c>
      <c r="B668" s="42">
        <v>45959</v>
      </c>
      <c r="C668" t="str">
        <v>HINJEWADI</v>
      </c>
      <c r="D668" t="str">
        <v>SLK1</v>
      </c>
      <c r="E668" t="str">
        <v>SHADOWFAX TECHNOLOGIES PRIVATE LIMITED</v>
      </c>
      <c r="F668" t="str">
        <v>MH14KA0766</v>
      </c>
      <c r="G668" t="str">
        <v>ACE</v>
      </c>
      <c r="H668" t="str">
        <v>CNG</v>
      </c>
      <c r="I668">
        <v>4</v>
      </c>
      <c r="J668">
        <v>8</v>
      </c>
      <c r="K668">
        <v>25000</v>
      </c>
      <c r="L668">
        <v>1000</v>
      </c>
      <c r="M668">
        <v>55</v>
      </c>
      <c r="N668">
        <v>31</v>
      </c>
      <c r="O668" t="str">
        <v>PUN01 NC Cluster 10</v>
      </c>
      <c r="P668">
        <v>0</v>
      </c>
      <c r="Q668">
        <v>4.3750000000000004E-2</v>
      </c>
      <c r="R668">
        <v>0.1582638888888889</v>
      </c>
      <c r="S668">
        <v>146748</v>
      </c>
      <c r="T668">
        <v>0.33586805555555554</v>
      </c>
      <c r="U668">
        <v>0.33598379629629632</v>
      </c>
      <c r="V668">
        <v>146770</v>
      </c>
      <c r="W668">
        <v>50</v>
      </c>
      <c r="X668">
        <v>50</v>
      </c>
      <c r="Y668">
        <v>0</v>
      </c>
      <c r="Z668">
        <v>22</v>
      </c>
      <c r="AA668">
        <v>22</v>
      </c>
      <c r="AB668">
        <v>0</v>
      </c>
      <c r="AC668">
        <v>0</v>
      </c>
      <c r="AD668">
        <v>1</v>
      </c>
      <c r="AE668">
        <v>150</v>
      </c>
      <c r="AF668">
        <v>0</v>
      </c>
      <c r="AG668">
        <v>0</v>
      </c>
      <c r="AH668">
        <v>0</v>
      </c>
      <c r="AI668">
        <v>0</v>
      </c>
      <c r="AJ668">
        <v>956.45</v>
      </c>
      <c r="AK668">
        <v>0</v>
      </c>
      <c r="AL668">
        <v>956.45</v>
      </c>
      <c r="AM668">
        <v>0</v>
      </c>
      <c r="AN668">
        <v>0</v>
      </c>
      <c r="AO668">
        <v>0</v>
      </c>
    </row>
    <row r="669" spans="1:41">
      <c r="A669">
        <v>668</v>
      </c>
      <c r="B669" s="42">
        <v>45959</v>
      </c>
      <c r="C669" t="str">
        <v>HINJEWADI</v>
      </c>
      <c r="D669" t="str">
        <v>SLK1</v>
      </c>
      <c r="E669" t="str">
        <v>SHADOWFAX TECHNOLOGIES PRIVATE LIMITED</v>
      </c>
      <c r="F669" t="str">
        <v>MH14KA1873</v>
      </c>
      <c r="G669" t="str">
        <v>ACE</v>
      </c>
      <c r="H669" t="str">
        <v>CNG</v>
      </c>
      <c r="I669">
        <v>4</v>
      </c>
      <c r="J669">
        <v>8</v>
      </c>
      <c r="K669">
        <v>25000</v>
      </c>
      <c r="L669">
        <v>1000</v>
      </c>
      <c r="M669">
        <v>55</v>
      </c>
      <c r="N669">
        <v>31</v>
      </c>
      <c r="O669" t="str">
        <v>PUN01 NC Cluster 41</v>
      </c>
      <c r="P669">
        <v>0</v>
      </c>
      <c r="Q669">
        <v>4.6527777777777779E-2</v>
      </c>
      <c r="R669">
        <v>0.16993055555555556</v>
      </c>
      <c r="S669">
        <v>115051</v>
      </c>
      <c r="T669">
        <v>0.31252314814814813</v>
      </c>
      <c r="U669">
        <v>0.31263888888888886</v>
      </c>
      <c r="V669">
        <v>115069</v>
      </c>
      <c r="W669">
        <v>41</v>
      </c>
      <c r="X669">
        <v>41</v>
      </c>
      <c r="Y669">
        <v>0</v>
      </c>
      <c r="Z669">
        <v>18</v>
      </c>
      <c r="AA669">
        <v>18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806.45</v>
      </c>
      <c r="AK669">
        <v>0</v>
      </c>
      <c r="AL669">
        <v>806.45</v>
      </c>
      <c r="AM669">
        <v>0</v>
      </c>
      <c r="AN669">
        <v>0</v>
      </c>
      <c r="AO669">
        <v>0</v>
      </c>
    </row>
    <row r="670" spans="1:41">
      <c r="A670">
        <v>669</v>
      </c>
      <c r="B670" s="42">
        <v>45959</v>
      </c>
      <c r="C670" t="str">
        <v>HINJEWADI</v>
      </c>
      <c r="D670" t="str">
        <v>SLK1</v>
      </c>
      <c r="E670" t="str">
        <v>SHADOWFAX TECHNOLOGIES PRIVATE LIMITED</v>
      </c>
      <c r="F670" t="str">
        <v>MH14KA2871</v>
      </c>
      <c r="G670" t="str">
        <v>ACE</v>
      </c>
      <c r="H670" t="str">
        <v>CNG</v>
      </c>
      <c r="I670">
        <v>4</v>
      </c>
      <c r="J670">
        <v>8</v>
      </c>
      <c r="K670">
        <v>25000</v>
      </c>
      <c r="L670">
        <v>1000</v>
      </c>
      <c r="M670">
        <v>55</v>
      </c>
      <c r="N670">
        <v>31</v>
      </c>
      <c r="O670" t="str">
        <v>PUN01 NC Cluster 112</v>
      </c>
      <c r="P670">
        <v>0</v>
      </c>
      <c r="Q670">
        <v>7.0833333333333331E-2</v>
      </c>
      <c r="R670">
        <v>0.16199074074074074</v>
      </c>
      <c r="S670">
        <v>79554</v>
      </c>
      <c r="T670">
        <v>0.40909722222222222</v>
      </c>
      <c r="U670">
        <v>0.40952546296296299</v>
      </c>
      <c r="V670">
        <v>79571</v>
      </c>
      <c r="W670">
        <v>35</v>
      </c>
      <c r="X670">
        <v>53</v>
      </c>
      <c r="Y670">
        <v>-18</v>
      </c>
      <c r="Z670">
        <v>17</v>
      </c>
      <c r="AA670">
        <v>17</v>
      </c>
      <c r="AB670">
        <v>0</v>
      </c>
      <c r="AC670">
        <v>0</v>
      </c>
      <c r="AD670">
        <v>2</v>
      </c>
      <c r="AE670">
        <v>300</v>
      </c>
      <c r="AF670">
        <v>0</v>
      </c>
      <c r="AG670">
        <v>0</v>
      </c>
      <c r="AH670">
        <v>0</v>
      </c>
      <c r="AI670">
        <v>0</v>
      </c>
      <c r="AJ670">
        <v>1106.45</v>
      </c>
      <c r="AK670">
        <v>0</v>
      </c>
      <c r="AL670">
        <v>1106.45</v>
      </c>
      <c r="AM670">
        <v>0</v>
      </c>
      <c r="AN670">
        <v>0</v>
      </c>
      <c r="AO670">
        <v>0</v>
      </c>
    </row>
    <row r="671" spans="1:41">
      <c r="A671">
        <v>670</v>
      </c>
      <c r="B671" s="42">
        <v>45959</v>
      </c>
      <c r="C671" t="str">
        <v>HINJEWADI</v>
      </c>
      <c r="D671" t="str">
        <v>SLK1</v>
      </c>
      <c r="E671" t="str">
        <v>SHADOWFAX TECHNOLOGIES PRIVATE LIMITED</v>
      </c>
      <c r="F671" t="str">
        <v>MH14KA5875</v>
      </c>
      <c r="G671" t="str">
        <v>ACE</v>
      </c>
      <c r="H671" t="str">
        <v>CNG</v>
      </c>
      <c r="I671">
        <v>4</v>
      </c>
      <c r="J671">
        <v>8</v>
      </c>
      <c r="K671">
        <v>25000</v>
      </c>
      <c r="L671">
        <v>1000</v>
      </c>
      <c r="M671">
        <v>55</v>
      </c>
      <c r="N671">
        <v>31</v>
      </c>
      <c r="O671" t="str">
        <v>PUN01 NC Cluster 121</v>
      </c>
      <c r="P671">
        <v>0</v>
      </c>
      <c r="Q671">
        <v>0.1173611111111111</v>
      </c>
      <c r="R671">
        <v>0.16321759259259258</v>
      </c>
      <c r="S671">
        <v>29505</v>
      </c>
      <c r="T671">
        <v>0.31607638888888889</v>
      </c>
      <c r="U671">
        <v>0.31618055555555552</v>
      </c>
      <c r="V671">
        <v>29536</v>
      </c>
      <c r="W671">
        <v>29</v>
      </c>
      <c r="X671">
        <v>29</v>
      </c>
      <c r="Y671">
        <v>0</v>
      </c>
      <c r="Z671">
        <v>31</v>
      </c>
      <c r="AA671">
        <v>31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806.45</v>
      </c>
      <c r="AK671">
        <v>0</v>
      </c>
      <c r="AL671">
        <v>806.45</v>
      </c>
      <c r="AM671">
        <v>0</v>
      </c>
      <c r="AN671">
        <v>0</v>
      </c>
      <c r="AO671">
        <v>0</v>
      </c>
    </row>
    <row r="672" spans="1:41">
      <c r="A672">
        <v>671</v>
      </c>
      <c r="B672" s="42">
        <v>45959</v>
      </c>
      <c r="C672" t="str">
        <v>HINJEWADI</v>
      </c>
      <c r="D672" t="str">
        <v>SLK1</v>
      </c>
      <c r="E672" t="str">
        <v>SHADOWFAX TECHNOLOGIES PRIVATE LIMITED</v>
      </c>
      <c r="F672" t="str">
        <v>MH14LB4598</v>
      </c>
      <c r="G672" t="str">
        <v>ACE</v>
      </c>
      <c r="H672" t="str">
        <v>CNG</v>
      </c>
      <c r="I672">
        <v>4</v>
      </c>
      <c r="J672">
        <v>8</v>
      </c>
      <c r="K672">
        <v>25000</v>
      </c>
      <c r="L672">
        <v>1000</v>
      </c>
      <c r="M672">
        <v>55</v>
      </c>
      <c r="N672">
        <v>31</v>
      </c>
      <c r="O672" t="str">
        <v>PUN01 NC Cluster 211</v>
      </c>
      <c r="P672">
        <v>0</v>
      </c>
      <c r="Q672">
        <v>4.3750000000000004E-2</v>
      </c>
      <c r="R672">
        <v>0.15809027777777776</v>
      </c>
      <c r="S672">
        <v>66688</v>
      </c>
      <c r="T672">
        <v>0.40774305555555551</v>
      </c>
      <c r="U672">
        <v>0.4079976851851852</v>
      </c>
      <c r="V672">
        <v>66698</v>
      </c>
      <c r="W672">
        <v>30</v>
      </c>
      <c r="X672">
        <v>62</v>
      </c>
      <c r="Y672">
        <v>-32</v>
      </c>
      <c r="Z672">
        <v>10</v>
      </c>
      <c r="AA672">
        <v>10</v>
      </c>
      <c r="AB672">
        <v>0</v>
      </c>
      <c r="AC672">
        <v>0</v>
      </c>
      <c r="AD672">
        <v>2</v>
      </c>
      <c r="AE672">
        <v>300</v>
      </c>
      <c r="AF672">
        <v>0</v>
      </c>
      <c r="AG672">
        <v>0</v>
      </c>
      <c r="AH672">
        <v>0</v>
      </c>
      <c r="AI672">
        <v>0</v>
      </c>
      <c r="AJ672">
        <v>1106.45</v>
      </c>
      <c r="AK672">
        <v>0</v>
      </c>
      <c r="AL672">
        <v>1106.45</v>
      </c>
      <c r="AM672">
        <v>0</v>
      </c>
      <c r="AN672">
        <v>0</v>
      </c>
      <c r="AO672">
        <v>0</v>
      </c>
    </row>
    <row r="673" spans="1:41">
      <c r="A673">
        <v>672</v>
      </c>
      <c r="B673" s="42">
        <v>45959</v>
      </c>
      <c r="C673" t="str">
        <v>HINJEWADI</v>
      </c>
      <c r="D673" t="str">
        <v>SLK1</v>
      </c>
      <c r="E673" t="str">
        <v>SHADOWFAX TECHNOLOGIES PRIVATE LIMITED</v>
      </c>
      <c r="F673" t="str">
        <v>MH14LB6751</v>
      </c>
      <c r="G673" t="str">
        <v>ACE</v>
      </c>
      <c r="H673" t="str">
        <v>CNG</v>
      </c>
      <c r="I673">
        <v>4</v>
      </c>
      <c r="J673">
        <v>8</v>
      </c>
      <c r="K673">
        <v>25000</v>
      </c>
      <c r="L673">
        <v>1000</v>
      </c>
      <c r="M673">
        <v>55</v>
      </c>
      <c r="N673">
        <v>31</v>
      </c>
      <c r="O673" t="str">
        <v>PUN01 NC Cluster 36</v>
      </c>
      <c r="P673">
        <v>0</v>
      </c>
      <c r="Q673">
        <v>4.7916666666666663E-2</v>
      </c>
      <c r="R673">
        <v>0.17017361111111109</v>
      </c>
      <c r="S673">
        <v>85983</v>
      </c>
      <c r="T673">
        <v>0.32203703703703707</v>
      </c>
      <c r="U673">
        <v>0.32214120370370369</v>
      </c>
      <c r="V673">
        <v>86002</v>
      </c>
      <c r="W673">
        <v>30</v>
      </c>
      <c r="X673">
        <v>30</v>
      </c>
      <c r="Y673">
        <v>0</v>
      </c>
      <c r="Z673">
        <v>19</v>
      </c>
      <c r="AA673">
        <v>19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806.45</v>
      </c>
      <c r="AK673">
        <v>0</v>
      </c>
      <c r="AL673">
        <v>806.45</v>
      </c>
      <c r="AM673">
        <v>0</v>
      </c>
      <c r="AN673">
        <v>0</v>
      </c>
      <c r="AO673">
        <v>0</v>
      </c>
    </row>
    <row r="674" spans="1:41">
      <c r="A674">
        <v>673</v>
      </c>
      <c r="B674" s="42">
        <v>45959</v>
      </c>
      <c r="C674" t="str">
        <v>HINJEWADI</v>
      </c>
      <c r="D674" t="str">
        <v>SLK1</v>
      </c>
      <c r="E674" t="str">
        <v>SHADOWFAX TECHNOLOGIES PRIVATE LIMITED</v>
      </c>
      <c r="F674" t="str">
        <v>MH14LL5974</v>
      </c>
      <c r="G674" t="str">
        <v>ACE</v>
      </c>
      <c r="H674" t="str">
        <v>CNG</v>
      </c>
      <c r="I674">
        <v>4</v>
      </c>
      <c r="J674">
        <v>8</v>
      </c>
      <c r="K674">
        <v>25000</v>
      </c>
      <c r="L674">
        <v>1000</v>
      </c>
      <c r="M674">
        <v>55</v>
      </c>
      <c r="N674">
        <v>31</v>
      </c>
      <c r="O674" t="str">
        <v>PUN01 NC Cluster 124</v>
      </c>
      <c r="P674">
        <v>0</v>
      </c>
      <c r="Q674">
        <v>9.375E-2</v>
      </c>
      <c r="R674">
        <v>0.15550925925925926</v>
      </c>
      <c r="S674">
        <v>37867</v>
      </c>
      <c r="T674">
        <v>0.30763888888888891</v>
      </c>
      <c r="U674">
        <v>0.30770833333333331</v>
      </c>
      <c r="V674">
        <v>37895</v>
      </c>
      <c r="W674">
        <v>45</v>
      </c>
      <c r="X674">
        <v>45</v>
      </c>
      <c r="Y674">
        <v>0</v>
      </c>
      <c r="Z674">
        <v>28</v>
      </c>
      <c r="AA674">
        <v>28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806.45</v>
      </c>
      <c r="AK674">
        <v>0</v>
      </c>
      <c r="AL674">
        <v>806.45</v>
      </c>
      <c r="AM674">
        <v>0</v>
      </c>
      <c r="AN674">
        <v>0</v>
      </c>
      <c r="AO674">
        <v>0</v>
      </c>
    </row>
    <row r="675" spans="1:41">
      <c r="A675">
        <v>674</v>
      </c>
      <c r="B675" s="42">
        <v>45959</v>
      </c>
      <c r="C675" t="str">
        <v>HINJEWADI</v>
      </c>
      <c r="D675" t="str">
        <v>SLK1</v>
      </c>
      <c r="E675" t="str">
        <v>SHADOWFAX TECHNOLOGIES PRIVATE LIMITED</v>
      </c>
      <c r="F675" t="str">
        <v>MH14LL6836</v>
      </c>
      <c r="G675" t="str">
        <v>ACE</v>
      </c>
      <c r="H675" t="str">
        <v>CNG</v>
      </c>
      <c r="I675">
        <v>6</v>
      </c>
      <c r="J675">
        <v>8</v>
      </c>
      <c r="K675">
        <v>33000</v>
      </c>
      <c r="L675">
        <v>2000</v>
      </c>
      <c r="M675">
        <v>55</v>
      </c>
      <c r="N675">
        <v>31</v>
      </c>
      <c r="O675" t="str">
        <v>PUN01 NC Cluster 303</v>
      </c>
      <c r="P675">
        <v>0</v>
      </c>
      <c r="Q675">
        <v>8.5416666666666655E-2</v>
      </c>
      <c r="R675">
        <v>0.15702546296296296</v>
      </c>
      <c r="S675">
        <v>35356</v>
      </c>
      <c r="T675">
        <v>0.30420138888888887</v>
      </c>
      <c r="U675">
        <v>0.30436342592592591</v>
      </c>
      <c r="V675">
        <v>35432</v>
      </c>
      <c r="W675">
        <v>26</v>
      </c>
      <c r="X675">
        <v>26</v>
      </c>
      <c r="Y675">
        <v>0</v>
      </c>
      <c r="Z675">
        <v>76</v>
      </c>
      <c r="AA675">
        <v>76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1064.52</v>
      </c>
      <c r="AK675">
        <v>0</v>
      </c>
      <c r="AL675">
        <v>1064.52</v>
      </c>
      <c r="AM675">
        <v>0</v>
      </c>
      <c r="AN675">
        <v>0</v>
      </c>
      <c r="AO675">
        <v>0</v>
      </c>
    </row>
    <row r="676" spans="1:41">
      <c r="A676">
        <v>675</v>
      </c>
      <c r="B676" s="42">
        <v>45959</v>
      </c>
      <c r="C676" t="str">
        <v>HINJEWADI</v>
      </c>
      <c r="D676" t="str">
        <v>SLK1</v>
      </c>
      <c r="E676" t="str">
        <v>SHADOWFAX TECHNOLOGIES PRIVATE LIMITED</v>
      </c>
      <c r="F676" t="str">
        <v>MH14LX6360</v>
      </c>
      <c r="G676" t="str">
        <v>ACE</v>
      </c>
      <c r="H676" t="str">
        <v>CNG</v>
      </c>
      <c r="I676">
        <v>4</v>
      </c>
      <c r="J676">
        <v>8</v>
      </c>
      <c r="K676">
        <v>25000</v>
      </c>
      <c r="L676">
        <v>1000</v>
      </c>
      <c r="M676">
        <v>55</v>
      </c>
      <c r="N676">
        <v>31</v>
      </c>
      <c r="O676" t="str">
        <v>PUN01 NC Cluster 16</v>
      </c>
      <c r="P676">
        <v>0</v>
      </c>
      <c r="Q676">
        <v>4.7222222222222221E-2</v>
      </c>
      <c r="R676">
        <v>0.17056712962962964</v>
      </c>
      <c r="S676">
        <v>39949</v>
      </c>
      <c r="T676">
        <v>0.31413194444444442</v>
      </c>
      <c r="U676">
        <v>0.31422453703703707</v>
      </c>
      <c r="V676">
        <v>39965</v>
      </c>
      <c r="W676">
        <v>67</v>
      </c>
      <c r="X676">
        <v>31</v>
      </c>
      <c r="Y676">
        <v>36</v>
      </c>
      <c r="Z676">
        <v>16</v>
      </c>
      <c r="AA676">
        <v>16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806.45</v>
      </c>
      <c r="AK676">
        <v>0</v>
      </c>
      <c r="AL676">
        <v>806.45</v>
      </c>
      <c r="AM676">
        <v>0</v>
      </c>
      <c r="AN676">
        <v>0</v>
      </c>
      <c r="AO676">
        <v>0</v>
      </c>
    </row>
    <row r="677" spans="1:41">
      <c r="A677">
        <v>676</v>
      </c>
      <c r="B677" s="42">
        <v>45959</v>
      </c>
      <c r="C677" t="str">
        <v>HINJEWADI</v>
      </c>
      <c r="D677" t="str">
        <v>SLK1</v>
      </c>
      <c r="E677" t="str">
        <v>SHADOWFAX TECHNOLOGIES PRIVATE LIMITED</v>
      </c>
      <c r="F677" t="str">
        <v>MH14MH6374</v>
      </c>
      <c r="G677" t="str">
        <v>ACE</v>
      </c>
      <c r="H677" t="str">
        <v>CNG</v>
      </c>
      <c r="I677">
        <v>4</v>
      </c>
      <c r="J677">
        <v>8</v>
      </c>
      <c r="K677">
        <v>25000</v>
      </c>
      <c r="L677">
        <v>1000</v>
      </c>
      <c r="M677">
        <v>55</v>
      </c>
      <c r="N677">
        <v>31</v>
      </c>
      <c r="O677" t="str">
        <v>PUN01 NC Cluster 72</v>
      </c>
      <c r="P677">
        <v>0</v>
      </c>
      <c r="Q677">
        <v>7.2916666666666671E-2</v>
      </c>
      <c r="R677">
        <v>0.16837962962962963</v>
      </c>
      <c r="S677">
        <v>8876</v>
      </c>
      <c r="T677">
        <v>0.43968750000000001</v>
      </c>
      <c r="U677">
        <v>0.43975694444444446</v>
      </c>
      <c r="V677">
        <v>8899</v>
      </c>
      <c r="W677">
        <v>37</v>
      </c>
      <c r="X677">
        <v>37</v>
      </c>
      <c r="Y677">
        <v>0</v>
      </c>
      <c r="Z677">
        <v>23</v>
      </c>
      <c r="AA677">
        <v>23</v>
      </c>
      <c r="AB677">
        <v>0</v>
      </c>
      <c r="AC677">
        <v>0</v>
      </c>
      <c r="AD677">
        <v>3</v>
      </c>
      <c r="AE677">
        <v>450</v>
      </c>
      <c r="AF677">
        <v>0</v>
      </c>
      <c r="AG677">
        <v>0</v>
      </c>
      <c r="AH677">
        <v>0</v>
      </c>
      <c r="AI677">
        <v>0</v>
      </c>
      <c r="AJ677">
        <v>1256.45</v>
      </c>
      <c r="AK677">
        <v>0</v>
      </c>
      <c r="AL677">
        <v>1256.45</v>
      </c>
      <c r="AM677">
        <v>0</v>
      </c>
      <c r="AN677">
        <v>0</v>
      </c>
      <c r="AO677">
        <v>0</v>
      </c>
    </row>
    <row r="678" spans="1:41">
      <c r="A678">
        <v>677</v>
      </c>
      <c r="B678" s="42">
        <v>45959</v>
      </c>
      <c r="C678" t="str">
        <v>HINJEWADI</v>
      </c>
      <c r="D678" t="str">
        <v>SLK1</v>
      </c>
      <c r="E678" t="str">
        <v>SHADOWFAX TECHNOLOGIES PRIVATE LIMITED</v>
      </c>
      <c r="F678" t="str">
        <v>MH14MH8276</v>
      </c>
      <c r="G678" t="str">
        <v>ACE</v>
      </c>
      <c r="H678" t="str">
        <v>CNG</v>
      </c>
      <c r="I678">
        <v>4</v>
      </c>
      <c r="J678">
        <v>8</v>
      </c>
      <c r="K678">
        <v>25000</v>
      </c>
      <c r="L678">
        <v>1000</v>
      </c>
      <c r="M678">
        <v>55</v>
      </c>
      <c r="N678">
        <v>31</v>
      </c>
      <c r="O678" t="str">
        <v>PUN01 NC Cluster 38</v>
      </c>
      <c r="P678">
        <v>0</v>
      </c>
      <c r="Q678">
        <v>4.7222222222222221E-2</v>
      </c>
      <c r="R678">
        <v>0.16971064814814815</v>
      </c>
      <c r="S678">
        <v>6607</v>
      </c>
      <c r="T678">
        <v>0.34072916666666669</v>
      </c>
      <c r="U678">
        <v>0.34087962962962964</v>
      </c>
      <c r="V678">
        <v>6622</v>
      </c>
      <c r="W678">
        <v>54</v>
      </c>
      <c r="X678">
        <v>54</v>
      </c>
      <c r="Y678">
        <v>0</v>
      </c>
      <c r="Z678">
        <v>15</v>
      </c>
      <c r="AA678">
        <v>15</v>
      </c>
      <c r="AB678">
        <v>0</v>
      </c>
      <c r="AC678">
        <v>0</v>
      </c>
      <c r="AD678">
        <v>1</v>
      </c>
      <c r="AE678">
        <v>150</v>
      </c>
      <c r="AF678">
        <v>0</v>
      </c>
      <c r="AG678">
        <v>0</v>
      </c>
      <c r="AH678">
        <v>0</v>
      </c>
      <c r="AI678">
        <v>0</v>
      </c>
      <c r="AJ678">
        <v>956.45</v>
      </c>
      <c r="AK678">
        <v>0</v>
      </c>
      <c r="AL678">
        <v>956.45</v>
      </c>
      <c r="AM678">
        <v>0</v>
      </c>
      <c r="AN678">
        <v>0</v>
      </c>
      <c r="AO678">
        <v>0</v>
      </c>
    </row>
    <row r="679" spans="1:41">
      <c r="A679">
        <v>678</v>
      </c>
      <c r="B679" s="42">
        <v>45959</v>
      </c>
      <c r="C679" t="str">
        <v>HINJEWADI</v>
      </c>
      <c r="D679" t="str">
        <v>SLK1</v>
      </c>
      <c r="E679" t="str">
        <v>SHADOWFAX TECHNOLOGIES PRIVATE LIMITED</v>
      </c>
      <c r="F679" t="str">
        <v>MH20GC8804</v>
      </c>
      <c r="G679" t="str">
        <v>ACE</v>
      </c>
      <c r="H679" t="str">
        <v>CNG</v>
      </c>
      <c r="I679">
        <v>4</v>
      </c>
      <c r="J679">
        <v>8</v>
      </c>
      <c r="K679">
        <v>25000</v>
      </c>
      <c r="L679">
        <v>1000</v>
      </c>
      <c r="M679">
        <v>55</v>
      </c>
      <c r="N679">
        <v>31</v>
      </c>
      <c r="O679" t="str">
        <v>PUN01 NC Cluster 26</v>
      </c>
      <c r="P679">
        <v>0</v>
      </c>
      <c r="Q679">
        <v>0.10208333333333335</v>
      </c>
      <c r="R679">
        <v>0.16547453703703704</v>
      </c>
      <c r="S679">
        <v>42429</v>
      </c>
      <c r="T679">
        <v>0.29519675925925926</v>
      </c>
      <c r="U679">
        <v>0.29531250000000003</v>
      </c>
      <c r="V679">
        <v>42455</v>
      </c>
      <c r="W679">
        <v>29</v>
      </c>
      <c r="X679">
        <v>29</v>
      </c>
      <c r="Y679">
        <v>0</v>
      </c>
      <c r="Z679">
        <v>26</v>
      </c>
      <c r="AA679">
        <v>26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806.45</v>
      </c>
      <c r="AK679">
        <v>0</v>
      </c>
      <c r="AL679">
        <v>806.45</v>
      </c>
      <c r="AM679">
        <v>0</v>
      </c>
      <c r="AN679">
        <v>0</v>
      </c>
      <c r="AO679">
        <v>0</v>
      </c>
    </row>
    <row r="680" spans="1:41">
      <c r="A680">
        <v>679</v>
      </c>
      <c r="B680" s="42">
        <v>45959</v>
      </c>
      <c r="C680" t="str">
        <v>HINJEWADI</v>
      </c>
      <c r="D680" t="str">
        <v>SLK1</v>
      </c>
      <c r="E680" t="str">
        <v>SHADOWFAX TECHNOLOGIES PRIVATE LIMITED</v>
      </c>
      <c r="F680" t="str">
        <v>MH12YQ2365</v>
      </c>
      <c r="G680" t="str">
        <v>BOLERO</v>
      </c>
      <c r="H680" t="str">
        <v>DIESEL</v>
      </c>
      <c r="I680">
        <v>4</v>
      </c>
      <c r="J680">
        <v>10</v>
      </c>
      <c r="K680">
        <v>29000</v>
      </c>
      <c r="L680">
        <v>1000</v>
      </c>
      <c r="M680">
        <v>55</v>
      </c>
      <c r="N680">
        <v>31</v>
      </c>
      <c r="O680" t="str">
        <v>PUN01 NC Cluster 23</v>
      </c>
      <c r="P680">
        <v>0</v>
      </c>
      <c r="Q680">
        <v>0.12361111111111112</v>
      </c>
      <c r="R680">
        <v>0.16197916666666667</v>
      </c>
      <c r="S680">
        <v>225</v>
      </c>
      <c r="T680">
        <v>0.4375</v>
      </c>
      <c r="U680">
        <v>0.43755787037037036</v>
      </c>
      <c r="V680">
        <v>252</v>
      </c>
      <c r="W680">
        <v>0</v>
      </c>
      <c r="X680">
        <v>63</v>
      </c>
      <c r="Y680">
        <v>-63</v>
      </c>
      <c r="Z680">
        <v>27</v>
      </c>
      <c r="AA680">
        <v>27</v>
      </c>
      <c r="AB680">
        <v>0</v>
      </c>
      <c r="AC680">
        <v>0</v>
      </c>
      <c r="AD680">
        <v>3</v>
      </c>
      <c r="AE680">
        <v>450</v>
      </c>
      <c r="AF680">
        <v>0</v>
      </c>
      <c r="AG680">
        <v>0</v>
      </c>
      <c r="AH680">
        <v>0</v>
      </c>
      <c r="AI680">
        <v>0</v>
      </c>
      <c r="AJ680">
        <v>1385.48</v>
      </c>
      <c r="AK680">
        <v>0</v>
      </c>
      <c r="AL680">
        <v>1385.48</v>
      </c>
      <c r="AM680">
        <v>0</v>
      </c>
      <c r="AN680">
        <v>0</v>
      </c>
      <c r="AO680">
        <v>0</v>
      </c>
    </row>
    <row r="681" spans="1:41">
      <c r="A681">
        <v>680</v>
      </c>
      <c r="B681" s="42">
        <v>45959</v>
      </c>
      <c r="C681" t="str">
        <v>HINJEWADI</v>
      </c>
      <c r="D681" t="str">
        <v>SLK1</v>
      </c>
      <c r="E681" t="str">
        <v>SHADOWFAX TECHNOLOGIES PRIVATE LIMITED</v>
      </c>
      <c r="F681" t="str">
        <v>MH14LL4513</v>
      </c>
      <c r="G681" t="str">
        <v>BOLERO</v>
      </c>
      <c r="H681" t="str">
        <v>DIESEL</v>
      </c>
      <c r="I681">
        <v>4</v>
      </c>
      <c r="J681">
        <v>10</v>
      </c>
      <c r="K681">
        <v>29000</v>
      </c>
      <c r="L681">
        <v>1000</v>
      </c>
      <c r="M681">
        <v>55</v>
      </c>
      <c r="N681">
        <v>31</v>
      </c>
      <c r="O681" t="str">
        <v>PUN01 NC Cluster 73</v>
      </c>
      <c r="P681">
        <v>0</v>
      </c>
      <c r="Q681">
        <v>9.5138888888888884E-2</v>
      </c>
      <c r="R681">
        <v>0.16953703703703704</v>
      </c>
      <c r="S681">
        <v>33290</v>
      </c>
      <c r="T681">
        <v>0</v>
      </c>
      <c r="U681">
        <v>0</v>
      </c>
      <c r="V681">
        <v>33290</v>
      </c>
      <c r="W681">
        <v>0</v>
      </c>
      <c r="X681">
        <v>40</v>
      </c>
      <c r="Y681">
        <v>-40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935.48</v>
      </c>
      <c r="AK681">
        <v>0</v>
      </c>
      <c r="AL681">
        <v>935.48</v>
      </c>
      <c r="AM681">
        <v>0</v>
      </c>
      <c r="AN681">
        <v>0</v>
      </c>
      <c r="AO681">
        <v>0</v>
      </c>
    </row>
    <row r="682" spans="1:41">
      <c r="A682">
        <v>681</v>
      </c>
      <c r="B682" s="42">
        <v>45959</v>
      </c>
      <c r="C682" t="str">
        <v>HINJEWADI</v>
      </c>
      <c r="D682" t="str">
        <v>SLK1</v>
      </c>
      <c r="E682" t="str">
        <v>SHADOWFAX TECHNOLOGIES PRIVATE LIMITED</v>
      </c>
      <c r="F682" t="str">
        <v>MH14LX4839</v>
      </c>
      <c r="G682" t="str">
        <v>BOLERO</v>
      </c>
      <c r="H682" t="str">
        <v>DIESEL</v>
      </c>
      <c r="I682">
        <v>4</v>
      </c>
      <c r="J682">
        <v>10</v>
      </c>
      <c r="K682">
        <v>29000</v>
      </c>
      <c r="L682">
        <v>1000</v>
      </c>
      <c r="M682">
        <v>55</v>
      </c>
      <c r="N682">
        <v>31</v>
      </c>
      <c r="O682" t="str">
        <v>PUN01 NC Cluster 111</v>
      </c>
      <c r="P682">
        <v>0</v>
      </c>
      <c r="Q682">
        <v>4.7222222222222221E-2</v>
      </c>
      <c r="R682">
        <v>0.16841435185185186</v>
      </c>
      <c r="S682">
        <v>40145</v>
      </c>
      <c r="T682">
        <v>0.30624999999999997</v>
      </c>
      <c r="U682">
        <v>0.30636574074074074</v>
      </c>
      <c r="V682">
        <v>40178</v>
      </c>
      <c r="W682">
        <v>51</v>
      </c>
      <c r="X682">
        <v>51</v>
      </c>
      <c r="Y682">
        <v>0</v>
      </c>
      <c r="Z682">
        <v>33</v>
      </c>
      <c r="AA682">
        <v>33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935.48</v>
      </c>
      <c r="AK682">
        <v>0</v>
      </c>
      <c r="AL682">
        <v>935.48</v>
      </c>
      <c r="AM682">
        <v>0</v>
      </c>
      <c r="AN682">
        <v>0</v>
      </c>
      <c r="AO682">
        <v>0</v>
      </c>
    </row>
    <row r="683" spans="1:41">
      <c r="A683">
        <v>682</v>
      </c>
      <c r="B683" s="42">
        <v>45959</v>
      </c>
      <c r="C683" t="str">
        <v>HINJEWADI</v>
      </c>
      <c r="D683" t="str">
        <v>SLK1</v>
      </c>
      <c r="E683" t="str">
        <v>SHADOWFAX TECHNOLOGIES PRIVATE LIMITED</v>
      </c>
      <c r="F683" t="str">
        <v>MH14MH7322</v>
      </c>
      <c r="G683" t="str">
        <v>BOLERO</v>
      </c>
      <c r="H683" t="str">
        <v>DIESEL</v>
      </c>
      <c r="I683">
        <v>4</v>
      </c>
      <c r="J683">
        <v>10</v>
      </c>
      <c r="K683">
        <v>29000</v>
      </c>
      <c r="L683">
        <v>1000</v>
      </c>
      <c r="M683">
        <v>55</v>
      </c>
      <c r="N683">
        <v>31</v>
      </c>
      <c r="O683" t="str">
        <v>PUN01 NC Cluster 18</v>
      </c>
      <c r="P683">
        <v>0</v>
      </c>
      <c r="Q683">
        <v>9.8611111111111108E-2</v>
      </c>
      <c r="R683">
        <v>0.15506944444444445</v>
      </c>
      <c r="S683">
        <v>4101</v>
      </c>
      <c r="T683">
        <v>0.31805555555555554</v>
      </c>
      <c r="U683">
        <v>0.31812499999999999</v>
      </c>
      <c r="V683">
        <v>4130</v>
      </c>
      <c r="W683">
        <v>69</v>
      </c>
      <c r="X683">
        <v>69</v>
      </c>
      <c r="Y683">
        <v>0</v>
      </c>
      <c r="Z683">
        <v>29</v>
      </c>
      <c r="AA683">
        <v>29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935.48</v>
      </c>
      <c r="AK683">
        <v>0</v>
      </c>
      <c r="AL683">
        <v>935.48</v>
      </c>
      <c r="AM683">
        <v>0</v>
      </c>
      <c r="AN683">
        <v>0</v>
      </c>
      <c r="AO683">
        <v>0</v>
      </c>
    </row>
    <row r="684" spans="1:41">
      <c r="A684">
        <v>683</v>
      </c>
      <c r="B684" s="42">
        <v>45959</v>
      </c>
      <c r="C684" t="str">
        <v>HINJEWADI</v>
      </c>
      <c r="D684" t="str">
        <v>SLK1</v>
      </c>
      <c r="E684" t="str">
        <v>SHADOWFAX TECHNOLOGIES PRIVATE LIMITED</v>
      </c>
      <c r="F684" t="str">
        <v>MH16CD7321</v>
      </c>
      <c r="G684" t="str">
        <v>BOLERO</v>
      </c>
      <c r="H684" t="str">
        <v>DIESEL</v>
      </c>
      <c r="I684">
        <v>4</v>
      </c>
      <c r="J684">
        <v>10</v>
      </c>
      <c r="K684">
        <v>29000</v>
      </c>
      <c r="L684">
        <v>1000</v>
      </c>
      <c r="M684">
        <v>55</v>
      </c>
      <c r="N684">
        <v>31</v>
      </c>
      <c r="O684" t="str">
        <v>PUN01 NC Cluster 131</v>
      </c>
      <c r="P684">
        <v>0</v>
      </c>
      <c r="Q684">
        <v>8.819444444444445E-2</v>
      </c>
      <c r="R684">
        <v>0.15637731481481482</v>
      </c>
      <c r="S684">
        <v>139968</v>
      </c>
      <c r="T684">
        <v>0.3133333333333333</v>
      </c>
      <c r="U684">
        <v>0.31342592592592594</v>
      </c>
      <c r="V684">
        <v>139998</v>
      </c>
      <c r="W684">
        <v>42</v>
      </c>
      <c r="X684">
        <v>42</v>
      </c>
      <c r="Y684">
        <v>0</v>
      </c>
      <c r="Z684">
        <v>30</v>
      </c>
      <c r="AA684">
        <v>30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935.48</v>
      </c>
      <c r="AK684">
        <v>0</v>
      </c>
      <c r="AL684">
        <v>935.48</v>
      </c>
      <c r="AM684">
        <v>0</v>
      </c>
      <c r="AN684">
        <v>0</v>
      </c>
      <c r="AO684">
        <v>0</v>
      </c>
    </row>
    <row r="685" spans="1:41">
      <c r="A685">
        <v>684</v>
      </c>
      <c r="B685" s="42">
        <v>45960</v>
      </c>
      <c r="C685" t="str">
        <v>HINJEWADI</v>
      </c>
      <c r="D685" t="str">
        <v>SLK1</v>
      </c>
      <c r="E685" t="str">
        <v>SHADOWFAX TECHNOLOGIES PRIVATE LIMITED</v>
      </c>
      <c r="F685" t="str">
        <v>MH03AH8989</v>
      </c>
      <c r="G685" t="str">
        <v>ACE</v>
      </c>
      <c r="H685" t="str">
        <v>CNG</v>
      </c>
      <c r="I685">
        <v>4</v>
      </c>
      <c r="J685">
        <v>8</v>
      </c>
      <c r="K685">
        <v>25000</v>
      </c>
      <c r="L685">
        <v>1000</v>
      </c>
      <c r="M685">
        <v>55</v>
      </c>
      <c r="N685">
        <v>31</v>
      </c>
      <c r="O685" t="str">
        <v>PUN01 NC Cluster 1</v>
      </c>
      <c r="P685">
        <v>0</v>
      </c>
      <c r="Q685">
        <v>4.5833333333333337E-2</v>
      </c>
      <c r="R685">
        <v>0.15237268518518518</v>
      </c>
      <c r="S685">
        <v>58404</v>
      </c>
      <c r="T685">
        <v>0.29928240740740741</v>
      </c>
      <c r="U685">
        <v>0.29953703703703705</v>
      </c>
      <c r="V685">
        <v>58412</v>
      </c>
      <c r="W685">
        <v>39</v>
      </c>
      <c r="X685">
        <v>38</v>
      </c>
      <c r="Y685">
        <v>1</v>
      </c>
      <c r="Z685">
        <v>8</v>
      </c>
      <c r="AA685">
        <v>8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806.45</v>
      </c>
      <c r="AK685">
        <v>0</v>
      </c>
      <c r="AL685">
        <v>806.45</v>
      </c>
      <c r="AM685">
        <v>0</v>
      </c>
      <c r="AN685">
        <v>0</v>
      </c>
      <c r="AO685">
        <v>0</v>
      </c>
    </row>
    <row r="686" spans="1:41">
      <c r="A686">
        <v>685</v>
      </c>
      <c r="B686" s="42">
        <v>45960</v>
      </c>
      <c r="C686" t="str">
        <v>HINJEWADI</v>
      </c>
      <c r="D686" t="str">
        <v>SLK1</v>
      </c>
      <c r="E686" t="str">
        <v>SHADOWFAX TECHNOLOGIES PRIVATE LIMITED</v>
      </c>
      <c r="F686" t="str">
        <v>MH12UM3063</v>
      </c>
      <c r="G686" t="str">
        <v>ACE</v>
      </c>
      <c r="H686" t="str">
        <v>CNG</v>
      </c>
      <c r="I686">
        <v>6</v>
      </c>
      <c r="J686">
        <v>8</v>
      </c>
      <c r="K686">
        <v>33000</v>
      </c>
      <c r="L686">
        <v>2000</v>
      </c>
      <c r="M686">
        <v>55</v>
      </c>
      <c r="N686">
        <v>31</v>
      </c>
      <c r="O686" t="str">
        <v>PUN01 NC Cluster 228</v>
      </c>
      <c r="P686">
        <v>0</v>
      </c>
      <c r="Q686">
        <v>4.7916666666666663E-2</v>
      </c>
      <c r="R686">
        <v>0.15459490740740742</v>
      </c>
      <c r="S686">
        <v>102320</v>
      </c>
      <c r="T686">
        <v>0.44112268518518521</v>
      </c>
      <c r="U686">
        <v>0.44207175925925929</v>
      </c>
      <c r="V686">
        <v>102350</v>
      </c>
      <c r="W686">
        <v>20</v>
      </c>
      <c r="X686">
        <v>65</v>
      </c>
      <c r="Y686">
        <v>-45</v>
      </c>
      <c r="Z686">
        <v>30</v>
      </c>
      <c r="AA686">
        <v>30</v>
      </c>
      <c r="AB686">
        <v>0</v>
      </c>
      <c r="AC686">
        <v>0</v>
      </c>
      <c r="AD686">
        <v>2</v>
      </c>
      <c r="AE686">
        <v>300</v>
      </c>
      <c r="AF686">
        <v>0</v>
      </c>
      <c r="AG686">
        <v>0</v>
      </c>
      <c r="AH686">
        <v>0</v>
      </c>
      <c r="AI686">
        <v>0</v>
      </c>
      <c r="AJ686">
        <v>1364.52</v>
      </c>
      <c r="AK686">
        <v>0</v>
      </c>
      <c r="AL686">
        <v>1364.52</v>
      </c>
      <c r="AM686">
        <v>0</v>
      </c>
      <c r="AN686">
        <v>0</v>
      </c>
      <c r="AO686">
        <v>0</v>
      </c>
    </row>
    <row r="687" spans="1:41">
      <c r="A687">
        <v>686</v>
      </c>
      <c r="B687" s="42">
        <v>45960</v>
      </c>
      <c r="C687" t="str">
        <v>HINJEWADI</v>
      </c>
      <c r="D687" t="str">
        <v>SLK1</v>
      </c>
      <c r="E687" t="str">
        <v>SHADOWFAX TECHNOLOGIES PRIVATE LIMITED</v>
      </c>
      <c r="F687" t="str">
        <v>MH12VF3782</v>
      </c>
      <c r="G687" t="str">
        <v>ACE</v>
      </c>
      <c r="H687" t="str">
        <v>CNG</v>
      </c>
      <c r="I687">
        <v>4</v>
      </c>
      <c r="J687">
        <v>8</v>
      </c>
      <c r="K687">
        <v>25000</v>
      </c>
      <c r="L687">
        <v>1000</v>
      </c>
      <c r="M687">
        <v>55</v>
      </c>
      <c r="N687">
        <v>31</v>
      </c>
      <c r="O687" t="str">
        <v>PUN01 NC Cluster 113</v>
      </c>
      <c r="P687">
        <v>0</v>
      </c>
      <c r="Q687">
        <v>0.11597222222222221</v>
      </c>
      <c r="R687">
        <v>0.1554513888888889</v>
      </c>
      <c r="S687">
        <v>84603</v>
      </c>
      <c r="T687">
        <v>0.33243055555555556</v>
      </c>
      <c r="U687">
        <v>0.33304398148148145</v>
      </c>
      <c r="V687">
        <v>84625</v>
      </c>
      <c r="W687">
        <v>0</v>
      </c>
      <c r="X687">
        <v>58</v>
      </c>
      <c r="Y687">
        <v>-58</v>
      </c>
      <c r="Z687">
        <v>22</v>
      </c>
      <c r="AA687">
        <v>22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806.45</v>
      </c>
      <c r="AK687">
        <v>0</v>
      </c>
      <c r="AL687">
        <v>806.45</v>
      </c>
      <c r="AM687">
        <v>0</v>
      </c>
      <c r="AN687">
        <v>0</v>
      </c>
      <c r="AO687">
        <v>0</v>
      </c>
    </row>
    <row r="688" spans="1:41">
      <c r="A688">
        <v>687</v>
      </c>
      <c r="B688" s="42">
        <v>45960</v>
      </c>
      <c r="C688" t="str">
        <v>HINJEWADI</v>
      </c>
      <c r="D688" t="str">
        <v>SLK1</v>
      </c>
      <c r="E688" t="str">
        <v>SHADOWFAX TECHNOLOGIES PRIVATE LIMITED</v>
      </c>
      <c r="F688" t="str">
        <v>MH12WX6236</v>
      </c>
      <c r="G688" t="str">
        <v>ACE</v>
      </c>
      <c r="H688" t="str">
        <v>CNG</v>
      </c>
      <c r="I688">
        <v>4</v>
      </c>
      <c r="J688">
        <v>8</v>
      </c>
      <c r="K688">
        <v>25000</v>
      </c>
      <c r="L688">
        <v>1000</v>
      </c>
      <c r="M688">
        <v>55</v>
      </c>
      <c r="N688">
        <v>31</v>
      </c>
      <c r="O688" t="str">
        <v>PUN01 NC Cluster 8</v>
      </c>
      <c r="P688">
        <v>0</v>
      </c>
      <c r="Q688">
        <v>4.9999999999999996E-2</v>
      </c>
      <c r="R688">
        <v>0.15240740740740741</v>
      </c>
      <c r="S688">
        <v>39723</v>
      </c>
      <c r="T688">
        <v>0.30006944444444444</v>
      </c>
      <c r="U688">
        <v>0.30021990740740739</v>
      </c>
      <c r="V688">
        <v>39736</v>
      </c>
      <c r="W688">
        <v>40</v>
      </c>
      <c r="X688">
        <v>40</v>
      </c>
      <c r="Y688">
        <v>0</v>
      </c>
      <c r="Z688">
        <v>13</v>
      </c>
      <c r="AA688">
        <v>13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806.45</v>
      </c>
      <c r="AK688">
        <v>0</v>
      </c>
      <c r="AL688">
        <v>806.45</v>
      </c>
      <c r="AM688">
        <v>0</v>
      </c>
      <c r="AN688">
        <v>0</v>
      </c>
      <c r="AO688">
        <v>0</v>
      </c>
    </row>
    <row r="689" spans="1:41">
      <c r="A689">
        <v>688</v>
      </c>
      <c r="B689" s="42">
        <v>45960</v>
      </c>
      <c r="C689" t="str">
        <v>HINJEWADI</v>
      </c>
      <c r="D689" t="str">
        <v>SLK1</v>
      </c>
      <c r="E689" t="str">
        <v>SHADOWFAX TECHNOLOGIES PRIVATE LIMITED</v>
      </c>
      <c r="F689" t="str">
        <v>MH14CP4610</v>
      </c>
      <c r="G689" t="str">
        <v>ACE</v>
      </c>
      <c r="H689" t="str">
        <v>CNG</v>
      </c>
      <c r="I689">
        <v>4</v>
      </c>
      <c r="J689">
        <v>8</v>
      </c>
      <c r="K689">
        <v>25000</v>
      </c>
      <c r="L689">
        <v>1000</v>
      </c>
      <c r="M689">
        <v>55</v>
      </c>
      <c r="N689">
        <v>31</v>
      </c>
      <c r="O689" t="str">
        <v>PUN01 NC Cluster 87</v>
      </c>
      <c r="P689">
        <v>0</v>
      </c>
      <c r="Q689">
        <v>8.7500000000000008E-2</v>
      </c>
      <c r="R689">
        <v>0.1519675925925926</v>
      </c>
      <c r="S689">
        <v>145638</v>
      </c>
      <c r="T689">
        <v>0.31203703703703706</v>
      </c>
      <c r="U689">
        <v>0.31223379629629627</v>
      </c>
      <c r="V689">
        <v>145655</v>
      </c>
      <c r="W689">
        <v>32</v>
      </c>
      <c r="X689">
        <v>32</v>
      </c>
      <c r="Y689">
        <v>0</v>
      </c>
      <c r="Z689">
        <v>17</v>
      </c>
      <c r="AA689">
        <v>17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806.45</v>
      </c>
      <c r="AK689">
        <v>0</v>
      </c>
      <c r="AL689">
        <v>806.45</v>
      </c>
      <c r="AM689">
        <v>0</v>
      </c>
      <c r="AN689">
        <v>0</v>
      </c>
      <c r="AO689">
        <v>0</v>
      </c>
    </row>
    <row r="690" spans="1:41">
      <c r="A690">
        <v>689</v>
      </c>
      <c r="B690" s="42">
        <v>45960</v>
      </c>
      <c r="C690" t="str">
        <v>HINJEWADI</v>
      </c>
      <c r="D690" t="str">
        <v>SLK1</v>
      </c>
      <c r="E690" t="str">
        <v>SHADOWFAX TECHNOLOGIES PRIVATE LIMITED</v>
      </c>
      <c r="F690" t="str">
        <v>MH14EM3160</v>
      </c>
      <c r="G690" t="str">
        <v>ACE</v>
      </c>
      <c r="H690" t="str">
        <v>CNG</v>
      </c>
      <c r="I690">
        <v>4</v>
      </c>
      <c r="J690">
        <v>8</v>
      </c>
      <c r="K690">
        <v>25000</v>
      </c>
      <c r="L690">
        <v>1000</v>
      </c>
      <c r="M690">
        <v>55</v>
      </c>
      <c r="N690">
        <v>31</v>
      </c>
      <c r="O690" t="str">
        <v>PUN01 NC Cluster 13</v>
      </c>
      <c r="P690">
        <v>0</v>
      </c>
      <c r="Q690">
        <v>5.2777777777777778E-2</v>
      </c>
      <c r="R690">
        <v>0.15687500000000001</v>
      </c>
      <c r="S690">
        <v>166507</v>
      </c>
      <c r="T690">
        <v>0.39368055555555559</v>
      </c>
      <c r="U690">
        <v>0.39379629629629626</v>
      </c>
      <c r="V690">
        <v>166528</v>
      </c>
      <c r="W690">
        <v>35</v>
      </c>
      <c r="X690">
        <v>35</v>
      </c>
      <c r="Y690">
        <v>0</v>
      </c>
      <c r="Z690">
        <v>21</v>
      </c>
      <c r="AA690">
        <v>21</v>
      </c>
      <c r="AB690">
        <v>0</v>
      </c>
      <c r="AC690">
        <v>0</v>
      </c>
      <c r="AD690">
        <v>2</v>
      </c>
      <c r="AE690">
        <v>300</v>
      </c>
      <c r="AF690">
        <v>0</v>
      </c>
      <c r="AG690">
        <v>0</v>
      </c>
      <c r="AH690">
        <v>0</v>
      </c>
      <c r="AI690">
        <v>0</v>
      </c>
      <c r="AJ690">
        <v>1106.45</v>
      </c>
      <c r="AK690">
        <v>0</v>
      </c>
      <c r="AL690">
        <v>1106.45</v>
      </c>
      <c r="AM690">
        <v>0</v>
      </c>
      <c r="AN690">
        <v>0</v>
      </c>
      <c r="AO690">
        <v>0</v>
      </c>
    </row>
    <row r="691" spans="1:41">
      <c r="A691">
        <v>690</v>
      </c>
      <c r="B691" s="42">
        <v>45960</v>
      </c>
      <c r="C691" t="str">
        <v>HINJEWADI</v>
      </c>
      <c r="D691" t="str">
        <v>SLK1</v>
      </c>
      <c r="E691" t="str">
        <v>SHADOWFAX TECHNOLOGIES PRIVATE LIMITED</v>
      </c>
      <c r="F691" t="str">
        <v>MH14JL3308</v>
      </c>
      <c r="G691" t="str">
        <v>ACE</v>
      </c>
      <c r="H691" t="str">
        <v>CNG</v>
      </c>
      <c r="I691">
        <v>4</v>
      </c>
      <c r="J691">
        <v>8</v>
      </c>
      <c r="K691">
        <v>25000</v>
      </c>
      <c r="L691">
        <v>1000</v>
      </c>
      <c r="M691">
        <v>55</v>
      </c>
      <c r="N691">
        <v>31</v>
      </c>
      <c r="O691" t="str">
        <v>PUN01 NC Cluster 11</v>
      </c>
      <c r="P691">
        <v>0</v>
      </c>
      <c r="Q691">
        <v>0.11180555555555556</v>
      </c>
      <c r="R691">
        <v>0.15761574074074072</v>
      </c>
      <c r="S691">
        <v>117146</v>
      </c>
      <c r="T691">
        <v>0.39488425925925924</v>
      </c>
      <c r="U691">
        <v>0.39500000000000002</v>
      </c>
      <c r="V691">
        <v>117182</v>
      </c>
      <c r="W691">
        <v>14</v>
      </c>
      <c r="X691">
        <v>14</v>
      </c>
      <c r="Y691">
        <v>0</v>
      </c>
      <c r="Z691">
        <v>36</v>
      </c>
      <c r="AA691">
        <v>36</v>
      </c>
      <c r="AB691">
        <v>0</v>
      </c>
      <c r="AC691">
        <v>0</v>
      </c>
      <c r="AD691">
        <v>2</v>
      </c>
      <c r="AE691">
        <v>300</v>
      </c>
      <c r="AF691">
        <v>0</v>
      </c>
      <c r="AG691">
        <v>0</v>
      </c>
      <c r="AH691">
        <v>0</v>
      </c>
      <c r="AI691">
        <v>0</v>
      </c>
      <c r="AJ691">
        <v>1106.45</v>
      </c>
      <c r="AK691">
        <v>0</v>
      </c>
      <c r="AL691">
        <v>1106.45</v>
      </c>
      <c r="AM691">
        <v>0</v>
      </c>
      <c r="AN691">
        <v>0</v>
      </c>
      <c r="AO691">
        <v>0</v>
      </c>
    </row>
    <row r="692" spans="1:41">
      <c r="A692">
        <v>691</v>
      </c>
      <c r="B692" s="42">
        <v>45960</v>
      </c>
      <c r="C692" t="str">
        <v>HINJEWADI</v>
      </c>
      <c r="D692" t="str">
        <v>SLK1</v>
      </c>
      <c r="E692" t="str">
        <v>SHADOWFAX TECHNOLOGIES PRIVATE LIMITED</v>
      </c>
      <c r="F692" t="str">
        <v>MH14KA0766</v>
      </c>
      <c r="G692" t="str">
        <v>ACE</v>
      </c>
      <c r="H692" t="str">
        <v>CNG</v>
      </c>
      <c r="I692">
        <v>4</v>
      </c>
      <c r="J692">
        <v>8</v>
      </c>
      <c r="K692">
        <v>25000</v>
      </c>
      <c r="L692">
        <v>1000</v>
      </c>
      <c r="M692">
        <v>55</v>
      </c>
      <c r="N692">
        <v>31</v>
      </c>
      <c r="O692" t="str">
        <v>PUN01 NC Cluster 10</v>
      </c>
      <c r="P692">
        <v>0</v>
      </c>
      <c r="Q692">
        <v>4.3055555555555562E-2</v>
      </c>
      <c r="R692">
        <v>0.15503472222222223</v>
      </c>
      <c r="S692">
        <v>146823</v>
      </c>
      <c r="T692">
        <v>0.39513888888888887</v>
      </c>
      <c r="U692">
        <v>0.39526620370370374</v>
      </c>
      <c r="V692">
        <v>146848</v>
      </c>
      <c r="W692">
        <v>59</v>
      </c>
      <c r="X692">
        <v>59</v>
      </c>
      <c r="Y692">
        <v>0</v>
      </c>
      <c r="Z692">
        <v>25</v>
      </c>
      <c r="AA692">
        <v>25</v>
      </c>
      <c r="AB692">
        <v>0</v>
      </c>
      <c r="AC692">
        <v>0</v>
      </c>
      <c r="AD692">
        <v>2</v>
      </c>
      <c r="AE692">
        <v>300</v>
      </c>
      <c r="AF692">
        <v>0</v>
      </c>
      <c r="AG692">
        <v>0</v>
      </c>
      <c r="AH692">
        <v>0</v>
      </c>
      <c r="AI692">
        <v>0</v>
      </c>
      <c r="AJ692">
        <v>1106.45</v>
      </c>
      <c r="AK692">
        <v>0</v>
      </c>
      <c r="AL692">
        <v>1106.45</v>
      </c>
      <c r="AM692">
        <v>0</v>
      </c>
      <c r="AN692">
        <v>0</v>
      </c>
      <c r="AO692">
        <v>0</v>
      </c>
    </row>
    <row r="693" spans="1:41">
      <c r="A693">
        <v>692</v>
      </c>
      <c r="B693" s="42">
        <v>45960</v>
      </c>
      <c r="C693" t="str">
        <v>HINJEWADI</v>
      </c>
      <c r="D693" t="str">
        <v>SLK1</v>
      </c>
      <c r="E693" t="str">
        <v>SHADOWFAX TECHNOLOGIES PRIVATE LIMITED</v>
      </c>
      <c r="F693" t="str">
        <v>MH14KA1228</v>
      </c>
      <c r="G693" t="str">
        <v>ACE</v>
      </c>
      <c r="H693" t="str">
        <v>CNG</v>
      </c>
      <c r="I693">
        <v>4</v>
      </c>
      <c r="J693">
        <v>8</v>
      </c>
      <c r="K693">
        <v>25000</v>
      </c>
      <c r="L693">
        <v>1000</v>
      </c>
      <c r="M693">
        <v>55</v>
      </c>
      <c r="N693">
        <v>31</v>
      </c>
      <c r="O693" t="str">
        <v>PUN01 NC Cluster 60</v>
      </c>
      <c r="P693">
        <v>0</v>
      </c>
      <c r="Q693">
        <v>0.10694444444444444</v>
      </c>
      <c r="R693">
        <v>0.16192129629629629</v>
      </c>
      <c r="S693">
        <v>160466</v>
      </c>
      <c r="T693">
        <v>0.4772569444444445</v>
      </c>
      <c r="U693">
        <v>0.47738425925925926</v>
      </c>
      <c r="V693">
        <v>160492</v>
      </c>
      <c r="W693">
        <v>35</v>
      </c>
      <c r="X693">
        <v>25</v>
      </c>
      <c r="Y693">
        <v>10</v>
      </c>
      <c r="Z693">
        <v>26</v>
      </c>
      <c r="AA693">
        <v>26</v>
      </c>
      <c r="AB693">
        <v>0</v>
      </c>
      <c r="AC693">
        <v>0</v>
      </c>
      <c r="AD693">
        <v>4</v>
      </c>
      <c r="AE693">
        <v>600</v>
      </c>
      <c r="AF693">
        <v>0</v>
      </c>
      <c r="AG693">
        <v>0</v>
      </c>
      <c r="AH693">
        <v>0</v>
      </c>
      <c r="AI693">
        <v>0</v>
      </c>
      <c r="AJ693">
        <v>1406.45</v>
      </c>
      <c r="AK693">
        <v>0</v>
      </c>
      <c r="AL693">
        <v>1406.45</v>
      </c>
      <c r="AM693">
        <v>0</v>
      </c>
      <c r="AN693">
        <v>0</v>
      </c>
      <c r="AO693">
        <v>0</v>
      </c>
    </row>
    <row r="694" spans="1:41">
      <c r="A694">
        <v>693</v>
      </c>
      <c r="B694" s="42">
        <v>45960</v>
      </c>
      <c r="C694" t="str">
        <v>HINJEWADI</v>
      </c>
      <c r="D694" t="str">
        <v>SLK1</v>
      </c>
      <c r="E694" t="str">
        <v>SHADOWFAX TECHNOLOGIES PRIVATE LIMITED</v>
      </c>
      <c r="F694" t="str">
        <v>MH14KA1873</v>
      </c>
      <c r="G694" t="str">
        <v>ACE</v>
      </c>
      <c r="H694" t="str">
        <v>CNG</v>
      </c>
      <c r="I694">
        <v>4</v>
      </c>
      <c r="J694">
        <v>8</v>
      </c>
      <c r="K694">
        <v>25000</v>
      </c>
      <c r="L694">
        <v>1000</v>
      </c>
      <c r="M694">
        <v>55</v>
      </c>
      <c r="N694">
        <v>31</v>
      </c>
      <c r="O694" t="str">
        <v>PUN01 NC Cluster 43</v>
      </c>
      <c r="P694">
        <v>0</v>
      </c>
      <c r="Q694">
        <v>4.7222222222222221E-2</v>
      </c>
      <c r="R694">
        <v>0.15329861111111112</v>
      </c>
      <c r="S694">
        <v>115089</v>
      </c>
      <c r="T694">
        <v>0.31464120370370369</v>
      </c>
      <c r="U694">
        <v>0.31630787037037039</v>
      </c>
      <c r="V694">
        <v>115108</v>
      </c>
      <c r="W694">
        <v>37</v>
      </c>
      <c r="X694">
        <v>37</v>
      </c>
      <c r="Y694">
        <v>0</v>
      </c>
      <c r="Z694">
        <v>19</v>
      </c>
      <c r="AA694">
        <v>19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806.45</v>
      </c>
      <c r="AK694">
        <v>0</v>
      </c>
      <c r="AL694">
        <v>806.45</v>
      </c>
      <c r="AM694">
        <v>0</v>
      </c>
      <c r="AN694">
        <v>0</v>
      </c>
      <c r="AO694">
        <v>0</v>
      </c>
    </row>
    <row r="695" spans="1:41">
      <c r="A695">
        <v>694</v>
      </c>
      <c r="B695" s="42">
        <v>45960</v>
      </c>
      <c r="C695" t="str">
        <v>HINJEWADI</v>
      </c>
      <c r="D695" t="str">
        <v>SLK1</v>
      </c>
      <c r="E695" t="str">
        <v>SHADOWFAX TECHNOLOGIES PRIVATE LIMITED</v>
      </c>
      <c r="F695" t="str">
        <v>MH14KA6513</v>
      </c>
      <c r="G695" t="str">
        <v>ACE</v>
      </c>
      <c r="H695" t="str">
        <v>CNG</v>
      </c>
      <c r="I695">
        <v>6</v>
      </c>
      <c r="J695">
        <v>8</v>
      </c>
      <c r="K695">
        <v>33000</v>
      </c>
      <c r="L695">
        <v>2000</v>
      </c>
      <c r="M695">
        <v>55</v>
      </c>
      <c r="N695">
        <v>31</v>
      </c>
      <c r="O695" t="str">
        <v>PUN01 NC Cluster 299</v>
      </c>
      <c r="P695">
        <v>0</v>
      </c>
      <c r="Q695">
        <v>4.2361111111111106E-2</v>
      </c>
      <c r="R695">
        <v>0.15532407407407409</v>
      </c>
      <c r="S695">
        <v>49074</v>
      </c>
      <c r="T695">
        <v>0.39562499999999995</v>
      </c>
      <c r="U695">
        <v>0.39571759259259259</v>
      </c>
      <c r="V695">
        <v>49130</v>
      </c>
      <c r="W695">
        <v>24</v>
      </c>
      <c r="X695">
        <v>24</v>
      </c>
      <c r="Y695">
        <v>0</v>
      </c>
      <c r="Z695">
        <v>56</v>
      </c>
      <c r="AA695">
        <v>56</v>
      </c>
      <c r="AB695">
        <v>0</v>
      </c>
      <c r="AC695">
        <v>0</v>
      </c>
      <c r="AD695">
        <v>1</v>
      </c>
      <c r="AE695">
        <v>150</v>
      </c>
      <c r="AF695">
        <v>0</v>
      </c>
      <c r="AG695">
        <v>0</v>
      </c>
      <c r="AH695">
        <v>0</v>
      </c>
      <c r="AI695">
        <v>0</v>
      </c>
      <c r="AJ695">
        <v>1214.52</v>
      </c>
      <c r="AK695">
        <v>0</v>
      </c>
      <c r="AL695">
        <v>1214.52</v>
      </c>
      <c r="AM695">
        <v>0</v>
      </c>
      <c r="AN695">
        <v>0</v>
      </c>
      <c r="AO695">
        <v>0</v>
      </c>
    </row>
    <row r="696" spans="1:41">
      <c r="A696">
        <v>695</v>
      </c>
      <c r="B696" s="42">
        <v>45960</v>
      </c>
      <c r="C696" t="str">
        <v>HINJEWADI</v>
      </c>
      <c r="D696" t="str">
        <v>SLK1</v>
      </c>
      <c r="E696" t="str">
        <v>SHADOWFAX TECHNOLOGIES PRIVATE LIMITED</v>
      </c>
      <c r="F696" t="str">
        <v>MH14KQ0279</v>
      </c>
      <c r="G696" t="str">
        <v>ACE</v>
      </c>
      <c r="H696" t="str">
        <v>CNG</v>
      </c>
      <c r="I696">
        <v>4</v>
      </c>
      <c r="J696">
        <v>8</v>
      </c>
      <c r="K696">
        <v>25000</v>
      </c>
      <c r="L696">
        <v>1000</v>
      </c>
      <c r="M696">
        <v>55</v>
      </c>
      <c r="N696">
        <v>31</v>
      </c>
      <c r="O696" t="str">
        <v>PUN01 NC Cluster 199</v>
      </c>
      <c r="P696">
        <v>0</v>
      </c>
      <c r="Q696">
        <v>0.11041666666666666</v>
      </c>
      <c r="R696">
        <v>0.15255787037037036</v>
      </c>
      <c r="S696">
        <v>119248</v>
      </c>
      <c r="T696">
        <v>0.32893518518518516</v>
      </c>
      <c r="U696">
        <v>0.32899305555555552</v>
      </c>
      <c r="V696">
        <v>119278</v>
      </c>
      <c r="W696">
        <v>38</v>
      </c>
      <c r="X696">
        <v>38</v>
      </c>
      <c r="Y696">
        <v>0</v>
      </c>
      <c r="Z696">
        <v>30</v>
      </c>
      <c r="AA696">
        <v>30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806.45</v>
      </c>
      <c r="AK696">
        <v>0</v>
      </c>
      <c r="AL696">
        <v>806.45</v>
      </c>
      <c r="AM696">
        <v>0</v>
      </c>
      <c r="AN696">
        <v>0</v>
      </c>
      <c r="AO696">
        <v>0</v>
      </c>
    </row>
    <row r="697" spans="1:41">
      <c r="A697">
        <v>696</v>
      </c>
      <c r="B697" s="42">
        <v>45960</v>
      </c>
      <c r="C697" t="str">
        <v>HINJEWADI</v>
      </c>
      <c r="D697" t="str">
        <v>SLK1</v>
      </c>
      <c r="E697" t="str">
        <v>SHADOWFAX TECHNOLOGIES PRIVATE LIMITED</v>
      </c>
      <c r="F697" t="str">
        <v>MH14KQ4401</v>
      </c>
      <c r="G697" t="str">
        <v>ACE</v>
      </c>
      <c r="H697" t="str">
        <v>CNG</v>
      </c>
      <c r="I697">
        <v>4</v>
      </c>
      <c r="J697">
        <v>8</v>
      </c>
      <c r="K697">
        <v>25000</v>
      </c>
      <c r="L697">
        <v>1000</v>
      </c>
      <c r="M697">
        <v>55</v>
      </c>
      <c r="N697">
        <v>31</v>
      </c>
      <c r="O697" t="str">
        <v>PUN01 NC Cluster 68</v>
      </c>
      <c r="P697">
        <v>0</v>
      </c>
      <c r="Q697">
        <v>0.12430555555555556</v>
      </c>
      <c r="R697">
        <v>0.15597222222222221</v>
      </c>
      <c r="S697">
        <v>76849</v>
      </c>
      <c r="T697">
        <v>0.325162037037037</v>
      </c>
      <c r="U697">
        <v>0.32542824074074073</v>
      </c>
      <c r="V697">
        <v>76874</v>
      </c>
      <c r="W697">
        <v>0</v>
      </c>
      <c r="X697">
        <v>52</v>
      </c>
      <c r="Y697">
        <v>-52</v>
      </c>
      <c r="Z697">
        <v>25</v>
      </c>
      <c r="AA697">
        <v>25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806.45</v>
      </c>
      <c r="AK697">
        <v>0</v>
      </c>
      <c r="AL697">
        <v>806.45</v>
      </c>
      <c r="AM697">
        <v>0</v>
      </c>
      <c r="AN697">
        <v>0</v>
      </c>
      <c r="AO697">
        <v>0</v>
      </c>
    </row>
    <row r="698" spans="1:41">
      <c r="A698">
        <v>697</v>
      </c>
      <c r="B698" s="42">
        <v>45960</v>
      </c>
      <c r="C698" t="str">
        <v>HINJEWADI</v>
      </c>
      <c r="D698" t="str">
        <v>SLK1</v>
      </c>
      <c r="E698" t="str">
        <v>SHADOWFAX TECHNOLOGIES PRIVATE LIMITED</v>
      </c>
      <c r="F698" t="str">
        <v>MH14LB4598</v>
      </c>
      <c r="G698" t="str">
        <v>ACE</v>
      </c>
      <c r="H698" t="str">
        <v>CNG</v>
      </c>
      <c r="I698">
        <v>4</v>
      </c>
      <c r="J698">
        <v>8</v>
      </c>
      <c r="K698">
        <v>25000</v>
      </c>
      <c r="L698">
        <v>1000</v>
      </c>
      <c r="M698">
        <v>55</v>
      </c>
      <c r="N698">
        <v>31</v>
      </c>
      <c r="O698" t="str">
        <v>PUN01 NC Cluster 93</v>
      </c>
      <c r="P698">
        <v>0</v>
      </c>
      <c r="Q698">
        <v>4.3750000000000004E-2</v>
      </c>
      <c r="R698">
        <v>0.15489583333333332</v>
      </c>
      <c r="S698">
        <v>66708</v>
      </c>
      <c r="T698">
        <v>0.32787037037037037</v>
      </c>
      <c r="U698">
        <v>0.32793981481481482</v>
      </c>
      <c r="V698">
        <v>66725</v>
      </c>
      <c r="W698">
        <v>25</v>
      </c>
      <c r="X698">
        <v>25</v>
      </c>
      <c r="Y698">
        <v>0</v>
      </c>
      <c r="Z698">
        <v>17</v>
      </c>
      <c r="AA698">
        <v>17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806.45</v>
      </c>
      <c r="AK698">
        <v>0</v>
      </c>
      <c r="AL698">
        <v>806.45</v>
      </c>
      <c r="AM698">
        <v>0</v>
      </c>
      <c r="AN698">
        <v>0</v>
      </c>
      <c r="AO698">
        <v>0</v>
      </c>
    </row>
    <row r="699" spans="1:41">
      <c r="A699">
        <v>698</v>
      </c>
      <c r="B699" s="42">
        <v>45960</v>
      </c>
      <c r="C699" t="str">
        <v>HINJEWADI</v>
      </c>
      <c r="D699" t="str">
        <v>SLK1</v>
      </c>
      <c r="E699" t="str">
        <v>SHADOWFAX TECHNOLOGIES PRIVATE LIMITED</v>
      </c>
      <c r="F699" t="str">
        <v>MH14LB5906</v>
      </c>
      <c r="G699" t="str">
        <v>ACE</v>
      </c>
      <c r="H699" t="str">
        <v>CNG</v>
      </c>
      <c r="I699">
        <v>4</v>
      </c>
      <c r="J699">
        <v>8</v>
      </c>
      <c r="K699">
        <v>25000</v>
      </c>
      <c r="L699">
        <v>1000</v>
      </c>
      <c r="M699">
        <v>55</v>
      </c>
      <c r="N699">
        <v>31</v>
      </c>
      <c r="O699" t="str">
        <v>PUN01 NC Cluster 97</v>
      </c>
      <c r="P699">
        <v>0</v>
      </c>
      <c r="Q699">
        <v>8.1250000000000003E-2</v>
      </c>
      <c r="R699">
        <v>0.16142361111111111</v>
      </c>
      <c r="S699">
        <v>45717</v>
      </c>
      <c r="T699">
        <v>0.30143518518518519</v>
      </c>
      <c r="U699">
        <v>0.30150462962962959</v>
      </c>
      <c r="V699">
        <v>45745</v>
      </c>
      <c r="W699">
        <v>23</v>
      </c>
      <c r="X699">
        <v>23</v>
      </c>
      <c r="Y699">
        <v>0</v>
      </c>
      <c r="Z699">
        <v>28</v>
      </c>
      <c r="AA699">
        <v>28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806.45</v>
      </c>
      <c r="AK699">
        <v>0</v>
      </c>
      <c r="AL699">
        <v>806.45</v>
      </c>
      <c r="AM699">
        <v>0</v>
      </c>
      <c r="AN699">
        <v>0</v>
      </c>
      <c r="AO699">
        <v>0</v>
      </c>
    </row>
    <row r="700" spans="1:41">
      <c r="A700">
        <v>699</v>
      </c>
      <c r="B700" s="42">
        <v>45960</v>
      </c>
      <c r="C700" t="str">
        <v>HINJEWADI</v>
      </c>
      <c r="D700" t="str">
        <v>SLK1</v>
      </c>
      <c r="E700" t="str">
        <v>SHADOWFAX TECHNOLOGIES PRIVATE LIMITED</v>
      </c>
      <c r="F700" t="str">
        <v>MH14LB6751</v>
      </c>
      <c r="G700" t="str">
        <v>ACE</v>
      </c>
      <c r="H700" t="str">
        <v>CNG</v>
      </c>
      <c r="I700">
        <v>4</v>
      </c>
      <c r="J700">
        <v>8</v>
      </c>
      <c r="K700">
        <v>25000</v>
      </c>
      <c r="L700">
        <v>1000</v>
      </c>
      <c r="M700">
        <v>55</v>
      </c>
      <c r="N700">
        <v>31</v>
      </c>
      <c r="O700" t="str">
        <v>PUN01 NC Cluster 36</v>
      </c>
      <c r="P700">
        <v>0</v>
      </c>
      <c r="Q700">
        <v>4.6527777777777779E-2</v>
      </c>
      <c r="R700">
        <v>0.1527199074074074</v>
      </c>
      <c r="S700">
        <v>86097</v>
      </c>
      <c r="T700">
        <v>0.33083333333333331</v>
      </c>
      <c r="U700">
        <v>0.33089120370370367</v>
      </c>
      <c r="V700">
        <v>86114</v>
      </c>
      <c r="W700">
        <v>35</v>
      </c>
      <c r="X700">
        <v>35</v>
      </c>
      <c r="Y700">
        <v>0</v>
      </c>
      <c r="Z700">
        <v>17</v>
      </c>
      <c r="AA700">
        <v>17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806.45</v>
      </c>
      <c r="AK700">
        <v>0</v>
      </c>
      <c r="AL700">
        <v>806.45</v>
      </c>
      <c r="AM700">
        <v>0</v>
      </c>
      <c r="AN700">
        <v>0</v>
      </c>
      <c r="AO700">
        <v>0</v>
      </c>
    </row>
    <row r="701" spans="1:41">
      <c r="A701">
        <v>700</v>
      </c>
      <c r="B701" s="42">
        <v>45960</v>
      </c>
      <c r="C701" t="str">
        <v>HINJEWADI</v>
      </c>
      <c r="D701" t="str">
        <v>SLK1</v>
      </c>
      <c r="E701" t="str">
        <v>SHADOWFAX TECHNOLOGIES PRIVATE LIMITED</v>
      </c>
      <c r="F701" t="str">
        <v>MH14LL6836</v>
      </c>
      <c r="G701" t="str">
        <v>ACE</v>
      </c>
      <c r="H701" t="str">
        <v>CNG</v>
      </c>
      <c r="I701">
        <v>6</v>
      </c>
      <c r="J701">
        <v>8</v>
      </c>
      <c r="K701">
        <v>33000</v>
      </c>
      <c r="L701">
        <v>2000</v>
      </c>
      <c r="M701">
        <v>55</v>
      </c>
      <c r="N701">
        <v>31</v>
      </c>
      <c r="O701" t="str">
        <v>PUN01 NC Cluster 303</v>
      </c>
      <c r="P701">
        <v>0</v>
      </c>
      <c r="Q701">
        <v>7.9861111111111105E-2</v>
      </c>
      <c r="R701">
        <v>0.15599537037037037</v>
      </c>
      <c r="S701">
        <v>35510</v>
      </c>
      <c r="T701">
        <v>0.31504629629629627</v>
      </c>
      <c r="U701">
        <v>0.31589120370370372</v>
      </c>
      <c r="V701">
        <v>35578</v>
      </c>
      <c r="W701">
        <v>30</v>
      </c>
      <c r="X701">
        <v>30</v>
      </c>
      <c r="Y701">
        <v>0</v>
      </c>
      <c r="Z701">
        <v>68</v>
      </c>
      <c r="AA701">
        <v>68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1064.52</v>
      </c>
      <c r="AK701">
        <v>0</v>
      </c>
      <c r="AL701">
        <v>1064.52</v>
      </c>
      <c r="AM701">
        <v>0</v>
      </c>
      <c r="AN701">
        <v>0</v>
      </c>
      <c r="AO701">
        <v>0</v>
      </c>
    </row>
    <row r="702" spans="1:41">
      <c r="A702">
        <v>701</v>
      </c>
      <c r="B702" s="42">
        <v>45960</v>
      </c>
      <c r="C702" t="str">
        <v>HINJEWADI</v>
      </c>
      <c r="D702" t="str">
        <v>SLK1</v>
      </c>
      <c r="E702" t="str">
        <v>SHADOWFAX TECHNOLOGIES PRIVATE LIMITED</v>
      </c>
      <c r="F702" t="str">
        <v>MH14LX6360</v>
      </c>
      <c r="G702" t="str">
        <v>ACE</v>
      </c>
      <c r="H702" t="str">
        <v>CNG</v>
      </c>
      <c r="I702">
        <v>4</v>
      </c>
      <c r="J702">
        <v>8</v>
      </c>
      <c r="K702">
        <v>25000</v>
      </c>
      <c r="L702">
        <v>1000</v>
      </c>
      <c r="M702">
        <v>55</v>
      </c>
      <c r="N702">
        <v>31</v>
      </c>
      <c r="O702" t="str">
        <v>PUN01 NC Cluster 42</v>
      </c>
      <c r="P702">
        <v>0</v>
      </c>
      <c r="Q702">
        <v>4.7222222222222221E-2</v>
      </c>
      <c r="R702">
        <v>0.15344907407407407</v>
      </c>
      <c r="S702">
        <v>40133</v>
      </c>
      <c r="T702">
        <v>0.34378472222222217</v>
      </c>
      <c r="U702">
        <v>0.34387731481481482</v>
      </c>
      <c r="V702">
        <v>40146</v>
      </c>
      <c r="W702">
        <v>0</v>
      </c>
      <c r="X702">
        <v>47</v>
      </c>
      <c r="Y702">
        <v>-47</v>
      </c>
      <c r="Z702">
        <v>13</v>
      </c>
      <c r="AA702">
        <v>13</v>
      </c>
      <c r="AB702">
        <v>0</v>
      </c>
      <c r="AC702">
        <v>0</v>
      </c>
      <c r="AD702">
        <v>1</v>
      </c>
      <c r="AE702">
        <v>150</v>
      </c>
      <c r="AF702">
        <v>0</v>
      </c>
      <c r="AG702">
        <v>0</v>
      </c>
      <c r="AH702">
        <v>0</v>
      </c>
      <c r="AI702">
        <v>0</v>
      </c>
      <c r="AJ702">
        <v>956.45</v>
      </c>
      <c r="AK702">
        <v>0</v>
      </c>
      <c r="AL702">
        <v>956.45</v>
      </c>
      <c r="AM702">
        <v>0</v>
      </c>
      <c r="AN702">
        <v>0</v>
      </c>
      <c r="AO702">
        <v>0</v>
      </c>
    </row>
    <row r="703" spans="1:41">
      <c r="A703">
        <v>702</v>
      </c>
      <c r="B703" s="42">
        <v>45960</v>
      </c>
      <c r="C703" t="str">
        <v>HINJEWADI</v>
      </c>
      <c r="D703" t="str">
        <v>SLK1</v>
      </c>
      <c r="E703" t="str">
        <v>SHADOWFAX TECHNOLOGIES PRIVATE LIMITED</v>
      </c>
      <c r="F703" t="str">
        <v>MH14MH6374</v>
      </c>
      <c r="G703" t="str">
        <v>ACE</v>
      </c>
      <c r="H703" t="str">
        <v>CNG</v>
      </c>
      <c r="I703">
        <v>4</v>
      </c>
      <c r="J703">
        <v>8</v>
      </c>
      <c r="K703">
        <v>25000</v>
      </c>
      <c r="L703">
        <v>1000</v>
      </c>
      <c r="M703">
        <v>55</v>
      </c>
      <c r="N703">
        <v>31</v>
      </c>
      <c r="O703" t="str">
        <v>PUN01 NC Cluster 201</v>
      </c>
      <c r="P703">
        <v>0</v>
      </c>
      <c r="Q703">
        <v>4.7916666666666663E-2</v>
      </c>
      <c r="R703">
        <v>0.14881944444444445</v>
      </c>
      <c r="S703">
        <v>8932</v>
      </c>
      <c r="T703">
        <v>0.39467592592592587</v>
      </c>
      <c r="U703">
        <v>0.39474537037037033</v>
      </c>
      <c r="V703">
        <v>8961</v>
      </c>
      <c r="W703">
        <v>33</v>
      </c>
      <c r="X703">
        <v>33</v>
      </c>
      <c r="Y703">
        <v>0</v>
      </c>
      <c r="Z703">
        <v>29</v>
      </c>
      <c r="AA703">
        <v>29</v>
      </c>
      <c r="AB703">
        <v>0</v>
      </c>
      <c r="AC703">
        <v>0</v>
      </c>
      <c r="AD703">
        <v>2</v>
      </c>
      <c r="AE703">
        <v>300</v>
      </c>
      <c r="AF703">
        <v>0</v>
      </c>
      <c r="AG703">
        <v>0</v>
      </c>
      <c r="AH703">
        <v>0</v>
      </c>
      <c r="AI703">
        <v>0</v>
      </c>
      <c r="AJ703">
        <v>1106.45</v>
      </c>
      <c r="AK703">
        <v>0</v>
      </c>
      <c r="AL703">
        <v>1106.45</v>
      </c>
      <c r="AM703">
        <v>0</v>
      </c>
      <c r="AN703">
        <v>0</v>
      </c>
      <c r="AO703">
        <v>0</v>
      </c>
    </row>
    <row r="704" spans="1:41">
      <c r="A704">
        <v>703</v>
      </c>
      <c r="B704" s="42">
        <v>45960</v>
      </c>
      <c r="C704" t="str">
        <v>HINJEWADI</v>
      </c>
      <c r="D704" t="str">
        <v>SLK1</v>
      </c>
      <c r="E704" t="str">
        <v>SHADOWFAX TECHNOLOGIES PRIVATE LIMITED</v>
      </c>
      <c r="F704" t="str">
        <v>MH14MH8276</v>
      </c>
      <c r="G704" t="str">
        <v>ACE</v>
      </c>
      <c r="H704" t="str">
        <v>CNG</v>
      </c>
      <c r="I704">
        <v>4</v>
      </c>
      <c r="J704">
        <v>8</v>
      </c>
      <c r="K704">
        <v>25000</v>
      </c>
      <c r="L704">
        <v>1000</v>
      </c>
      <c r="M704">
        <v>55</v>
      </c>
      <c r="N704">
        <v>31</v>
      </c>
      <c r="O704" t="str">
        <v>PUN01 NC Cluster 38</v>
      </c>
      <c r="P704">
        <v>0</v>
      </c>
      <c r="Q704">
        <v>4.7222222222222221E-2</v>
      </c>
      <c r="R704">
        <v>0.15291666666666667</v>
      </c>
      <c r="S704">
        <v>6698</v>
      </c>
      <c r="T704">
        <v>0.34221064814814817</v>
      </c>
      <c r="U704">
        <v>0.34228009259259262</v>
      </c>
      <c r="V704">
        <v>6714</v>
      </c>
      <c r="W704">
        <v>50</v>
      </c>
      <c r="X704">
        <v>50</v>
      </c>
      <c r="Y704">
        <v>0</v>
      </c>
      <c r="Z704">
        <v>16</v>
      </c>
      <c r="AA704">
        <v>16</v>
      </c>
      <c r="AB704">
        <v>0</v>
      </c>
      <c r="AC704">
        <v>0</v>
      </c>
      <c r="AD704">
        <v>1</v>
      </c>
      <c r="AE704">
        <v>150</v>
      </c>
      <c r="AF704">
        <v>0</v>
      </c>
      <c r="AG704">
        <v>0</v>
      </c>
      <c r="AH704">
        <v>0</v>
      </c>
      <c r="AI704">
        <v>0</v>
      </c>
      <c r="AJ704">
        <v>956.45</v>
      </c>
      <c r="AK704">
        <v>0</v>
      </c>
      <c r="AL704">
        <v>956.45</v>
      </c>
      <c r="AM704">
        <v>0</v>
      </c>
      <c r="AN704">
        <v>0</v>
      </c>
      <c r="AO704">
        <v>0</v>
      </c>
    </row>
    <row r="705" spans="1:41">
      <c r="A705">
        <v>704</v>
      </c>
      <c r="B705" s="42">
        <v>45960</v>
      </c>
      <c r="C705" t="str">
        <v>HINJEWADI</v>
      </c>
      <c r="D705" t="str">
        <v>SLK1</v>
      </c>
      <c r="E705" t="str">
        <v>SHADOWFAX TECHNOLOGIES PRIVATE LIMITED</v>
      </c>
      <c r="F705" t="str">
        <v>MH20GC8804</v>
      </c>
      <c r="G705" t="str">
        <v>ACE</v>
      </c>
      <c r="H705" t="str">
        <v>CNG</v>
      </c>
      <c r="I705">
        <v>4</v>
      </c>
      <c r="J705">
        <v>8</v>
      </c>
      <c r="K705">
        <v>25000</v>
      </c>
      <c r="L705">
        <v>1000</v>
      </c>
      <c r="M705">
        <v>55</v>
      </c>
      <c r="N705">
        <v>31</v>
      </c>
      <c r="O705" t="str">
        <v>PUN01 NC Cluster 126</v>
      </c>
      <c r="P705">
        <v>0</v>
      </c>
      <c r="Q705">
        <v>0.10208333333333335</v>
      </c>
      <c r="R705">
        <v>0.16071759259259258</v>
      </c>
      <c r="S705">
        <v>42540</v>
      </c>
      <c r="T705">
        <v>0.31112268518518521</v>
      </c>
      <c r="U705">
        <v>0.31157407407407406</v>
      </c>
      <c r="V705">
        <v>42574</v>
      </c>
      <c r="W705">
        <v>30</v>
      </c>
      <c r="X705">
        <v>30</v>
      </c>
      <c r="Y705">
        <v>0</v>
      </c>
      <c r="Z705">
        <v>34</v>
      </c>
      <c r="AA705">
        <v>34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806.45</v>
      </c>
      <c r="AK705">
        <v>0</v>
      </c>
      <c r="AL705">
        <v>806.45</v>
      </c>
      <c r="AM705">
        <v>0</v>
      </c>
      <c r="AN705">
        <v>0</v>
      </c>
      <c r="AO705">
        <v>0</v>
      </c>
    </row>
    <row r="706" spans="1:41">
      <c r="A706">
        <v>705</v>
      </c>
      <c r="B706" s="42">
        <v>45960</v>
      </c>
      <c r="C706" t="str">
        <v>HINJEWADI</v>
      </c>
      <c r="D706" t="str">
        <v>SLK1</v>
      </c>
      <c r="E706" t="str">
        <v>SHADOWFAX TECHNOLOGIES PRIVATE LIMITED</v>
      </c>
      <c r="F706" t="str">
        <v>MH12YQ2365</v>
      </c>
      <c r="G706" t="str">
        <v>BOLERO</v>
      </c>
      <c r="H706" t="str">
        <v>DIESEL</v>
      </c>
      <c r="I706">
        <v>4</v>
      </c>
      <c r="J706">
        <v>10</v>
      </c>
      <c r="K706">
        <v>29000</v>
      </c>
      <c r="L706">
        <v>1000</v>
      </c>
      <c r="M706">
        <v>55</v>
      </c>
      <c r="N706">
        <v>31</v>
      </c>
      <c r="O706" t="str">
        <v>PUN01 NC Cluster 111</v>
      </c>
      <c r="P706">
        <v>0</v>
      </c>
      <c r="Q706">
        <v>0.11666666666666665</v>
      </c>
      <c r="R706">
        <v>0.15518518518518518</v>
      </c>
      <c r="S706">
        <v>285</v>
      </c>
      <c r="T706">
        <v>0.32364583333333335</v>
      </c>
      <c r="U706">
        <v>0.32395833333333335</v>
      </c>
      <c r="V706">
        <v>316</v>
      </c>
      <c r="W706">
        <v>49</v>
      </c>
      <c r="X706">
        <v>49</v>
      </c>
      <c r="Y706">
        <v>0</v>
      </c>
      <c r="Z706">
        <v>31</v>
      </c>
      <c r="AA706">
        <v>31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935.48</v>
      </c>
      <c r="AK706">
        <v>0</v>
      </c>
      <c r="AL706">
        <v>935.48</v>
      </c>
      <c r="AM706">
        <v>0</v>
      </c>
      <c r="AN706">
        <v>0</v>
      </c>
      <c r="AO706">
        <v>0</v>
      </c>
    </row>
    <row r="707" spans="1:41">
      <c r="A707">
        <v>706</v>
      </c>
      <c r="B707" s="42">
        <v>45960</v>
      </c>
      <c r="C707" t="str">
        <v>HINJEWADI</v>
      </c>
      <c r="D707" t="str">
        <v>SLK1</v>
      </c>
      <c r="E707" t="str">
        <v>SHADOWFAX TECHNOLOGIES PRIVATE LIMITED</v>
      </c>
      <c r="F707" t="str">
        <v>MH14LL4513</v>
      </c>
      <c r="G707" t="str">
        <v>BOLERO</v>
      </c>
      <c r="H707" t="str">
        <v>DIESEL</v>
      </c>
      <c r="I707">
        <v>4</v>
      </c>
      <c r="J707">
        <v>10</v>
      </c>
      <c r="K707">
        <v>29000</v>
      </c>
      <c r="L707">
        <v>1000</v>
      </c>
      <c r="M707">
        <v>55</v>
      </c>
      <c r="N707">
        <v>31</v>
      </c>
      <c r="O707" t="str">
        <v>PUN01 NC Cluster 73</v>
      </c>
      <c r="P707">
        <v>0</v>
      </c>
      <c r="Q707">
        <v>0.12152777777777778</v>
      </c>
      <c r="R707">
        <v>0.15311342592592592</v>
      </c>
      <c r="S707">
        <v>33307</v>
      </c>
      <c r="T707">
        <v>0.47814814814814816</v>
      </c>
      <c r="U707">
        <v>0.47826388888888888</v>
      </c>
      <c r="V707">
        <v>33321</v>
      </c>
      <c r="W707">
        <v>25</v>
      </c>
      <c r="X707">
        <v>42</v>
      </c>
      <c r="Y707">
        <v>-17</v>
      </c>
      <c r="Z707">
        <v>14</v>
      </c>
      <c r="AA707">
        <v>14</v>
      </c>
      <c r="AB707">
        <v>0</v>
      </c>
      <c r="AC707">
        <v>0</v>
      </c>
      <c r="AD707">
        <v>4</v>
      </c>
      <c r="AE707">
        <v>600</v>
      </c>
      <c r="AF707">
        <v>0</v>
      </c>
      <c r="AG707">
        <v>0</v>
      </c>
      <c r="AH707">
        <v>0</v>
      </c>
      <c r="AI707">
        <v>0</v>
      </c>
      <c r="AJ707">
        <v>1535.48</v>
      </c>
      <c r="AK707">
        <v>0</v>
      </c>
      <c r="AL707">
        <v>1535.48</v>
      </c>
      <c r="AM707">
        <v>0</v>
      </c>
      <c r="AN707">
        <v>0</v>
      </c>
      <c r="AO707">
        <v>0</v>
      </c>
    </row>
    <row r="708" spans="1:41">
      <c r="A708">
        <v>707</v>
      </c>
      <c r="B708" s="42">
        <v>45960</v>
      </c>
      <c r="C708" t="str">
        <v>HINJEWADI</v>
      </c>
      <c r="D708" t="str">
        <v>SLK1</v>
      </c>
      <c r="E708" t="str">
        <v>SHADOWFAX TECHNOLOGIES PRIVATE LIMITED</v>
      </c>
      <c r="F708" t="str">
        <v>MH14LX4839</v>
      </c>
      <c r="G708" t="str">
        <v>BOLERO</v>
      </c>
      <c r="H708" t="str">
        <v>DIESEL</v>
      </c>
      <c r="I708">
        <v>4</v>
      </c>
      <c r="J708">
        <v>10</v>
      </c>
      <c r="K708">
        <v>29000</v>
      </c>
      <c r="L708">
        <v>1000</v>
      </c>
      <c r="M708">
        <v>55</v>
      </c>
      <c r="N708">
        <v>31</v>
      </c>
      <c r="O708" t="str">
        <v>PUN01 NC Cluster 85</v>
      </c>
      <c r="P708">
        <v>0</v>
      </c>
      <c r="Q708">
        <v>7.6388888888888895E-2</v>
      </c>
      <c r="R708">
        <v>0.15531249999999999</v>
      </c>
      <c r="S708">
        <v>40248</v>
      </c>
      <c r="T708">
        <v>0.3178125</v>
      </c>
      <c r="U708">
        <v>0.31825231481481481</v>
      </c>
      <c r="V708">
        <v>40267</v>
      </c>
      <c r="W708">
        <v>61</v>
      </c>
      <c r="X708">
        <v>61</v>
      </c>
      <c r="Y708">
        <v>0</v>
      </c>
      <c r="Z708">
        <v>19</v>
      </c>
      <c r="AA708">
        <v>19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935.48</v>
      </c>
      <c r="AK708">
        <v>0</v>
      </c>
      <c r="AL708">
        <v>935.48</v>
      </c>
      <c r="AM708">
        <v>0</v>
      </c>
      <c r="AN708">
        <v>0</v>
      </c>
      <c r="AO708">
        <v>0</v>
      </c>
    </row>
    <row r="709" spans="1:41">
      <c r="A709">
        <v>708</v>
      </c>
      <c r="B709" s="42">
        <v>45960</v>
      </c>
      <c r="C709" t="str">
        <v>HINJEWADI</v>
      </c>
      <c r="D709" t="str">
        <v>SLK1</v>
      </c>
      <c r="E709" t="str">
        <v>SHADOWFAX TECHNOLOGIES PRIVATE LIMITED</v>
      </c>
      <c r="F709" t="str">
        <v>MH14MH7322</v>
      </c>
      <c r="G709" t="str">
        <v>BOLERO</v>
      </c>
      <c r="H709" t="str">
        <v>DIESEL</v>
      </c>
      <c r="I709">
        <v>4</v>
      </c>
      <c r="J709">
        <v>10</v>
      </c>
      <c r="K709">
        <v>29000</v>
      </c>
      <c r="L709">
        <v>1000</v>
      </c>
      <c r="M709">
        <v>55</v>
      </c>
      <c r="N709">
        <v>31</v>
      </c>
      <c r="O709" t="str">
        <v>PUN01 NC Cluster 134</v>
      </c>
      <c r="P709">
        <v>0</v>
      </c>
      <c r="Q709">
        <v>9.5138888888888884E-2</v>
      </c>
      <c r="R709">
        <v>0.15732638888888889</v>
      </c>
      <c r="S709">
        <v>4179</v>
      </c>
      <c r="T709">
        <v>0.31368055555555557</v>
      </c>
      <c r="U709">
        <v>0.31388888888888888</v>
      </c>
      <c r="V709">
        <v>4214</v>
      </c>
      <c r="W709">
        <v>75</v>
      </c>
      <c r="X709">
        <v>75</v>
      </c>
      <c r="Y709">
        <v>0</v>
      </c>
      <c r="Z709">
        <v>35</v>
      </c>
      <c r="AA709">
        <v>35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935.48</v>
      </c>
      <c r="AK709">
        <v>0</v>
      </c>
      <c r="AL709">
        <v>935.48</v>
      </c>
      <c r="AM709">
        <v>0</v>
      </c>
      <c r="AN709">
        <v>0</v>
      </c>
      <c r="AO709">
        <v>0</v>
      </c>
    </row>
    <row r="710" spans="1:41">
      <c r="A710">
        <v>709</v>
      </c>
      <c r="B710" s="42">
        <v>45960</v>
      </c>
      <c r="C710" t="str">
        <v>HINJEWADI</v>
      </c>
      <c r="D710" t="str">
        <v>SLK1</v>
      </c>
      <c r="E710" t="str">
        <v>SHADOWFAX TECHNOLOGIES PRIVATE LIMITED</v>
      </c>
      <c r="F710" t="str">
        <v>MH16CD7321</v>
      </c>
      <c r="G710" t="str">
        <v>BOLERO</v>
      </c>
      <c r="H710" t="str">
        <v>DIESEL</v>
      </c>
      <c r="I710">
        <v>4</v>
      </c>
      <c r="J710">
        <v>10</v>
      </c>
      <c r="K710">
        <v>29000</v>
      </c>
      <c r="L710">
        <v>1000</v>
      </c>
      <c r="M710">
        <v>55</v>
      </c>
      <c r="N710">
        <v>31</v>
      </c>
      <c r="O710" t="str">
        <v>PUN01 NC Cluster 141</v>
      </c>
      <c r="P710">
        <v>0</v>
      </c>
      <c r="Q710">
        <v>8.7500000000000008E-2</v>
      </c>
      <c r="R710">
        <v>0.15671296296296297</v>
      </c>
      <c r="S710">
        <v>140027</v>
      </c>
      <c r="T710">
        <v>0.32924768518518516</v>
      </c>
      <c r="U710">
        <v>0.32937500000000003</v>
      </c>
      <c r="V710">
        <v>140048</v>
      </c>
      <c r="W710">
        <v>59</v>
      </c>
      <c r="X710">
        <v>59</v>
      </c>
      <c r="Y710">
        <v>0</v>
      </c>
      <c r="Z710">
        <v>21</v>
      </c>
      <c r="AA710">
        <v>21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935.48</v>
      </c>
      <c r="AK710">
        <v>0</v>
      </c>
      <c r="AL710">
        <v>935.48</v>
      </c>
      <c r="AM710">
        <v>0</v>
      </c>
      <c r="AN710">
        <v>0</v>
      </c>
      <c r="AO710">
        <v>0</v>
      </c>
    </row>
    <row r="711" spans="1:41">
      <c r="A711">
        <v>710</v>
      </c>
      <c r="B711" s="42">
        <v>45961</v>
      </c>
      <c r="C711" t="str">
        <v>HINJEWADI</v>
      </c>
      <c r="D711" t="str">
        <v>SLK1</v>
      </c>
      <c r="E711" t="str">
        <v>SHADOWFAX TECHNOLOGIES PRIVATE LIMITED</v>
      </c>
      <c r="F711" t="str">
        <v>MH03AH8989</v>
      </c>
      <c r="G711" t="str">
        <v>ACE</v>
      </c>
      <c r="H711" t="str">
        <v>CNG</v>
      </c>
      <c r="I711">
        <v>4</v>
      </c>
      <c r="J711">
        <v>8</v>
      </c>
      <c r="K711">
        <v>25000</v>
      </c>
      <c r="L711">
        <v>1000</v>
      </c>
      <c r="M711">
        <v>55</v>
      </c>
      <c r="N711">
        <v>31</v>
      </c>
      <c r="O711" t="str">
        <v>PUN01 NC Cluster 1</v>
      </c>
      <c r="P711">
        <v>0</v>
      </c>
      <c r="Q711">
        <v>3.9583333333333331E-2</v>
      </c>
      <c r="R711">
        <v>0.15392361111111111</v>
      </c>
      <c r="S711">
        <v>58631</v>
      </c>
      <c r="T711">
        <v>0.29343750000000002</v>
      </c>
      <c r="U711">
        <v>0.29353009259259261</v>
      </c>
      <c r="V711">
        <v>58639</v>
      </c>
      <c r="W711">
        <v>36</v>
      </c>
      <c r="X711">
        <v>36</v>
      </c>
      <c r="Y711">
        <v>0</v>
      </c>
      <c r="Z711">
        <v>8</v>
      </c>
      <c r="AA711">
        <v>8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806.45</v>
      </c>
      <c r="AK711">
        <v>0</v>
      </c>
      <c r="AL711">
        <v>806.45</v>
      </c>
      <c r="AM711">
        <v>0</v>
      </c>
      <c r="AN711">
        <v>0</v>
      </c>
      <c r="AO711">
        <v>0</v>
      </c>
    </row>
    <row r="712" spans="1:41">
      <c r="A712">
        <v>711</v>
      </c>
      <c r="B712" s="42">
        <v>45961</v>
      </c>
      <c r="C712" t="str">
        <v>HINJEWADI</v>
      </c>
      <c r="D712" t="str">
        <v>SLK1</v>
      </c>
      <c r="E712" t="str">
        <v>SHADOWFAX TECHNOLOGIES PRIVATE LIMITED</v>
      </c>
      <c r="F712" t="str">
        <v>MH12UM3063</v>
      </c>
      <c r="G712" t="str">
        <v>ACE</v>
      </c>
      <c r="H712" t="str">
        <v>CNG</v>
      </c>
      <c r="I712">
        <v>6</v>
      </c>
      <c r="J712">
        <v>8</v>
      </c>
      <c r="K712">
        <v>33000</v>
      </c>
      <c r="L712">
        <v>2000</v>
      </c>
      <c r="M712">
        <v>55</v>
      </c>
      <c r="N712">
        <v>31</v>
      </c>
      <c r="O712" t="str">
        <v>PUN01 NC Cluster 230</v>
      </c>
      <c r="P712">
        <v>0</v>
      </c>
      <c r="Q712">
        <v>5.6250000000000001E-2</v>
      </c>
      <c r="R712">
        <v>0.15129629629629629</v>
      </c>
      <c r="S712">
        <v>102390</v>
      </c>
      <c r="T712">
        <v>0.37206018518518519</v>
      </c>
      <c r="U712">
        <v>0.37223379629629627</v>
      </c>
      <c r="V712">
        <v>102417</v>
      </c>
      <c r="W712">
        <v>34</v>
      </c>
      <c r="X712">
        <v>46</v>
      </c>
      <c r="Y712">
        <v>-12</v>
      </c>
      <c r="Z712">
        <v>27</v>
      </c>
      <c r="AA712">
        <v>27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1064.52</v>
      </c>
      <c r="AK712">
        <v>0</v>
      </c>
      <c r="AL712">
        <v>1064.52</v>
      </c>
      <c r="AM712">
        <v>0</v>
      </c>
      <c r="AN712">
        <v>0</v>
      </c>
      <c r="AO712">
        <v>0</v>
      </c>
    </row>
    <row r="713" spans="1:41">
      <c r="A713">
        <v>712</v>
      </c>
      <c r="B713" s="42">
        <v>45961</v>
      </c>
      <c r="C713" t="str">
        <v>HINJEWADI</v>
      </c>
      <c r="D713" t="str">
        <v>SLK1</v>
      </c>
      <c r="E713" t="str">
        <v>SHADOWFAX TECHNOLOGIES PRIVATE LIMITED</v>
      </c>
      <c r="F713" t="str">
        <v>MH12VF3782</v>
      </c>
      <c r="G713" t="str">
        <v>ACE</v>
      </c>
      <c r="H713" t="str">
        <v>CNG</v>
      </c>
      <c r="I713">
        <v>4</v>
      </c>
      <c r="J713">
        <v>8</v>
      </c>
      <c r="K713">
        <v>25000</v>
      </c>
      <c r="L713">
        <v>1000</v>
      </c>
      <c r="M713">
        <v>55</v>
      </c>
      <c r="N713">
        <v>31</v>
      </c>
      <c r="O713" t="str">
        <v>PUN01 NC Cluster 5</v>
      </c>
      <c r="P713">
        <v>0</v>
      </c>
      <c r="Q713">
        <v>0.11597222222222221</v>
      </c>
      <c r="R713">
        <v>0.15574074074074074</v>
      </c>
      <c r="S713">
        <v>84681</v>
      </c>
      <c r="T713">
        <v>0.29311342592592593</v>
      </c>
      <c r="U713">
        <v>0.29322916666666665</v>
      </c>
      <c r="V713">
        <v>84694</v>
      </c>
      <c r="W713">
        <v>27</v>
      </c>
      <c r="X713">
        <v>27</v>
      </c>
      <c r="Y713">
        <v>0</v>
      </c>
      <c r="Z713">
        <v>13</v>
      </c>
      <c r="AA713">
        <v>13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806.45</v>
      </c>
      <c r="AK713">
        <v>0</v>
      </c>
      <c r="AL713">
        <v>806.45</v>
      </c>
      <c r="AM713">
        <v>0</v>
      </c>
      <c r="AN713">
        <v>0</v>
      </c>
      <c r="AO713">
        <v>0</v>
      </c>
    </row>
    <row r="714" spans="1:41">
      <c r="A714">
        <v>713</v>
      </c>
      <c r="B714" s="42">
        <v>45961</v>
      </c>
      <c r="C714" t="str">
        <v>HINJEWADI</v>
      </c>
      <c r="D714" t="str">
        <v>SLK1</v>
      </c>
      <c r="E714" t="str">
        <v>SHADOWFAX TECHNOLOGIES PRIVATE LIMITED</v>
      </c>
      <c r="F714" t="str">
        <v>MH12WX6236</v>
      </c>
      <c r="G714" t="str">
        <v>ACE</v>
      </c>
      <c r="H714" t="str">
        <v>CNG</v>
      </c>
      <c r="I714">
        <v>4</v>
      </c>
      <c r="J714">
        <v>8</v>
      </c>
      <c r="K714">
        <v>25000</v>
      </c>
      <c r="L714">
        <v>1000</v>
      </c>
      <c r="M714">
        <v>55</v>
      </c>
      <c r="N714">
        <v>31</v>
      </c>
      <c r="O714" t="str">
        <v>PUN01 NC Cluster 2</v>
      </c>
      <c r="P714">
        <v>0</v>
      </c>
      <c r="Q714">
        <v>4.5833333333333337E-2</v>
      </c>
      <c r="R714">
        <v>0.14608796296296298</v>
      </c>
      <c r="S714">
        <v>39868</v>
      </c>
      <c r="T714">
        <v>0.2928587962962963</v>
      </c>
      <c r="U714">
        <v>0.29296296296296298</v>
      </c>
      <c r="V714">
        <v>39877</v>
      </c>
      <c r="W714">
        <v>35</v>
      </c>
      <c r="X714">
        <v>37</v>
      </c>
      <c r="Y714">
        <v>-2</v>
      </c>
      <c r="Z714">
        <v>9</v>
      </c>
      <c r="AA714">
        <v>9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806.45</v>
      </c>
      <c r="AK714">
        <v>0</v>
      </c>
      <c r="AL714">
        <v>806.45</v>
      </c>
      <c r="AM714">
        <v>0</v>
      </c>
      <c r="AN714">
        <v>0</v>
      </c>
      <c r="AO714">
        <v>0</v>
      </c>
    </row>
    <row r="715" spans="1:41">
      <c r="A715">
        <v>714</v>
      </c>
      <c r="B715" s="42">
        <v>45961</v>
      </c>
      <c r="C715" t="str">
        <v>HINJEWADI</v>
      </c>
      <c r="D715" t="str">
        <v>SLK1</v>
      </c>
      <c r="E715" t="str">
        <v>SHADOWFAX TECHNOLOGIES PRIVATE LIMITED</v>
      </c>
      <c r="F715" t="str">
        <v>MH12XM2801</v>
      </c>
      <c r="G715" t="str">
        <v>ACE</v>
      </c>
      <c r="H715" t="str">
        <v>CNG</v>
      </c>
      <c r="I715">
        <v>4</v>
      </c>
      <c r="J715">
        <v>8</v>
      </c>
      <c r="K715">
        <v>25000</v>
      </c>
      <c r="L715">
        <v>1000</v>
      </c>
      <c r="M715">
        <v>55</v>
      </c>
      <c r="N715">
        <v>31</v>
      </c>
      <c r="O715" t="str">
        <v>PUN01 NC Cluster 39</v>
      </c>
      <c r="P715">
        <v>0</v>
      </c>
      <c r="Q715">
        <v>0.11458333333333333</v>
      </c>
      <c r="R715">
        <v>0.1617824074074074</v>
      </c>
      <c r="S715">
        <v>13419</v>
      </c>
      <c r="T715">
        <v>0.34061342592592592</v>
      </c>
      <c r="U715">
        <v>0.34069444444444441</v>
      </c>
      <c r="V715">
        <v>13435</v>
      </c>
      <c r="W715">
        <v>47</v>
      </c>
      <c r="X715">
        <v>47</v>
      </c>
      <c r="Y715">
        <v>0</v>
      </c>
      <c r="Z715">
        <v>16</v>
      </c>
      <c r="AA715">
        <v>16</v>
      </c>
      <c r="AB715">
        <v>0</v>
      </c>
      <c r="AC715">
        <v>0</v>
      </c>
      <c r="AD715">
        <v>1</v>
      </c>
      <c r="AE715">
        <v>150</v>
      </c>
      <c r="AF715">
        <v>0</v>
      </c>
      <c r="AG715">
        <v>0</v>
      </c>
      <c r="AH715">
        <v>0</v>
      </c>
      <c r="AI715">
        <v>0</v>
      </c>
      <c r="AJ715">
        <v>956.45</v>
      </c>
      <c r="AK715">
        <v>0</v>
      </c>
      <c r="AL715">
        <v>956.45</v>
      </c>
      <c r="AM715">
        <v>0</v>
      </c>
      <c r="AN715">
        <v>0</v>
      </c>
      <c r="AO715">
        <v>0</v>
      </c>
    </row>
    <row r="716" spans="1:41">
      <c r="A716">
        <v>715</v>
      </c>
      <c r="B716" s="42">
        <v>45961</v>
      </c>
      <c r="C716" t="str">
        <v>HINJEWADI</v>
      </c>
      <c r="D716" t="str">
        <v>SLK1</v>
      </c>
      <c r="E716" t="str">
        <v>SHADOWFAX TECHNOLOGIES PRIVATE LIMITED</v>
      </c>
      <c r="F716" t="str">
        <v>MH14CP4610</v>
      </c>
      <c r="G716" t="str">
        <v>ACE</v>
      </c>
      <c r="H716" t="str">
        <v>CNG</v>
      </c>
      <c r="I716">
        <v>4</v>
      </c>
      <c r="J716">
        <v>8</v>
      </c>
      <c r="K716">
        <v>25000</v>
      </c>
      <c r="L716">
        <v>1000</v>
      </c>
      <c r="M716">
        <v>55</v>
      </c>
      <c r="N716">
        <v>31</v>
      </c>
      <c r="O716" t="str">
        <v>PUN01 NC Cluster 87</v>
      </c>
      <c r="P716">
        <v>0</v>
      </c>
      <c r="Q716">
        <v>9.5833333333333326E-2</v>
      </c>
      <c r="R716">
        <v>0.15790509259259258</v>
      </c>
      <c r="S716">
        <v>145660</v>
      </c>
      <c r="T716">
        <v>0.2925462962962963</v>
      </c>
      <c r="U716">
        <v>0.29265046296296299</v>
      </c>
      <c r="V716">
        <v>145675</v>
      </c>
      <c r="W716">
        <v>31</v>
      </c>
      <c r="X716">
        <v>31</v>
      </c>
      <c r="Y716">
        <v>0</v>
      </c>
      <c r="Z716">
        <v>15</v>
      </c>
      <c r="AA716">
        <v>15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806.45</v>
      </c>
      <c r="AK716">
        <v>0</v>
      </c>
      <c r="AL716">
        <v>806.45</v>
      </c>
      <c r="AM716">
        <v>0</v>
      </c>
      <c r="AN716">
        <v>0</v>
      </c>
      <c r="AO716">
        <v>0</v>
      </c>
    </row>
    <row r="717" spans="1:41">
      <c r="A717">
        <v>716</v>
      </c>
      <c r="B717" s="42">
        <v>45961</v>
      </c>
      <c r="C717" t="str">
        <v>HINJEWADI</v>
      </c>
      <c r="D717" t="str">
        <v>SLK1</v>
      </c>
      <c r="E717" t="str">
        <v>SHADOWFAX TECHNOLOGIES PRIVATE LIMITED</v>
      </c>
      <c r="F717" t="str">
        <v>MH14EM3160</v>
      </c>
      <c r="G717" t="str">
        <v>ACE</v>
      </c>
      <c r="H717" t="str">
        <v>CNG</v>
      </c>
      <c r="I717">
        <v>4</v>
      </c>
      <c r="J717">
        <v>8</v>
      </c>
      <c r="K717">
        <v>25000</v>
      </c>
      <c r="L717">
        <v>1000</v>
      </c>
      <c r="M717">
        <v>55</v>
      </c>
      <c r="N717">
        <v>31</v>
      </c>
      <c r="O717" t="str">
        <v>PUN01 NC Cluster 13</v>
      </c>
      <c r="P717">
        <v>0</v>
      </c>
      <c r="Q717">
        <v>3.6805555555555557E-2</v>
      </c>
      <c r="R717">
        <v>0.15177083333333333</v>
      </c>
      <c r="S717">
        <v>166629</v>
      </c>
      <c r="T717">
        <v>0.33377314814814812</v>
      </c>
      <c r="U717">
        <v>0.33387731481481481</v>
      </c>
      <c r="V717">
        <v>166649</v>
      </c>
      <c r="W717">
        <v>22</v>
      </c>
      <c r="X717">
        <v>22</v>
      </c>
      <c r="Y717">
        <v>0</v>
      </c>
      <c r="Z717">
        <v>20</v>
      </c>
      <c r="AA717">
        <v>20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806.45</v>
      </c>
      <c r="AK717">
        <v>0</v>
      </c>
      <c r="AL717">
        <v>806.45</v>
      </c>
      <c r="AM717">
        <v>0</v>
      </c>
      <c r="AN717">
        <v>0</v>
      </c>
      <c r="AO717">
        <v>0</v>
      </c>
    </row>
    <row r="718" spans="1:41">
      <c r="A718">
        <v>717</v>
      </c>
      <c r="B718" s="42">
        <v>45961</v>
      </c>
      <c r="C718" t="str">
        <v>HINJEWADI</v>
      </c>
      <c r="D718" t="str">
        <v>SLK1</v>
      </c>
      <c r="E718" t="str">
        <v>SHADOWFAX TECHNOLOGIES PRIVATE LIMITED</v>
      </c>
      <c r="F718" t="str">
        <v>MH14JL3308</v>
      </c>
      <c r="G718" t="str">
        <v>ACE</v>
      </c>
      <c r="H718" t="str">
        <v>CNG</v>
      </c>
      <c r="I718">
        <v>4</v>
      </c>
      <c r="J718">
        <v>8</v>
      </c>
      <c r="K718">
        <v>25000</v>
      </c>
      <c r="L718">
        <v>1000</v>
      </c>
      <c r="M718">
        <v>55</v>
      </c>
      <c r="N718">
        <v>31</v>
      </c>
      <c r="O718" t="str">
        <v>PUN01 NC Cluster 12</v>
      </c>
      <c r="P718">
        <v>0</v>
      </c>
      <c r="Q718">
        <v>7.4305555555555555E-2</v>
      </c>
      <c r="R718">
        <v>0.15150462962962963</v>
      </c>
      <c r="S718">
        <v>117295</v>
      </c>
      <c r="T718">
        <v>0.33403935185185185</v>
      </c>
      <c r="U718">
        <v>0.33412037037037035</v>
      </c>
      <c r="V718">
        <v>117315</v>
      </c>
      <c r="W718">
        <v>61</v>
      </c>
      <c r="X718">
        <v>61</v>
      </c>
      <c r="Y718">
        <v>0</v>
      </c>
      <c r="Z718">
        <v>20</v>
      </c>
      <c r="AA718">
        <v>20</v>
      </c>
      <c r="AB718">
        <v>0</v>
      </c>
      <c r="AC718">
        <v>0</v>
      </c>
      <c r="AD718">
        <v>1</v>
      </c>
      <c r="AE718">
        <v>150</v>
      </c>
      <c r="AF718">
        <v>0</v>
      </c>
      <c r="AG718">
        <v>0</v>
      </c>
      <c r="AH718">
        <v>0</v>
      </c>
      <c r="AI718">
        <v>0</v>
      </c>
      <c r="AJ718">
        <v>956.45</v>
      </c>
      <c r="AK718">
        <v>0</v>
      </c>
      <c r="AL718">
        <v>956.45</v>
      </c>
      <c r="AM718">
        <v>0</v>
      </c>
      <c r="AN718">
        <v>0</v>
      </c>
      <c r="AO718">
        <v>0</v>
      </c>
    </row>
    <row r="719" spans="1:41">
      <c r="A719">
        <v>718</v>
      </c>
      <c r="B719" s="42">
        <v>45961</v>
      </c>
      <c r="C719" t="str">
        <v>HINJEWADI</v>
      </c>
      <c r="D719" t="str">
        <v>SLK1</v>
      </c>
      <c r="E719" t="str">
        <v>SHADOWFAX TECHNOLOGIES PRIVATE LIMITED</v>
      </c>
      <c r="F719" t="str">
        <v>MH14KA0766</v>
      </c>
      <c r="G719" t="str">
        <v>ACE</v>
      </c>
      <c r="H719" t="str">
        <v>CNG</v>
      </c>
      <c r="I719">
        <v>4</v>
      </c>
      <c r="J719">
        <v>8</v>
      </c>
      <c r="K719">
        <v>25000</v>
      </c>
      <c r="L719">
        <v>1000</v>
      </c>
      <c r="M719">
        <v>55</v>
      </c>
      <c r="N719">
        <v>31</v>
      </c>
      <c r="O719" t="str">
        <v>PUN01 NC Cluster 19</v>
      </c>
      <c r="P719">
        <v>0</v>
      </c>
      <c r="Q719">
        <v>3.7499999999999999E-2</v>
      </c>
      <c r="R719">
        <v>0.15266203703703704</v>
      </c>
      <c r="S719">
        <v>146956</v>
      </c>
      <c r="T719">
        <v>0.29366898148148152</v>
      </c>
      <c r="U719">
        <v>0.29381944444444447</v>
      </c>
      <c r="V719">
        <v>146980</v>
      </c>
      <c r="W719">
        <v>44</v>
      </c>
      <c r="X719">
        <v>44</v>
      </c>
      <c r="Y719">
        <v>0</v>
      </c>
      <c r="Z719">
        <v>24</v>
      </c>
      <c r="AA719">
        <v>24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806.45</v>
      </c>
      <c r="AK719">
        <v>0</v>
      </c>
      <c r="AL719">
        <v>806.45</v>
      </c>
      <c r="AM719">
        <v>0</v>
      </c>
      <c r="AN719">
        <v>0</v>
      </c>
      <c r="AO719">
        <v>0</v>
      </c>
    </row>
    <row r="720" spans="1:41">
      <c r="A720">
        <v>719</v>
      </c>
      <c r="B720" s="42">
        <v>45961</v>
      </c>
      <c r="C720" t="str">
        <v>HINJEWADI</v>
      </c>
      <c r="D720" t="str">
        <v>SLK1</v>
      </c>
      <c r="E720" t="str">
        <v>SHADOWFAX TECHNOLOGIES PRIVATE LIMITED</v>
      </c>
      <c r="F720" t="str">
        <v>MH14KA1228</v>
      </c>
      <c r="G720" t="str">
        <v>ACE</v>
      </c>
      <c r="H720" t="str">
        <v>CNG</v>
      </c>
      <c r="I720">
        <v>4</v>
      </c>
      <c r="J720">
        <v>8</v>
      </c>
      <c r="K720">
        <v>25000</v>
      </c>
      <c r="L720">
        <v>1000</v>
      </c>
      <c r="M720">
        <v>55</v>
      </c>
      <c r="N720">
        <v>31</v>
      </c>
      <c r="O720" t="str">
        <v>PUN01 NC Cluster 103</v>
      </c>
      <c r="P720">
        <v>0</v>
      </c>
      <c r="Q720">
        <v>0.12361111111111112</v>
      </c>
      <c r="R720">
        <v>0.15081018518518519</v>
      </c>
      <c r="S720">
        <v>160550</v>
      </c>
      <c r="T720">
        <v>0.30053240740740744</v>
      </c>
      <c r="U720">
        <v>0.30062499999999998</v>
      </c>
      <c r="V720">
        <v>160572</v>
      </c>
      <c r="W720">
        <v>24</v>
      </c>
      <c r="X720">
        <v>20</v>
      </c>
      <c r="Y720">
        <v>4</v>
      </c>
      <c r="Z720">
        <v>22</v>
      </c>
      <c r="AA720">
        <v>22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806.45</v>
      </c>
      <c r="AK720">
        <v>0</v>
      </c>
      <c r="AL720">
        <v>806.45</v>
      </c>
      <c r="AM720">
        <v>0</v>
      </c>
      <c r="AN720">
        <v>0</v>
      </c>
      <c r="AO720">
        <v>0</v>
      </c>
    </row>
    <row r="721" spans="1:41">
      <c r="A721">
        <v>720</v>
      </c>
      <c r="B721" s="42">
        <v>45961</v>
      </c>
      <c r="C721" t="str">
        <v>HINJEWADI</v>
      </c>
      <c r="D721" t="str">
        <v>SLK1</v>
      </c>
      <c r="E721" t="str">
        <v>SHADOWFAX TECHNOLOGIES PRIVATE LIMITED</v>
      </c>
      <c r="F721" t="str">
        <v>MH14KA1873</v>
      </c>
      <c r="G721" t="str">
        <v>ACE</v>
      </c>
      <c r="H721" t="str">
        <v>CNG</v>
      </c>
      <c r="I721">
        <v>4</v>
      </c>
      <c r="J721">
        <v>8</v>
      </c>
      <c r="K721">
        <v>25000</v>
      </c>
      <c r="L721">
        <v>1000</v>
      </c>
      <c r="M721">
        <v>55</v>
      </c>
      <c r="N721">
        <v>31</v>
      </c>
      <c r="O721" t="str">
        <v>PUN01 NC Cluster 41</v>
      </c>
      <c r="P721">
        <v>0</v>
      </c>
      <c r="Q721">
        <v>4.1666666666666664E-2</v>
      </c>
      <c r="R721">
        <v>0.15877314814814816</v>
      </c>
      <c r="S721">
        <v>115176</v>
      </c>
      <c r="T721">
        <v>0.33180555555555552</v>
      </c>
      <c r="U721">
        <v>0.33189814814814816</v>
      </c>
      <c r="V721">
        <v>115191</v>
      </c>
      <c r="W721">
        <v>41</v>
      </c>
      <c r="X721">
        <v>41</v>
      </c>
      <c r="Y721">
        <v>0</v>
      </c>
      <c r="Z721">
        <v>15</v>
      </c>
      <c r="AA721">
        <v>15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806.45</v>
      </c>
      <c r="AK721">
        <v>0</v>
      </c>
      <c r="AL721">
        <v>806.45</v>
      </c>
      <c r="AM721">
        <v>0</v>
      </c>
      <c r="AN721">
        <v>0</v>
      </c>
      <c r="AO721">
        <v>0</v>
      </c>
    </row>
    <row r="722" spans="1:41">
      <c r="A722">
        <v>721</v>
      </c>
      <c r="B722" s="42">
        <v>45961</v>
      </c>
      <c r="C722" t="str">
        <v>HINJEWADI</v>
      </c>
      <c r="D722" t="str">
        <v>SLK1</v>
      </c>
      <c r="E722" t="str">
        <v>SHADOWFAX TECHNOLOGIES PRIVATE LIMITED</v>
      </c>
      <c r="F722" t="str">
        <v>MH14KA2871</v>
      </c>
      <c r="G722" t="str">
        <v>ACE</v>
      </c>
      <c r="H722" t="str">
        <v>CNG</v>
      </c>
      <c r="I722">
        <v>4</v>
      </c>
      <c r="J722">
        <v>8</v>
      </c>
      <c r="K722">
        <v>25000</v>
      </c>
      <c r="L722">
        <v>1000</v>
      </c>
      <c r="M722">
        <v>55</v>
      </c>
      <c r="N722">
        <v>31</v>
      </c>
      <c r="O722" t="str">
        <v>PUN01 NC Cluster 106</v>
      </c>
      <c r="P722">
        <v>0</v>
      </c>
      <c r="Q722">
        <v>0.10347222222222223</v>
      </c>
      <c r="R722">
        <v>0.15480324074074073</v>
      </c>
      <c r="S722">
        <v>79711</v>
      </c>
      <c r="T722">
        <v>0.34376157407407404</v>
      </c>
      <c r="U722">
        <v>0.34387731481481482</v>
      </c>
      <c r="V722">
        <v>79737</v>
      </c>
      <c r="W722">
        <v>42</v>
      </c>
      <c r="X722">
        <v>42</v>
      </c>
      <c r="Y722">
        <v>0</v>
      </c>
      <c r="Z722">
        <v>26</v>
      </c>
      <c r="AA722">
        <v>26</v>
      </c>
      <c r="AB722">
        <v>0</v>
      </c>
      <c r="AC722">
        <v>0</v>
      </c>
      <c r="AD722">
        <v>1</v>
      </c>
      <c r="AE722">
        <v>150</v>
      </c>
      <c r="AF722">
        <v>0</v>
      </c>
      <c r="AG722">
        <v>0</v>
      </c>
      <c r="AH722">
        <v>0</v>
      </c>
      <c r="AI722">
        <v>0</v>
      </c>
      <c r="AJ722">
        <v>956.45</v>
      </c>
      <c r="AK722">
        <v>0</v>
      </c>
      <c r="AL722">
        <v>956.45</v>
      </c>
      <c r="AM722">
        <v>0</v>
      </c>
      <c r="AN722">
        <v>0</v>
      </c>
      <c r="AO722">
        <v>0</v>
      </c>
    </row>
    <row r="723" spans="1:41">
      <c r="A723">
        <v>722</v>
      </c>
      <c r="B723" s="42">
        <v>45961</v>
      </c>
      <c r="C723" t="str">
        <v>HINJEWADI</v>
      </c>
      <c r="D723" t="str">
        <v>SLK1</v>
      </c>
      <c r="E723" t="str">
        <v>SHADOWFAX TECHNOLOGIES PRIVATE LIMITED</v>
      </c>
      <c r="F723" t="str">
        <v>MH14KA6513</v>
      </c>
      <c r="G723" t="str">
        <v>ACE</v>
      </c>
      <c r="H723" t="str">
        <v>CNG</v>
      </c>
      <c r="I723">
        <v>6</v>
      </c>
      <c r="J723">
        <v>8</v>
      </c>
      <c r="K723">
        <v>33000</v>
      </c>
      <c r="L723">
        <v>2000</v>
      </c>
      <c r="M723">
        <v>55</v>
      </c>
      <c r="N723">
        <v>31</v>
      </c>
      <c r="O723" t="str">
        <v>PUN01 NC Cluster 299</v>
      </c>
      <c r="P723">
        <v>0</v>
      </c>
      <c r="Q723">
        <v>3.6111111111111115E-2</v>
      </c>
      <c r="R723">
        <v>0.15248842592592593</v>
      </c>
      <c r="S723">
        <v>49163</v>
      </c>
      <c r="T723">
        <v>0.44423611111111111</v>
      </c>
      <c r="U723">
        <v>0.44469907407407411</v>
      </c>
      <c r="V723">
        <v>49209</v>
      </c>
      <c r="W723">
        <v>20</v>
      </c>
      <c r="X723">
        <v>36</v>
      </c>
      <c r="Y723">
        <v>-16</v>
      </c>
      <c r="Z723">
        <v>46</v>
      </c>
      <c r="AA723">
        <v>46</v>
      </c>
      <c r="AB723">
        <v>0</v>
      </c>
      <c r="AC723">
        <v>0</v>
      </c>
      <c r="AD723">
        <v>2</v>
      </c>
      <c r="AE723">
        <v>300</v>
      </c>
      <c r="AF723">
        <v>0</v>
      </c>
      <c r="AG723">
        <v>0</v>
      </c>
      <c r="AH723">
        <v>0</v>
      </c>
      <c r="AI723">
        <v>0</v>
      </c>
      <c r="AJ723">
        <v>1364.52</v>
      </c>
      <c r="AK723">
        <v>0</v>
      </c>
      <c r="AL723">
        <v>1364.52</v>
      </c>
      <c r="AM723">
        <v>0</v>
      </c>
      <c r="AN723">
        <v>0</v>
      </c>
      <c r="AO723">
        <v>0</v>
      </c>
    </row>
    <row r="724" spans="1:41">
      <c r="A724">
        <v>723</v>
      </c>
      <c r="B724" s="42">
        <v>45961</v>
      </c>
      <c r="C724" t="str">
        <v>HINJEWADI</v>
      </c>
      <c r="D724" t="str">
        <v>SLK1</v>
      </c>
      <c r="E724" t="str">
        <v>SHADOWFAX TECHNOLOGIES PRIVATE LIMITED</v>
      </c>
      <c r="F724" t="str">
        <v>MH14KQ0279</v>
      </c>
      <c r="G724" t="str">
        <v>ACE</v>
      </c>
      <c r="H724" t="str">
        <v>CNG</v>
      </c>
      <c r="I724">
        <v>4</v>
      </c>
      <c r="J724">
        <v>8</v>
      </c>
      <c r="K724">
        <v>25000</v>
      </c>
      <c r="L724">
        <v>1000</v>
      </c>
      <c r="M724">
        <v>55</v>
      </c>
      <c r="N724">
        <v>31</v>
      </c>
      <c r="O724" t="str">
        <v>PUN01 NC Cluster 201</v>
      </c>
      <c r="P724">
        <v>0</v>
      </c>
      <c r="Q724">
        <v>5.2777777777777778E-2</v>
      </c>
      <c r="R724">
        <v>0.15145833333333333</v>
      </c>
      <c r="S724">
        <v>119302</v>
      </c>
      <c r="T724">
        <v>0.34182870370370372</v>
      </c>
      <c r="U724">
        <v>0.35582175925925924</v>
      </c>
      <c r="V724">
        <v>119332</v>
      </c>
      <c r="W724">
        <v>67</v>
      </c>
      <c r="X724">
        <v>92</v>
      </c>
      <c r="Y724">
        <v>-25</v>
      </c>
      <c r="Z724">
        <v>30</v>
      </c>
      <c r="AA724">
        <v>30</v>
      </c>
      <c r="AB724">
        <v>0</v>
      </c>
      <c r="AC724">
        <v>0</v>
      </c>
      <c r="AD724">
        <v>1</v>
      </c>
      <c r="AE724">
        <v>150</v>
      </c>
      <c r="AF724">
        <v>0</v>
      </c>
      <c r="AG724">
        <v>0</v>
      </c>
      <c r="AH724">
        <v>0</v>
      </c>
      <c r="AI724">
        <v>0</v>
      </c>
      <c r="AJ724">
        <v>956.45</v>
      </c>
      <c r="AK724">
        <v>0</v>
      </c>
      <c r="AL724">
        <v>956.45</v>
      </c>
      <c r="AM724">
        <v>0</v>
      </c>
      <c r="AN724">
        <v>0</v>
      </c>
      <c r="AO724">
        <v>0</v>
      </c>
    </row>
    <row r="725" spans="1:41">
      <c r="A725">
        <v>724</v>
      </c>
      <c r="B725" s="42">
        <v>45961</v>
      </c>
      <c r="C725" t="str">
        <v>HINJEWADI</v>
      </c>
      <c r="D725" t="str">
        <v>SLK1</v>
      </c>
      <c r="E725" t="str">
        <v>SHADOWFAX TECHNOLOGIES PRIVATE LIMITED</v>
      </c>
      <c r="F725" t="str">
        <v>MH14LB4598</v>
      </c>
      <c r="G725" t="str">
        <v>ACE</v>
      </c>
      <c r="H725" t="str">
        <v>CNG</v>
      </c>
      <c r="I725">
        <v>4</v>
      </c>
      <c r="J725">
        <v>8</v>
      </c>
      <c r="K725">
        <v>25000</v>
      </c>
      <c r="L725">
        <v>1000</v>
      </c>
      <c r="M725">
        <v>55</v>
      </c>
      <c r="N725">
        <v>31</v>
      </c>
      <c r="O725" t="str">
        <v>PUN01 NC Cluster 92</v>
      </c>
      <c r="P725">
        <v>0</v>
      </c>
      <c r="Q725">
        <v>3.7499999999999999E-2</v>
      </c>
      <c r="R725">
        <v>0.15038194444444444</v>
      </c>
      <c r="S725">
        <v>66773</v>
      </c>
      <c r="T725">
        <v>0.32187499999999997</v>
      </c>
      <c r="U725">
        <v>0.32208333333333333</v>
      </c>
      <c r="V725">
        <v>66782</v>
      </c>
      <c r="W725">
        <v>42</v>
      </c>
      <c r="X725">
        <v>33</v>
      </c>
      <c r="Y725">
        <v>9</v>
      </c>
      <c r="Z725">
        <v>9</v>
      </c>
      <c r="AA725">
        <v>9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806.45</v>
      </c>
      <c r="AK725">
        <v>0</v>
      </c>
      <c r="AL725">
        <v>806.45</v>
      </c>
      <c r="AM725">
        <v>0</v>
      </c>
      <c r="AN725">
        <v>0</v>
      </c>
      <c r="AO725">
        <v>0</v>
      </c>
    </row>
    <row r="726" spans="1:41">
      <c r="A726">
        <v>725</v>
      </c>
      <c r="B726" s="42">
        <v>45961</v>
      </c>
      <c r="C726" t="str">
        <v>HINJEWADI</v>
      </c>
      <c r="D726" t="str">
        <v>SLK1</v>
      </c>
      <c r="E726" t="str">
        <v>SHADOWFAX TECHNOLOGIES PRIVATE LIMITED</v>
      </c>
      <c r="F726" t="str">
        <v>MH14LB5906</v>
      </c>
      <c r="G726" t="str">
        <v>ACE</v>
      </c>
      <c r="H726" t="str">
        <v>CNG</v>
      </c>
      <c r="I726">
        <v>4</v>
      </c>
      <c r="J726">
        <v>8</v>
      </c>
      <c r="K726">
        <v>25000</v>
      </c>
      <c r="L726">
        <v>1000</v>
      </c>
      <c r="M726">
        <v>55</v>
      </c>
      <c r="N726">
        <v>31</v>
      </c>
      <c r="O726" t="str">
        <v>PUN01 NC Cluster 20</v>
      </c>
      <c r="P726">
        <v>0</v>
      </c>
      <c r="Q726">
        <v>5.7638888888888885E-2</v>
      </c>
      <c r="R726">
        <v>0.14849537037037039</v>
      </c>
      <c r="S726">
        <v>45847</v>
      </c>
      <c r="T726">
        <v>0.30842592592592594</v>
      </c>
      <c r="U726">
        <v>0.30850694444444443</v>
      </c>
      <c r="V726">
        <v>45869</v>
      </c>
      <c r="W726">
        <v>46</v>
      </c>
      <c r="X726">
        <v>46</v>
      </c>
      <c r="Y726">
        <v>0</v>
      </c>
      <c r="Z726">
        <v>22</v>
      </c>
      <c r="AA726">
        <v>22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806.45</v>
      </c>
      <c r="AK726">
        <v>0</v>
      </c>
      <c r="AL726">
        <v>806.45</v>
      </c>
      <c r="AM726">
        <v>0</v>
      </c>
      <c r="AN726">
        <v>0</v>
      </c>
      <c r="AO726">
        <v>0</v>
      </c>
    </row>
    <row r="727" spans="1:41">
      <c r="A727">
        <v>726</v>
      </c>
      <c r="B727" s="42">
        <v>45961</v>
      </c>
      <c r="C727" t="str">
        <v>HINJEWADI</v>
      </c>
      <c r="D727" t="str">
        <v>SLK1</v>
      </c>
      <c r="E727" t="str">
        <v>SHADOWFAX TECHNOLOGIES PRIVATE LIMITED</v>
      </c>
      <c r="F727" t="str">
        <v>MH14LB6751</v>
      </c>
      <c r="G727" t="str">
        <v>ACE</v>
      </c>
      <c r="H727" t="str">
        <v>CNG</v>
      </c>
      <c r="I727">
        <v>4</v>
      </c>
      <c r="J727">
        <v>8</v>
      </c>
      <c r="K727">
        <v>25000</v>
      </c>
      <c r="L727">
        <v>1000</v>
      </c>
      <c r="M727">
        <v>55</v>
      </c>
      <c r="N727">
        <v>31</v>
      </c>
      <c r="O727" t="str">
        <v>PUN01 NC Cluster 36</v>
      </c>
      <c r="P727">
        <v>0</v>
      </c>
      <c r="Q727">
        <v>4.4444444444444446E-2</v>
      </c>
      <c r="R727">
        <v>0.16097222222222221</v>
      </c>
      <c r="S727">
        <v>86216</v>
      </c>
      <c r="T727">
        <v>0.34115740740740735</v>
      </c>
      <c r="U727">
        <v>0.34167824074074077</v>
      </c>
      <c r="V727">
        <v>86232</v>
      </c>
      <c r="W727">
        <v>32</v>
      </c>
      <c r="X727">
        <v>0</v>
      </c>
      <c r="Y727">
        <v>32</v>
      </c>
      <c r="Z727">
        <v>16</v>
      </c>
      <c r="AA727">
        <v>16</v>
      </c>
      <c r="AB727">
        <v>0</v>
      </c>
      <c r="AC727">
        <v>0</v>
      </c>
      <c r="AD727">
        <v>1</v>
      </c>
      <c r="AE727">
        <v>150</v>
      </c>
      <c r="AF727">
        <v>0</v>
      </c>
      <c r="AG727">
        <v>0</v>
      </c>
      <c r="AH727">
        <v>0</v>
      </c>
      <c r="AI727">
        <v>0</v>
      </c>
      <c r="AJ727">
        <v>956.45</v>
      </c>
      <c r="AK727">
        <v>0</v>
      </c>
      <c r="AL727">
        <v>956.45</v>
      </c>
      <c r="AM727">
        <v>0</v>
      </c>
      <c r="AN727">
        <v>0</v>
      </c>
      <c r="AO727">
        <v>0</v>
      </c>
    </row>
    <row r="728" spans="1:41">
      <c r="A728">
        <v>727</v>
      </c>
      <c r="B728" s="42">
        <v>45961</v>
      </c>
      <c r="C728" t="str">
        <v>HINJEWADI</v>
      </c>
      <c r="D728" t="str">
        <v>SLK1</v>
      </c>
      <c r="E728" t="str">
        <v>SHADOWFAX TECHNOLOGIES PRIVATE LIMITED</v>
      </c>
      <c r="F728" t="str">
        <v>MH14LL5974</v>
      </c>
      <c r="G728" t="str">
        <v>ACE</v>
      </c>
      <c r="H728" t="str">
        <v>CNG</v>
      </c>
      <c r="I728">
        <v>4</v>
      </c>
      <c r="J728">
        <v>8</v>
      </c>
      <c r="K728">
        <v>25000</v>
      </c>
      <c r="L728">
        <v>1000</v>
      </c>
      <c r="M728">
        <v>55</v>
      </c>
      <c r="N728">
        <v>31</v>
      </c>
      <c r="O728" t="str">
        <v>PUN01 NC Cluster 25</v>
      </c>
      <c r="P728">
        <v>0</v>
      </c>
      <c r="Q728">
        <v>8.6805555555555566E-2</v>
      </c>
      <c r="R728">
        <v>0.1486574074074074</v>
      </c>
      <c r="S728">
        <v>37944</v>
      </c>
      <c r="T728">
        <v>0.34318287037037037</v>
      </c>
      <c r="U728">
        <v>0.34331018518518519</v>
      </c>
      <c r="V728">
        <v>37967</v>
      </c>
      <c r="W728">
        <v>46</v>
      </c>
      <c r="X728">
        <v>46</v>
      </c>
      <c r="Y728">
        <v>0</v>
      </c>
      <c r="Z728">
        <v>23</v>
      </c>
      <c r="AA728">
        <v>23</v>
      </c>
      <c r="AB728">
        <v>0</v>
      </c>
      <c r="AC728">
        <v>0</v>
      </c>
      <c r="AD728">
        <v>1</v>
      </c>
      <c r="AE728">
        <v>150</v>
      </c>
      <c r="AF728">
        <v>0</v>
      </c>
      <c r="AG728">
        <v>0</v>
      </c>
      <c r="AH728">
        <v>0</v>
      </c>
      <c r="AI728">
        <v>0</v>
      </c>
      <c r="AJ728">
        <v>956.45</v>
      </c>
      <c r="AK728">
        <v>0</v>
      </c>
      <c r="AL728">
        <v>956.45</v>
      </c>
      <c r="AM728">
        <v>0</v>
      </c>
      <c r="AN728">
        <v>0</v>
      </c>
      <c r="AO728">
        <v>0</v>
      </c>
    </row>
    <row r="729" spans="1:41">
      <c r="A729">
        <v>728</v>
      </c>
      <c r="B729" s="42">
        <v>45961</v>
      </c>
      <c r="C729" t="str">
        <v>HINJEWADI</v>
      </c>
      <c r="D729" t="str">
        <v>SLK1</v>
      </c>
      <c r="E729" t="str">
        <v>SHADOWFAX TECHNOLOGIES PRIVATE LIMITED</v>
      </c>
      <c r="F729" t="str">
        <v>MH14LL6836</v>
      </c>
      <c r="G729" t="str">
        <v>ACE</v>
      </c>
      <c r="H729" t="str">
        <v>CNG</v>
      </c>
      <c r="I729">
        <v>6</v>
      </c>
      <c r="J729">
        <v>8</v>
      </c>
      <c r="K729">
        <v>33000</v>
      </c>
      <c r="L729">
        <v>2000</v>
      </c>
      <c r="M729">
        <v>55</v>
      </c>
      <c r="N729">
        <v>31</v>
      </c>
      <c r="O729" t="str">
        <v>PUN01 NC Cluster 303</v>
      </c>
      <c r="P729">
        <v>0</v>
      </c>
      <c r="Q729">
        <v>8.5416666666666655E-2</v>
      </c>
      <c r="R729">
        <v>0.15111111111111111</v>
      </c>
      <c r="S729">
        <v>35653</v>
      </c>
      <c r="T729">
        <v>0.3424537037037037</v>
      </c>
      <c r="U729">
        <v>0.34262731481481484</v>
      </c>
      <c r="V729">
        <v>35725</v>
      </c>
      <c r="W729">
        <v>28</v>
      </c>
      <c r="X729">
        <v>28</v>
      </c>
      <c r="Y729">
        <v>0</v>
      </c>
      <c r="Z729">
        <v>72</v>
      </c>
      <c r="AA729">
        <v>72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1064.52</v>
      </c>
      <c r="AK729">
        <v>0</v>
      </c>
      <c r="AL729">
        <v>1064.52</v>
      </c>
      <c r="AM729">
        <v>0</v>
      </c>
      <c r="AN729">
        <v>0</v>
      </c>
      <c r="AO729">
        <v>0</v>
      </c>
    </row>
    <row r="730" spans="1:41">
      <c r="A730">
        <v>729</v>
      </c>
      <c r="B730" s="42">
        <v>45961</v>
      </c>
      <c r="C730" t="str">
        <v>HINJEWADI</v>
      </c>
      <c r="D730" t="str">
        <v>SLK1</v>
      </c>
      <c r="E730" t="str">
        <v>SHADOWFAX TECHNOLOGIES PRIVATE LIMITED</v>
      </c>
      <c r="F730" t="str">
        <v>MH14LX6360</v>
      </c>
      <c r="G730" t="str">
        <v>ACE</v>
      </c>
      <c r="H730" t="str">
        <v>CNG</v>
      </c>
      <c r="I730">
        <v>4</v>
      </c>
      <c r="J730">
        <v>8</v>
      </c>
      <c r="K730">
        <v>25000</v>
      </c>
      <c r="L730">
        <v>1000</v>
      </c>
      <c r="M730">
        <v>55</v>
      </c>
      <c r="N730">
        <v>31</v>
      </c>
      <c r="O730" t="str">
        <v>PUN01 NC Cluster 16</v>
      </c>
      <c r="P730">
        <v>0</v>
      </c>
      <c r="Q730">
        <v>4.3750000000000004E-2</v>
      </c>
      <c r="R730">
        <v>0.16</v>
      </c>
      <c r="S730">
        <v>40324</v>
      </c>
      <c r="T730">
        <v>0.30770833333333331</v>
      </c>
      <c r="U730">
        <v>0.30781249999999999</v>
      </c>
      <c r="V730">
        <v>40344</v>
      </c>
      <c r="W730">
        <v>34</v>
      </c>
      <c r="X730">
        <v>53</v>
      </c>
      <c r="Y730">
        <v>-19</v>
      </c>
      <c r="Z730">
        <v>20</v>
      </c>
      <c r="AA730">
        <v>20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806.45</v>
      </c>
      <c r="AK730">
        <v>0</v>
      </c>
      <c r="AL730">
        <v>806.45</v>
      </c>
      <c r="AM730">
        <v>0</v>
      </c>
      <c r="AN730">
        <v>0</v>
      </c>
      <c r="AO730">
        <v>0</v>
      </c>
    </row>
    <row r="731" spans="1:41">
      <c r="A731">
        <v>730</v>
      </c>
      <c r="B731" s="42">
        <v>45961</v>
      </c>
      <c r="C731" t="str">
        <v>HINJEWADI</v>
      </c>
      <c r="D731" t="str">
        <v>SLK1</v>
      </c>
      <c r="E731" t="str">
        <v>SHADOWFAX TECHNOLOGIES PRIVATE LIMITED</v>
      </c>
      <c r="F731" t="str">
        <v>MH14MH6374</v>
      </c>
      <c r="G731" t="str">
        <v>ACE</v>
      </c>
      <c r="H731" t="str">
        <v>CNG</v>
      </c>
      <c r="I731">
        <v>4</v>
      </c>
      <c r="J731">
        <v>8</v>
      </c>
      <c r="K731">
        <v>25000</v>
      </c>
      <c r="L731">
        <v>1000</v>
      </c>
      <c r="M731">
        <v>55</v>
      </c>
      <c r="N731">
        <v>31</v>
      </c>
      <c r="O731" t="str">
        <v>PUN01 NC Cluster 25</v>
      </c>
      <c r="P731">
        <v>0</v>
      </c>
      <c r="Q731">
        <v>8.6111111111111124E-2</v>
      </c>
      <c r="R731">
        <v>0.34278935185185189</v>
      </c>
      <c r="S731">
        <v>9014</v>
      </c>
      <c r="T731">
        <v>0.34289351851851851</v>
      </c>
      <c r="U731">
        <v>0.34298611111111116</v>
      </c>
      <c r="V731">
        <v>9044</v>
      </c>
      <c r="W731">
        <v>0</v>
      </c>
      <c r="X731">
        <v>0</v>
      </c>
      <c r="Y731">
        <v>0</v>
      </c>
      <c r="Z731">
        <v>30</v>
      </c>
      <c r="AA731">
        <v>30</v>
      </c>
      <c r="AB731">
        <v>0</v>
      </c>
      <c r="AC731">
        <v>0</v>
      </c>
      <c r="AD731">
        <v>1</v>
      </c>
      <c r="AE731">
        <v>150</v>
      </c>
      <c r="AF731">
        <v>0</v>
      </c>
      <c r="AG731">
        <v>0</v>
      </c>
      <c r="AH731">
        <v>0</v>
      </c>
      <c r="AI731">
        <v>0</v>
      </c>
      <c r="AJ731">
        <v>956.45</v>
      </c>
      <c r="AK731">
        <v>0</v>
      </c>
      <c r="AL731">
        <v>956.45</v>
      </c>
      <c r="AM731">
        <v>0</v>
      </c>
      <c r="AN731">
        <v>0</v>
      </c>
      <c r="AO731">
        <v>0</v>
      </c>
    </row>
    <row r="732" spans="1:41">
      <c r="A732">
        <v>731</v>
      </c>
      <c r="B732" s="42">
        <v>45961</v>
      </c>
      <c r="C732" t="str">
        <v>HINJEWADI</v>
      </c>
      <c r="D732" t="str">
        <v>SLK1</v>
      </c>
      <c r="E732" t="str">
        <v>SHADOWFAX TECHNOLOGIES PRIVATE LIMITED</v>
      </c>
      <c r="F732" t="str">
        <v>MH14MH8276</v>
      </c>
      <c r="G732" t="str">
        <v>ACE</v>
      </c>
      <c r="H732" t="str">
        <v>CNG</v>
      </c>
      <c r="I732">
        <v>4</v>
      </c>
      <c r="J732">
        <v>8</v>
      </c>
      <c r="K732">
        <v>25000</v>
      </c>
      <c r="L732">
        <v>1000</v>
      </c>
      <c r="M732">
        <v>55</v>
      </c>
      <c r="N732">
        <v>31</v>
      </c>
      <c r="O732" t="str">
        <v>PUN01 NC Cluster 37</v>
      </c>
      <c r="P732">
        <v>0</v>
      </c>
      <c r="Q732">
        <v>4.027777777777778E-2</v>
      </c>
      <c r="R732">
        <v>0.15944444444444444</v>
      </c>
      <c r="S732">
        <v>6830</v>
      </c>
      <c r="T732">
        <v>0.34090277777777778</v>
      </c>
      <c r="U732">
        <v>0.34098379629629627</v>
      </c>
      <c r="V732">
        <v>6844</v>
      </c>
      <c r="W732">
        <v>37</v>
      </c>
      <c r="X732">
        <v>37</v>
      </c>
      <c r="Y732">
        <v>0</v>
      </c>
      <c r="Z732">
        <v>14</v>
      </c>
      <c r="AA732">
        <v>14</v>
      </c>
      <c r="AB732">
        <v>0</v>
      </c>
      <c r="AC732">
        <v>0</v>
      </c>
      <c r="AD732">
        <v>1</v>
      </c>
      <c r="AE732">
        <v>150</v>
      </c>
      <c r="AF732">
        <v>0</v>
      </c>
      <c r="AG732">
        <v>0</v>
      </c>
      <c r="AH732">
        <v>0</v>
      </c>
      <c r="AI732">
        <v>0</v>
      </c>
      <c r="AJ732">
        <v>956.45</v>
      </c>
      <c r="AK732">
        <v>0</v>
      </c>
      <c r="AL732">
        <v>956.45</v>
      </c>
      <c r="AM732">
        <v>0</v>
      </c>
      <c r="AN732">
        <v>0</v>
      </c>
      <c r="AO732">
        <v>0</v>
      </c>
    </row>
    <row r="733" spans="1:41">
      <c r="A733">
        <v>732</v>
      </c>
      <c r="B733" s="42">
        <v>45961</v>
      </c>
      <c r="C733" t="str">
        <v>HINJEWADI</v>
      </c>
      <c r="D733" t="str">
        <v>SLK1</v>
      </c>
      <c r="E733" t="str">
        <v>SHADOWFAX TECHNOLOGIES PRIVATE LIMITED</v>
      </c>
      <c r="F733" t="str">
        <v>MH12YQ2365</v>
      </c>
      <c r="G733" t="str">
        <v>BOLERO</v>
      </c>
      <c r="H733" t="str">
        <v>DIESEL</v>
      </c>
      <c r="I733">
        <v>4</v>
      </c>
      <c r="J733">
        <v>10</v>
      </c>
      <c r="K733">
        <v>29000</v>
      </c>
      <c r="L733">
        <v>1000</v>
      </c>
      <c r="M733">
        <v>55</v>
      </c>
      <c r="N733">
        <v>31</v>
      </c>
      <c r="O733" t="str">
        <v>PUN01 NC Cluster 124</v>
      </c>
      <c r="P733">
        <v>0</v>
      </c>
      <c r="Q733">
        <v>0.1173611111111111</v>
      </c>
      <c r="R733">
        <v>0.14717592592592593</v>
      </c>
      <c r="S733">
        <v>405</v>
      </c>
      <c r="T733">
        <v>0.30537037037037035</v>
      </c>
      <c r="U733">
        <v>0.30546296296296299</v>
      </c>
      <c r="V733">
        <v>433</v>
      </c>
      <c r="W733">
        <v>27</v>
      </c>
      <c r="X733">
        <v>47</v>
      </c>
      <c r="Y733">
        <v>-20</v>
      </c>
      <c r="Z733">
        <v>28</v>
      </c>
      <c r="AA733">
        <v>28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935.48</v>
      </c>
      <c r="AK733">
        <v>0</v>
      </c>
      <c r="AL733">
        <v>935.48</v>
      </c>
      <c r="AM733">
        <v>0</v>
      </c>
      <c r="AN733">
        <v>0</v>
      </c>
      <c r="AO733">
        <v>0</v>
      </c>
    </row>
    <row r="734" spans="1:41">
      <c r="A734">
        <v>733</v>
      </c>
      <c r="B734" s="42">
        <v>45961</v>
      </c>
      <c r="C734" t="str">
        <v>HINJEWADI</v>
      </c>
      <c r="D734" t="str">
        <v>SLK1</v>
      </c>
      <c r="E734" t="str">
        <v>SHADOWFAX TECHNOLOGIES PRIVATE LIMITED</v>
      </c>
      <c r="F734" t="str">
        <v>MH14LL4513</v>
      </c>
      <c r="G734" t="str">
        <v>BOLERO</v>
      </c>
      <c r="H734" t="str">
        <v>DIESEL</v>
      </c>
      <c r="I734">
        <v>4</v>
      </c>
      <c r="J734">
        <v>10</v>
      </c>
      <c r="K734">
        <v>29000</v>
      </c>
      <c r="L734">
        <v>1000</v>
      </c>
      <c r="M734">
        <v>55</v>
      </c>
      <c r="N734">
        <v>31</v>
      </c>
      <c r="O734" t="str">
        <v>PUN01 NC Cluster 73</v>
      </c>
      <c r="P734">
        <v>0</v>
      </c>
      <c r="Q734">
        <v>9.9999999999999992E-2</v>
      </c>
      <c r="R734">
        <v>0.15839120370370371</v>
      </c>
      <c r="S734">
        <v>33472</v>
      </c>
      <c r="T734">
        <v>0.29089120370370369</v>
      </c>
      <c r="U734">
        <v>0.34761574074074075</v>
      </c>
      <c r="V734">
        <v>33484</v>
      </c>
      <c r="W734">
        <v>22</v>
      </c>
      <c r="X734">
        <v>41</v>
      </c>
      <c r="Y734">
        <v>-19</v>
      </c>
      <c r="Z734">
        <v>12</v>
      </c>
      <c r="AA734">
        <v>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935.48</v>
      </c>
      <c r="AK734">
        <v>0</v>
      </c>
      <c r="AL734">
        <v>935.48</v>
      </c>
      <c r="AM734">
        <v>0</v>
      </c>
      <c r="AN734">
        <v>0</v>
      </c>
      <c r="AO734">
        <v>0</v>
      </c>
    </row>
    <row r="735" spans="1:41">
      <c r="A735">
        <v>734</v>
      </c>
      <c r="B735" s="42">
        <v>45961</v>
      </c>
      <c r="C735" t="str">
        <v>HINJEWADI</v>
      </c>
      <c r="D735" t="str">
        <v>SLK1</v>
      </c>
      <c r="E735" t="str">
        <v>SHADOWFAX TECHNOLOGIES PRIVATE LIMITED</v>
      </c>
      <c r="F735" t="str">
        <v>MH14LX4839</v>
      </c>
      <c r="G735" t="str">
        <v>BOLERO</v>
      </c>
      <c r="H735" t="str">
        <v>DIESEL</v>
      </c>
      <c r="I735">
        <v>4</v>
      </c>
      <c r="J735">
        <v>10</v>
      </c>
      <c r="K735">
        <v>29000</v>
      </c>
      <c r="L735">
        <v>1000</v>
      </c>
      <c r="M735">
        <v>55</v>
      </c>
      <c r="N735">
        <v>31</v>
      </c>
      <c r="O735" t="str">
        <v>PUN01 NC Cluster 133</v>
      </c>
      <c r="P735">
        <v>0</v>
      </c>
      <c r="Q735">
        <v>4.8611111111111112E-2</v>
      </c>
      <c r="R735">
        <v>0.14876157407407406</v>
      </c>
      <c r="S735">
        <v>40335</v>
      </c>
      <c r="T735">
        <v>0.34208333333333335</v>
      </c>
      <c r="U735">
        <v>0.34224537037037034</v>
      </c>
      <c r="V735">
        <v>40369</v>
      </c>
      <c r="W735">
        <v>67</v>
      </c>
      <c r="X735">
        <v>67</v>
      </c>
      <c r="Y735">
        <v>0</v>
      </c>
      <c r="Z735">
        <v>34</v>
      </c>
      <c r="AA735">
        <v>34</v>
      </c>
      <c r="AB735">
        <v>0</v>
      </c>
      <c r="AC735">
        <v>0</v>
      </c>
      <c r="AD735">
        <v>1</v>
      </c>
      <c r="AE735">
        <v>150</v>
      </c>
      <c r="AF735">
        <v>0</v>
      </c>
      <c r="AG735">
        <v>0</v>
      </c>
      <c r="AH735">
        <v>0</v>
      </c>
      <c r="AI735">
        <v>0</v>
      </c>
      <c r="AJ735">
        <v>1085.48</v>
      </c>
      <c r="AK735">
        <v>0</v>
      </c>
      <c r="AL735">
        <v>1085.48</v>
      </c>
      <c r="AM735">
        <v>0</v>
      </c>
      <c r="AN735">
        <v>0</v>
      </c>
      <c r="AO735">
        <v>0</v>
      </c>
    </row>
    <row r="736" spans="1:41">
      <c r="A736">
        <v>735</v>
      </c>
      <c r="B736" s="42">
        <v>45961</v>
      </c>
      <c r="C736" t="str">
        <v>HINJEWADI</v>
      </c>
      <c r="D736" t="str">
        <v>SLK1</v>
      </c>
      <c r="E736" t="str">
        <v>SHADOWFAX TECHNOLOGIES PRIVATE LIMITED</v>
      </c>
      <c r="F736" t="str">
        <v>MH14MH7322</v>
      </c>
      <c r="G736" t="str">
        <v>BOLERO</v>
      </c>
      <c r="H736" t="str">
        <v>DIESEL</v>
      </c>
      <c r="I736">
        <v>4</v>
      </c>
      <c r="J736">
        <v>10</v>
      </c>
      <c r="K736">
        <v>29000</v>
      </c>
      <c r="L736">
        <v>1000</v>
      </c>
      <c r="M736">
        <v>55</v>
      </c>
      <c r="N736">
        <v>31</v>
      </c>
      <c r="O736" t="str">
        <v>PUN01 NC Cluster 99</v>
      </c>
      <c r="P736">
        <v>0</v>
      </c>
      <c r="Q736">
        <v>9.9999999999999992E-2</v>
      </c>
      <c r="R736">
        <v>0.15024305555555556</v>
      </c>
      <c r="S736">
        <v>4267</v>
      </c>
      <c r="T736">
        <v>0.3435185185185185</v>
      </c>
      <c r="U736">
        <v>0.34361111111111109</v>
      </c>
      <c r="V736">
        <v>4297</v>
      </c>
      <c r="W736">
        <v>61</v>
      </c>
      <c r="X736">
        <v>61</v>
      </c>
      <c r="Y736">
        <v>0</v>
      </c>
      <c r="Z736">
        <v>30</v>
      </c>
      <c r="AA736">
        <v>30</v>
      </c>
      <c r="AB736">
        <v>0</v>
      </c>
      <c r="AC736">
        <v>0</v>
      </c>
      <c r="AD736">
        <v>1</v>
      </c>
      <c r="AE736">
        <v>150</v>
      </c>
      <c r="AF736">
        <v>0</v>
      </c>
      <c r="AG736">
        <v>0</v>
      </c>
      <c r="AH736">
        <v>0</v>
      </c>
      <c r="AI736">
        <v>0</v>
      </c>
      <c r="AJ736">
        <v>1085.48</v>
      </c>
      <c r="AK736">
        <v>0</v>
      </c>
      <c r="AL736">
        <v>1085.48</v>
      </c>
      <c r="AM736">
        <v>0</v>
      </c>
      <c r="AN736">
        <v>0</v>
      </c>
      <c r="AO736">
        <v>0</v>
      </c>
    </row>
    <row r="737" spans="1:41">
      <c r="A737">
        <v>736</v>
      </c>
      <c r="B737" s="42">
        <v>45961</v>
      </c>
      <c r="C737" t="str">
        <v>HINJEWADI</v>
      </c>
      <c r="D737" t="str">
        <v>SLK1</v>
      </c>
      <c r="E737" t="str">
        <v>SHADOWFAX TECHNOLOGIES PRIVATE LIMITED</v>
      </c>
      <c r="F737" t="str">
        <v>MH16CD7321</v>
      </c>
      <c r="G737" t="str">
        <v>BOLERO</v>
      </c>
      <c r="H737" t="str">
        <v>DIESEL</v>
      </c>
      <c r="I737">
        <v>4</v>
      </c>
      <c r="J737">
        <v>10</v>
      </c>
      <c r="K737">
        <v>29000</v>
      </c>
      <c r="L737">
        <v>1000</v>
      </c>
      <c r="M737">
        <v>55</v>
      </c>
      <c r="N737">
        <v>31</v>
      </c>
      <c r="O737" t="str">
        <v>PUN01 NC Cluster 125</v>
      </c>
      <c r="P737">
        <v>0</v>
      </c>
      <c r="Q737">
        <v>8.7500000000000008E-2</v>
      </c>
      <c r="R737">
        <v>0.14833333333333334</v>
      </c>
      <c r="S737">
        <v>140080</v>
      </c>
      <c r="T737">
        <v>0.2994560185185185</v>
      </c>
      <c r="U737">
        <v>0.29959490740740741</v>
      </c>
      <c r="V737">
        <v>140107</v>
      </c>
      <c r="W737">
        <v>41</v>
      </c>
      <c r="X737">
        <v>41</v>
      </c>
      <c r="Y737">
        <v>0</v>
      </c>
      <c r="Z737">
        <v>27</v>
      </c>
      <c r="AA737">
        <v>27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18000</v>
      </c>
      <c r="AI737">
        <v>0</v>
      </c>
      <c r="AJ737">
        <v>18935.48</v>
      </c>
      <c r="AK737">
        <v>14000</v>
      </c>
      <c r="AL737">
        <v>4935.4799999999996</v>
      </c>
      <c r="AM737">
        <v>0</v>
      </c>
      <c r="AN737">
        <v>0</v>
      </c>
      <c r="AO7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A489-A954-4F9E-8C5C-23CF9C71DD45}">
  <dimension ref="A1:I45"/>
  <sheetViews>
    <sheetView topLeftCell="A26" workbookViewId="0">
      <selection activeCell="F1" activeCellId="2" sqref="B1:B44 A1:A44 F1:F44"/>
    </sheetView>
  </sheetViews>
  <sheetFormatPr defaultRowHeight="14.5"/>
  <cols>
    <col min="1" max="2" width="13.453125" customWidth="1"/>
    <col min="3" max="3" width="13" bestFit="1" customWidth="1"/>
    <col min="4" max="4" width="14.36328125" bestFit="1" customWidth="1"/>
  </cols>
  <sheetData>
    <row r="1" spans="1:9">
      <c r="A1" t="s">
        <v>258</v>
      </c>
      <c r="B1" t="s">
        <v>257</v>
      </c>
      <c r="C1" t="s">
        <v>249</v>
      </c>
      <c r="D1" t="s">
        <v>242</v>
      </c>
      <c r="E1" t="s">
        <v>253</v>
      </c>
      <c r="F1" t="s">
        <v>250</v>
      </c>
      <c r="G1" t="s">
        <v>256</v>
      </c>
      <c r="H1" t="s">
        <v>252</v>
      </c>
      <c r="I1" t="s">
        <v>251</v>
      </c>
    </row>
    <row r="2" spans="1:9">
      <c r="A2">
        <v>25000</v>
      </c>
      <c r="B2" t="s">
        <v>43</v>
      </c>
      <c r="C2">
        <v>29</v>
      </c>
      <c r="D2">
        <v>750</v>
      </c>
      <c r="E2">
        <v>806.45161290322585</v>
      </c>
      <c r="F2">
        <v>23387.096774193549</v>
      </c>
      <c r="G2">
        <v>24137.096774193549</v>
      </c>
      <c r="H2">
        <v>241.37096774193549</v>
      </c>
      <c r="I2">
        <v>23895.725806451614</v>
      </c>
    </row>
    <row r="3" spans="1:9">
      <c r="A3">
        <v>25000</v>
      </c>
      <c r="B3" t="s">
        <v>47</v>
      </c>
      <c r="C3">
        <v>8</v>
      </c>
      <c r="D3">
        <v>300</v>
      </c>
      <c r="E3">
        <v>806.45161290322585</v>
      </c>
      <c r="F3">
        <v>23387.096774193549</v>
      </c>
      <c r="G3">
        <v>24137.096774193549</v>
      </c>
      <c r="H3">
        <v>241.37096774193549</v>
      </c>
      <c r="I3">
        <v>23895.725806451614</v>
      </c>
    </row>
    <row r="4" spans="1:9">
      <c r="A4">
        <v>25000</v>
      </c>
      <c r="B4" t="s">
        <v>132</v>
      </c>
      <c r="C4">
        <v>17</v>
      </c>
      <c r="D4">
        <v>0</v>
      </c>
      <c r="E4">
        <v>806.45161290322585</v>
      </c>
      <c r="F4">
        <v>23387.096774193549</v>
      </c>
      <c r="G4">
        <v>24137.096774193549</v>
      </c>
      <c r="H4">
        <v>241.37096774193549</v>
      </c>
      <c r="I4">
        <v>23895.725806451614</v>
      </c>
    </row>
    <row r="5" spans="1:9">
      <c r="A5">
        <v>25000</v>
      </c>
      <c r="B5" t="s">
        <v>219</v>
      </c>
      <c r="C5">
        <v>1</v>
      </c>
      <c r="D5">
        <v>0</v>
      </c>
      <c r="E5">
        <v>806.45161290322585</v>
      </c>
      <c r="F5">
        <v>23387.096774193549</v>
      </c>
      <c r="G5">
        <v>24137.096774193549</v>
      </c>
      <c r="H5">
        <v>241.37096774193549</v>
      </c>
      <c r="I5">
        <v>23895.725806451614</v>
      </c>
    </row>
    <row r="6" spans="1:9">
      <c r="A6">
        <v>33000</v>
      </c>
      <c r="B6" t="s">
        <v>49</v>
      </c>
      <c r="C6">
        <v>27</v>
      </c>
      <c r="D6">
        <v>1200</v>
      </c>
      <c r="E6">
        <v>1064.516129032258</v>
      </c>
      <c r="F6">
        <v>30870.967741935485</v>
      </c>
      <c r="G6">
        <v>31620.967741935485</v>
      </c>
      <c r="H6">
        <v>316.20967741935488</v>
      </c>
      <c r="I6">
        <v>31304.758064516129</v>
      </c>
    </row>
    <row r="7" spans="1:9">
      <c r="A7">
        <v>25000</v>
      </c>
      <c r="B7" t="s">
        <v>51</v>
      </c>
      <c r="C7">
        <v>20</v>
      </c>
      <c r="D7">
        <v>300</v>
      </c>
      <c r="E7">
        <v>806.45161290322585</v>
      </c>
      <c r="F7">
        <v>23387.096774193549</v>
      </c>
      <c r="G7">
        <v>24137.096774193549</v>
      </c>
      <c r="H7">
        <v>241.37096774193549</v>
      </c>
      <c r="I7">
        <v>23895.725806451614</v>
      </c>
    </row>
    <row r="8" spans="1:9">
      <c r="A8">
        <v>25000</v>
      </c>
      <c r="B8" t="s">
        <v>145</v>
      </c>
      <c r="C8">
        <v>23</v>
      </c>
      <c r="D8">
        <v>1200</v>
      </c>
      <c r="E8">
        <v>806.45161290322585</v>
      </c>
      <c r="F8">
        <v>23387.096774193549</v>
      </c>
      <c r="G8">
        <v>24137.096774193549</v>
      </c>
      <c r="H8">
        <v>241.37096774193549</v>
      </c>
      <c r="I8">
        <v>23895.725806451614</v>
      </c>
    </row>
    <row r="9" spans="1:9">
      <c r="A9">
        <v>25000</v>
      </c>
      <c r="B9" t="s">
        <v>53</v>
      </c>
      <c r="C9">
        <v>25</v>
      </c>
      <c r="D9">
        <v>2850</v>
      </c>
      <c r="E9">
        <v>806.45161290322585</v>
      </c>
      <c r="F9">
        <v>23387.096774193549</v>
      </c>
      <c r="G9">
        <v>24137.096774193549</v>
      </c>
      <c r="H9">
        <v>241.37096774193549</v>
      </c>
      <c r="I9">
        <v>23895.725806451614</v>
      </c>
    </row>
    <row r="10" spans="1:9">
      <c r="A10">
        <v>25000</v>
      </c>
      <c r="B10" t="s">
        <v>120</v>
      </c>
      <c r="C10">
        <v>6</v>
      </c>
      <c r="D10">
        <v>600</v>
      </c>
      <c r="E10">
        <v>806.45161290322585</v>
      </c>
      <c r="F10">
        <v>23387.096774193549</v>
      </c>
      <c r="G10">
        <v>24137.096774193549</v>
      </c>
      <c r="H10">
        <v>241.37096774193549</v>
      </c>
      <c r="I10">
        <v>23895.725806451614</v>
      </c>
    </row>
    <row r="11" spans="1:9">
      <c r="A11">
        <v>29000</v>
      </c>
      <c r="B11" t="s">
        <v>232</v>
      </c>
      <c r="C11">
        <v>5</v>
      </c>
      <c r="D11">
        <v>600</v>
      </c>
      <c r="E11">
        <v>935.48387096774195</v>
      </c>
      <c r="F11">
        <v>27129.032258064515</v>
      </c>
      <c r="G11">
        <v>27879.032258064515</v>
      </c>
      <c r="H11">
        <v>278.79032258064518</v>
      </c>
      <c r="I11">
        <v>27600.241935483871</v>
      </c>
    </row>
    <row r="12" spans="1:9">
      <c r="A12">
        <v>25000</v>
      </c>
      <c r="B12" t="s">
        <v>55</v>
      </c>
      <c r="C12">
        <v>29</v>
      </c>
      <c r="D12">
        <v>450</v>
      </c>
      <c r="E12">
        <v>806.45161290322585</v>
      </c>
      <c r="F12">
        <v>23387.096774193549</v>
      </c>
      <c r="G12">
        <v>24137.096774193549</v>
      </c>
      <c r="H12">
        <v>241.37096774193549</v>
      </c>
      <c r="I12">
        <v>23895.725806451614</v>
      </c>
    </row>
    <row r="13" spans="1:9">
      <c r="A13">
        <v>25000</v>
      </c>
      <c r="B13" t="s">
        <v>176</v>
      </c>
      <c r="C13">
        <v>12</v>
      </c>
      <c r="D13">
        <v>1350</v>
      </c>
      <c r="E13">
        <v>806.45161290322585</v>
      </c>
      <c r="F13">
        <v>23387.096774193549</v>
      </c>
      <c r="G13">
        <v>24137.096774193549</v>
      </c>
      <c r="H13">
        <v>241.37096774193549</v>
      </c>
      <c r="I13">
        <v>23895.725806451614</v>
      </c>
    </row>
    <row r="14" spans="1:9">
      <c r="A14">
        <v>25000</v>
      </c>
      <c r="B14" t="s">
        <v>182</v>
      </c>
      <c r="C14">
        <v>15</v>
      </c>
      <c r="D14">
        <v>1350</v>
      </c>
      <c r="E14">
        <v>806.45161290322585</v>
      </c>
      <c r="F14">
        <v>23387.096774193549</v>
      </c>
      <c r="G14">
        <v>24137.096774193549</v>
      </c>
      <c r="H14">
        <v>241.37096774193549</v>
      </c>
      <c r="I14">
        <v>23895.725806451614</v>
      </c>
    </row>
    <row r="15" spans="1:9">
      <c r="A15">
        <v>25000</v>
      </c>
      <c r="B15" t="s">
        <v>57</v>
      </c>
      <c r="C15">
        <v>28</v>
      </c>
      <c r="D15">
        <v>2550</v>
      </c>
      <c r="E15">
        <v>806.45161290322585</v>
      </c>
      <c r="F15">
        <v>23387.096774193549</v>
      </c>
      <c r="G15">
        <v>24137.096774193549</v>
      </c>
      <c r="H15">
        <v>241.37096774193549</v>
      </c>
      <c r="I15">
        <v>23895.725806451614</v>
      </c>
    </row>
    <row r="16" spans="1:9">
      <c r="A16">
        <v>25000</v>
      </c>
      <c r="B16" t="s">
        <v>59</v>
      </c>
      <c r="C16">
        <v>24</v>
      </c>
      <c r="D16">
        <v>2400</v>
      </c>
      <c r="E16">
        <v>806.45161290322585</v>
      </c>
      <c r="F16">
        <v>23387.096774193549</v>
      </c>
      <c r="G16">
        <v>24137.096774193549</v>
      </c>
      <c r="H16">
        <v>241.37096774193549</v>
      </c>
      <c r="I16">
        <v>23895.725806451614</v>
      </c>
    </row>
    <row r="17" spans="1:9">
      <c r="A17">
        <v>25000</v>
      </c>
      <c r="B17" t="s">
        <v>60</v>
      </c>
      <c r="C17">
        <v>24</v>
      </c>
      <c r="D17">
        <v>1350</v>
      </c>
      <c r="E17">
        <v>806.45161290322585</v>
      </c>
      <c r="F17">
        <v>23387.096774193549</v>
      </c>
      <c r="G17">
        <v>24137.096774193549</v>
      </c>
      <c r="H17">
        <v>241.37096774193549</v>
      </c>
      <c r="I17">
        <v>23895.725806451614</v>
      </c>
    </row>
    <row r="18" spans="1:9">
      <c r="A18">
        <v>25000</v>
      </c>
      <c r="B18" t="s">
        <v>97</v>
      </c>
      <c r="C18">
        <v>21</v>
      </c>
      <c r="D18">
        <v>1050</v>
      </c>
      <c r="E18">
        <v>806.45161290322585</v>
      </c>
      <c r="F18">
        <v>23387.096774193549</v>
      </c>
      <c r="G18">
        <v>24137.096774193549</v>
      </c>
      <c r="H18">
        <v>241.37096774193549</v>
      </c>
      <c r="I18">
        <v>23895.725806451614</v>
      </c>
    </row>
    <row r="19" spans="1:9">
      <c r="A19">
        <v>25000</v>
      </c>
      <c r="B19" t="s">
        <v>177</v>
      </c>
      <c r="C19">
        <v>5</v>
      </c>
      <c r="D19">
        <v>300</v>
      </c>
      <c r="E19">
        <v>806.45161290322585</v>
      </c>
      <c r="F19">
        <v>23387.096774193549</v>
      </c>
      <c r="G19">
        <v>24137.096774193549</v>
      </c>
      <c r="H19">
        <v>241.37096774193549</v>
      </c>
      <c r="I19">
        <v>23895.725806451614</v>
      </c>
    </row>
    <row r="20" spans="1:9">
      <c r="A20">
        <v>25000</v>
      </c>
      <c r="B20" t="s">
        <v>235</v>
      </c>
      <c r="C20">
        <v>1</v>
      </c>
      <c r="D20">
        <v>0</v>
      </c>
      <c r="E20">
        <v>806.45161290322585</v>
      </c>
      <c r="F20">
        <v>23387.096774193549</v>
      </c>
      <c r="G20">
        <v>24137.096774193549</v>
      </c>
      <c r="H20">
        <v>241.37096774193549</v>
      </c>
      <c r="I20">
        <v>23895.725806451614</v>
      </c>
    </row>
    <row r="21" spans="1:9">
      <c r="A21">
        <v>33000</v>
      </c>
      <c r="B21" t="s">
        <v>62</v>
      </c>
      <c r="C21">
        <v>25</v>
      </c>
      <c r="D21">
        <v>1650</v>
      </c>
      <c r="E21">
        <v>1064.516129032258</v>
      </c>
      <c r="F21">
        <v>30870.967741935485</v>
      </c>
      <c r="G21">
        <v>31620.967741935485</v>
      </c>
      <c r="H21">
        <v>316.20967741935488</v>
      </c>
      <c r="I21">
        <v>31304.758064516129</v>
      </c>
    </row>
    <row r="22" spans="1:9">
      <c r="A22">
        <v>25000</v>
      </c>
      <c r="B22" t="s">
        <v>99</v>
      </c>
      <c r="C22">
        <v>10</v>
      </c>
      <c r="D22">
        <v>750</v>
      </c>
      <c r="E22">
        <v>806.45161290322585</v>
      </c>
      <c r="F22">
        <v>23387.096774193549</v>
      </c>
      <c r="G22">
        <v>24137.096774193549</v>
      </c>
      <c r="H22">
        <v>241.37096774193549</v>
      </c>
      <c r="I22">
        <v>23895.725806451614</v>
      </c>
    </row>
    <row r="23" spans="1:9">
      <c r="A23">
        <v>25000</v>
      </c>
      <c r="B23" t="s">
        <v>101</v>
      </c>
      <c r="C23">
        <v>22</v>
      </c>
      <c r="D23">
        <v>2100</v>
      </c>
      <c r="E23">
        <v>806.45161290322585</v>
      </c>
      <c r="F23">
        <v>23387.096774193549</v>
      </c>
      <c r="G23">
        <v>24137.096774193549</v>
      </c>
      <c r="H23">
        <v>241.37096774193549</v>
      </c>
      <c r="I23">
        <v>23895.725806451614</v>
      </c>
    </row>
    <row r="24" spans="1:9">
      <c r="A24">
        <v>25000</v>
      </c>
      <c r="B24" t="s">
        <v>64</v>
      </c>
      <c r="C24">
        <v>15</v>
      </c>
      <c r="D24">
        <v>900</v>
      </c>
      <c r="E24">
        <v>806.45161290322585</v>
      </c>
      <c r="F24">
        <v>23387.096774193549</v>
      </c>
      <c r="G24">
        <v>24137.096774193549</v>
      </c>
      <c r="H24">
        <v>241.37096774193549</v>
      </c>
      <c r="I24">
        <v>23895.725806451614</v>
      </c>
    </row>
    <row r="25" spans="1:9">
      <c r="A25">
        <v>38000</v>
      </c>
      <c r="B25" t="s">
        <v>228</v>
      </c>
      <c r="C25">
        <v>2</v>
      </c>
      <c r="D25">
        <v>0</v>
      </c>
      <c r="E25">
        <v>1225.8064516129032</v>
      </c>
      <c r="F25">
        <v>35548.38709677419</v>
      </c>
      <c r="G25">
        <v>36298.38709677419</v>
      </c>
      <c r="H25">
        <v>362.98387096774189</v>
      </c>
      <c r="I25">
        <v>35935.403225806447</v>
      </c>
    </row>
    <row r="26" spans="1:9">
      <c r="A26">
        <v>25000</v>
      </c>
      <c r="B26" t="s">
        <v>185</v>
      </c>
      <c r="C26">
        <v>14</v>
      </c>
      <c r="D26">
        <v>1500</v>
      </c>
      <c r="E26">
        <v>806.45161290322585</v>
      </c>
      <c r="F26">
        <v>23387.096774193549</v>
      </c>
      <c r="G26">
        <v>24137.096774193549</v>
      </c>
      <c r="H26">
        <v>241.37096774193549</v>
      </c>
      <c r="I26">
        <v>23895.725806451614</v>
      </c>
    </row>
    <row r="27" spans="1:9">
      <c r="A27">
        <v>25000</v>
      </c>
      <c r="B27" t="s">
        <v>178</v>
      </c>
      <c r="C27">
        <v>12</v>
      </c>
      <c r="D27">
        <v>150</v>
      </c>
      <c r="E27">
        <v>806.45161290322585</v>
      </c>
      <c r="F27">
        <v>23387.096774193549</v>
      </c>
      <c r="G27">
        <v>24137.096774193549</v>
      </c>
      <c r="H27">
        <v>241.37096774193549</v>
      </c>
      <c r="I27">
        <v>23895.725806451614</v>
      </c>
    </row>
    <row r="28" spans="1:9">
      <c r="A28">
        <v>25000</v>
      </c>
      <c r="B28" t="s">
        <v>66</v>
      </c>
      <c r="C28">
        <v>2</v>
      </c>
      <c r="D28">
        <v>150</v>
      </c>
      <c r="E28">
        <v>806.45161290322585</v>
      </c>
      <c r="F28">
        <v>23387.096774193549</v>
      </c>
      <c r="G28">
        <v>24137.096774193549</v>
      </c>
      <c r="H28">
        <v>241.37096774193549</v>
      </c>
      <c r="I28">
        <v>23895.725806451614</v>
      </c>
    </row>
    <row r="29" spans="1:9">
      <c r="A29">
        <v>25000</v>
      </c>
      <c r="B29" t="s">
        <v>68</v>
      </c>
      <c r="C29">
        <v>27</v>
      </c>
      <c r="D29">
        <v>1050</v>
      </c>
      <c r="E29">
        <v>806.45161290322585</v>
      </c>
      <c r="F29">
        <v>23387.096774193549</v>
      </c>
      <c r="G29">
        <v>24137.096774193549</v>
      </c>
      <c r="H29">
        <v>241.37096774193549</v>
      </c>
      <c r="I29">
        <v>23895.725806451614</v>
      </c>
    </row>
    <row r="30" spans="1:9">
      <c r="A30">
        <v>29000</v>
      </c>
      <c r="B30" t="s">
        <v>82</v>
      </c>
      <c r="C30">
        <v>22</v>
      </c>
      <c r="D30">
        <v>2400</v>
      </c>
      <c r="E30">
        <v>935.48387096774195</v>
      </c>
      <c r="F30">
        <v>27129.032258064515</v>
      </c>
      <c r="G30">
        <v>27879.032258064515</v>
      </c>
      <c r="H30">
        <v>278.79032258064518</v>
      </c>
      <c r="I30">
        <v>27600.241935483871</v>
      </c>
    </row>
    <row r="31" spans="1:9">
      <c r="A31">
        <v>25000</v>
      </c>
      <c r="B31" t="s">
        <v>70</v>
      </c>
      <c r="C31">
        <v>25</v>
      </c>
      <c r="D31">
        <v>750</v>
      </c>
      <c r="E31">
        <v>806.45161290322585</v>
      </c>
      <c r="F31">
        <v>23387.096774193549</v>
      </c>
      <c r="G31">
        <v>24137.096774193549</v>
      </c>
      <c r="H31">
        <v>241.37096774193549</v>
      </c>
      <c r="I31">
        <v>23895.725806451614</v>
      </c>
    </row>
    <row r="32" spans="1:9">
      <c r="A32">
        <v>33000</v>
      </c>
      <c r="B32" t="s">
        <v>72</v>
      </c>
      <c r="C32">
        <v>27</v>
      </c>
      <c r="D32">
        <v>150</v>
      </c>
      <c r="E32">
        <v>1064.516129032258</v>
      </c>
      <c r="F32">
        <v>30870.967741935485</v>
      </c>
      <c r="G32">
        <v>31620.967741935485</v>
      </c>
      <c r="H32">
        <v>316.20967741935488</v>
      </c>
      <c r="I32">
        <v>31304.758064516129</v>
      </c>
    </row>
    <row r="33" spans="1:9">
      <c r="A33">
        <v>38000</v>
      </c>
      <c r="B33" t="s">
        <v>163</v>
      </c>
      <c r="C33">
        <v>1</v>
      </c>
      <c r="D33">
        <v>0</v>
      </c>
      <c r="E33">
        <v>1225.8064516129032</v>
      </c>
      <c r="F33">
        <v>35548.38709677419</v>
      </c>
      <c r="G33">
        <v>36298.38709677419</v>
      </c>
      <c r="H33">
        <v>362.98387096774189</v>
      </c>
      <c r="I33">
        <v>35935.403225806447</v>
      </c>
    </row>
    <row r="34" spans="1:9">
      <c r="A34">
        <v>29000</v>
      </c>
      <c r="B34" t="s">
        <v>85</v>
      </c>
      <c r="C34">
        <v>28</v>
      </c>
      <c r="D34">
        <v>1950</v>
      </c>
      <c r="E34">
        <v>935.48387096774195</v>
      </c>
      <c r="F34">
        <v>27129.032258064515</v>
      </c>
      <c r="G34">
        <v>27879.032258064515</v>
      </c>
      <c r="H34">
        <v>278.79032258064518</v>
      </c>
      <c r="I34">
        <v>27600.241935483871</v>
      </c>
    </row>
    <row r="35" spans="1:9">
      <c r="A35">
        <v>29000</v>
      </c>
      <c r="B35" t="s">
        <v>150</v>
      </c>
      <c r="C35">
        <v>10</v>
      </c>
      <c r="D35">
        <v>300</v>
      </c>
      <c r="E35">
        <v>935.48387096774195</v>
      </c>
      <c r="F35">
        <v>27129.032258064515</v>
      </c>
      <c r="G35">
        <v>27879.032258064515</v>
      </c>
      <c r="H35">
        <v>278.79032258064518</v>
      </c>
      <c r="I35">
        <v>27600.241935483871</v>
      </c>
    </row>
    <row r="36" spans="1:9">
      <c r="A36">
        <v>25000</v>
      </c>
      <c r="B36" t="s">
        <v>74</v>
      </c>
      <c r="C36">
        <v>30</v>
      </c>
      <c r="D36">
        <v>1500</v>
      </c>
      <c r="E36">
        <v>806.45161290322585</v>
      </c>
      <c r="F36">
        <v>23387.096774193549</v>
      </c>
      <c r="G36">
        <v>24137.096774193549</v>
      </c>
      <c r="H36">
        <v>241.37096774193549</v>
      </c>
      <c r="I36">
        <v>23895.725806451614</v>
      </c>
    </row>
    <row r="37" spans="1:9">
      <c r="A37">
        <v>29000</v>
      </c>
      <c r="B37" t="s">
        <v>117</v>
      </c>
      <c r="C37">
        <v>4</v>
      </c>
      <c r="D37">
        <v>300</v>
      </c>
      <c r="E37">
        <v>935.48387096774195</v>
      </c>
      <c r="F37">
        <v>27129.032258064515</v>
      </c>
      <c r="G37">
        <v>27879.032258064515</v>
      </c>
      <c r="H37">
        <v>278.79032258064518</v>
      </c>
      <c r="I37">
        <v>27600.241935483871</v>
      </c>
    </row>
    <row r="38" spans="1:9">
      <c r="A38">
        <v>38000</v>
      </c>
      <c r="B38" t="s">
        <v>225</v>
      </c>
      <c r="C38">
        <v>1</v>
      </c>
      <c r="D38">
        <v>0</v>
      </c>
      <c r="E38">
        <v>1225.8064516129032</v>
      </c>
      <c r="F38">
        <v>35548.38709677419</v>
      </c>
      <c r="G38">
        <v>36298.38709677419</v>
      </c>
      <c r="H38">
        <v>362.98387096774189</v>
      </c>
      <c r="I38">
        <v>35935.403225806447</v>
      </c>
    </row>
    <row r="39" spans="1:9">
      <c r="A39">
        <v>25000</v>
      </c>
      <c r="B39" t="s">
        <v>76</v>
      </c>
      <c r="C39">
        <v>1</v>
      </c>
      <c r="D39">
        <v>0</v>
      </c>
      <c r="E39">
        <v>806.45161290322585</v>
      </c>
      <c r="F39">
        <v>23387.096774193549</v>
      </c>
      <c r="G39">
        <v>24137.096774193549</v>
      </c>
      <c r="H39">
        <v>241.37096774193549</v>
      </c>
      <c r="I39">
        <v>23895.725806451614</v>
      </c>
    </row>
    <row r="40" spans="1:9">
      <c r="A40">
        <v>25000</v>
      </c>
      <c r="B40" t="s">
        <v>78</v>
      </c>
      <c r="C40">
        <v>30</v>
      </c>
      <c r="D40">
        <v>4200</v>
      </c>
      <c r="E40">
        <v>806.45161290322585</v>
      </c>
      <c r="F40">
        <v>23387.096774193549</v>
      </c>
      <c r="G40">
        <v>24137.096774193549</v>
      </c>
      <c r="H40">
        <v>241.37096774193549</v>
      </c>
      <c r="I40">
        <v>23895.725806451614</v>
      </c>
    </row>
    <row r="41" spans="1:9">
      <c r="A41">
        <v>29000</v>
      </c>
      <c r="B41" t="s">
        <v>87</v>
      </c>
      <c r="C41">
        <v>30</v>
      </c>
      <c r="D41">
        <v>2850</v>
      </c>
      <c r="E41">
        <v>935.48387096774195</v>
      </c>
      <c r="F41">
        <v>27129.032258064515</v>
      </c>
      <c r="G41">
        <v>27879.032258064515</v>
      </c>
      <c r="H41">
        <v>278.79032258064518</v>
      </c>
      <c r="I41">
        <v>27600.241935483871</v>
      </c>
    </row>
    <row r="42" spans="1:9">
      <c r="A42">
        <v>25000</v>
      </c>
      <c r="B42" t="s">
        <v>80</v>
      </c>
      <c r="C42">
        <v>30</v>
      </c>
      <c r="D42">
        <v>1500</v>
      </c>
      <c r="E42">
        <v>806.45161290322585</v>
      </c>
      <c r="F42">
        <v>23387.096774193549</v>
      </c>
      <c r="G42">
        <v>24137.096774193549</v>
      </c>
      <c r="H42">
        <v>241.37096774193549</v>
      </c>
      <c r="I42">
        <v>23895.725806451614</v>
      </c>
    </row>
    <row r="43" spans="1:9">
      <c r="A43">
        <v>29000</v>
      </c>
      <c r="B43" t="s">
        <v>89</v>
      </c>
      <c r="C43">
        <v>27</v>
      </c>
      <c r="D43">
        <v>900</v>
      </c>
      <c r="E43">
        <v>935.48387096774195</v>
      </c>
      <c r="F43">
        <v>27129.032258064515</v>
      </c>
      <c r="G43">
        <v>27879.032258064515</v>
      </c>
      <c r="H43">
        <v>278.79032258064518</v>
      </c>
      <c r="I43">
        <v>27600.241935483871</v>
      </c>
    </row>
    <row r="44" spans="1:9">
      <c r="A44">
        <v>25000</v>
      </c>
      <c r="B44" t="s">
        <v>105</v>
      </c>
      <c r="C44">
        <v>21</v>
      </c>
      <c r="D44">
        <v>300</v>
      </c>
      <c r="E44">
        <v>806.45161290322585</v>
      </c>
      <c r="F44">
        <v>23387.096774193549</v>
      </c>
      <c r="G44">
        <v>24137.096774193549</v>
      </c>
      <c r="H44">
        <v>241.37096774193549</v>
      </c>
      <c r="I44">
        <v>23895.725806451614</v>
      </c>
    </row>
    <row r="45" spans="1:9">
      <c r="E45" t="s">
        <v>254</v>
      </c>
      <c r="F45" t="s">
        <v>254</v>
      </c>
      <c r="G45" t="s">
        <v>254</v>
      </c>
      <c r="H45" t="s">
        <v>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DASHBOARD</vt:lpstr>
      <vt:lpstr>PIVOT</vt:lpstr>
      <vt:lpstr>SHADOWFAX</vt:lpstr>
      <vt:lpstr>COPY</vt:lpstr>
      <vt:lpstr>CALCULATIONS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Hinjewadi Admin</dc:creator>
  <cp:lastModifiedBy>varashri verma</cp:lastModifiedBy>
  <dcterms:created xsi:type="dcterms:W3CDTF">2025-11-09T06:20:50Z</dcterms:created>
  <dcterms:modified xsi:type="dcterms:W3CDTF">2025-12-18T05:40:31Z</dcterms:modified>
</cp:coreProperties>
</file>